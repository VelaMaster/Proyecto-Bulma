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2026\DICONSA\GUIAS\03-MARZO-2026\"/>
    </mc:Choice>
  </mc:AlternateContent>
  <xr:revisionPtr revIDLastSave="0" documentId="13_ncr:1_{9D88EBDB-C06E-4E9A-9C41-63024BCC26BB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POR ALMACEN" sheetId="3" r:id="rId1"/>
    <sheet name="TOTAL" sheetId="4" r:id="rId2"/>
  </sheets>
  <definedNames>
    <definedName name="_xlnm._FilterDatabase" localSheetId="0" hidden="1">'POR ALMACEN'!$B$12:$R$664</definedName>
    <definedName name="AA">#REF!</definedName>
    <definedName name="AAA">#REF!</definedName>
    <definedName name="ACTUAL">#REF!</definedName>
    <definedName name="AL">#REF!</definedName>
    <definedName name="ALAN">#REF!</definedName>
    <definedName name="ALEX">#REF!</definedName>
    <definedName name="ALEXA">#REF!</definedName>
    <definedName name="ALLAN">#REF!</definedName>
    <definedName name="ALMA">#REF!</definedName>
    <definedName name="AMA">#REF!</definedName>
    <definedName name="AMB">#REF!</definedName>
    <definedName name="AMBAR">#REF!</definedName>
    <definedName name="AMBRE">#REF!</definedName>
    <definedName name="ANA">#REF!</definedName>
    <definedName name="AP">#REF!</definedName>
    <definedName name="_xlnm.Print_Area" localSheetId="0">'POR ALMACEN'!$A$330:$S$354</definedName>
    <definedName name="_xlnm.Print_Area" localSheetId="1">TOTAL!$A$1:$J$51</definedName>
    <definedName name="AX">#REF!</definedName>
    <definedName name="AXA">#REF!</definedName>
    <definedName name="AXE">#REF!</definedName>
    <definedName name="BA">#REF!</definedName>
    <definedName name="BASE">#REF!</definedName>
    <definedName name="BB">#REF!</definedName>
    <definedName name="BEN">#REF!</definedName>
    <definedName name="BENEF">#REF!</definedName>
    <definedName name="CASA">#REF!</definedName>
    <definedName name="CAT">#REF!</definedName>
    <definedName name="CATA">#REF!</definedName>
    <definedName name="CC">#REF!</definedName>
    <definedName name="color">#REF!</definedName>
    <definedName name="DA">#REF!</definedName>
    <definedName name="DAM">#REF!</definedName>
    <definedName name="DAMO">#REF!</definedName>
    <definedName name="DAT">#REF!</definedName>
    <definedName name="DATA">#REF!</definedName>
    <definedName name="DATAS">#REF!</definedName>
    <definedName name="DATIS">#REF!</definedName>
    <definedName name="DATOS">#REF!</definedName>
    <definedName name="DATOS1">#REF!</definedName>
    <definedName name="DD">#REF!</definedName>
    <definedName name="DEY">#REF!</definedName>
    <definedName name="DICE">#REF!</definedName>
    <definedName name="DUAL">#REF!</definedName>
    <definedName name="EDI">#REF!</definedName>
    <definedName name="FAM">#REF!</definedName>
    <definedName name="HERI">#REF!</definedName>
    <definedName name="HOLA">#REF!</definedName>
    <definedName name="HOLAS">#REF!</definedName>
    <definedName name="HOLIS">#REF!</definedName>
    <definedName name="INF">#REF!</definedName>
    <definedName name="LALO">#REF!</definedName>
    <definedName name="LECHE">#REF!</definedName>
    <definedName name="LECHERIA">#REF!</definedName>
    <definedName name="libreta">#REF!</definedName>
    <definedName name="MAMA">#REF!</definedName>
    <definedName name="MAR">#REF!</definedName>
    <definedName name="MARBE">#REF!</definedName>
    <definedName name="MARBELLA">#REF!</definedName>
    <definedName name="MARIO">#REF!</definedName>
    <definedName name="MARTE">#REF!</definedName>
    <definedName name="MARY">#REF!</definedName>
    <definedName name="MAY">#REF!</definedName>
    <definedName name="MEN">#REF!</definedName>
    <definedName name="MORA">#REF!</definedName>
    <definedName name="MORALES">#REF!</definedName>
    <definedName name="NOVIEMBRE">#REF!</definedName>
    <definedName name="OCT">#REF!</definedName>
    <definedName name="PADRO">#REF!</definedName>
    <definedName name="PADRON">#REF!</definedName>
    <definedName name="PEDRO">#REF!</definedName>
    <definedName name="PER">#REF!</definedName>
    <definedName name="PERSONA">#REF!</definedName>
    <definedName name="RAU">#REF!</definedName>
    <definedName name="RAUL">#REF!</definedName>
    <definedName name="RAUS">#REF!</definedName>
    <definedName name="RUTA">#REF!</definedName>
    <definedName name="SANDRA">#REF!</definedName>
    <definedName name="TAB">#REF!</definedName>
    <definedName name="TATA">#REF!</definedName>
    <definedName name="_xlnm.Print_Titles" localSheetId="0">'POR ALMACEN'!$1:$10</definedName>
    <definedName name="VASE">#REF!</definedName>
    <definedName name="XL">#REF!</definedName>
    <definedName name="YOYO">#REF!</definedName>
    <definedName name="YOY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4" l="1"/>
  <c r="F668" i="3"/>
  <c r="E668" i="3"/>
  <c r="D668" i="3"/>
  <c r="M52" i="4" l="1"/>
  <c r="R481" i="3"/>
  <c r="G481" i="3"/>
  <c r="O481" i="3" s="1"/>
  <c r="P481" i="3" s="1"/>
  <c r="R259" i="3"/>
  <c r="G259" i="3"/>
  <c r="O259" i="3" s="1"/>
  <c r="P259" i="3" s="1"/>
  <c r="R563" i="3" l="1"/>
  <c r="G563" i="3"/>
  <c r="O563" i="3" s="1"/>
  <c r="P563" i="3" s="1"/>
  <c r="R342" i="3" l="1"/>
  <c r="G342" i="3"/>
  <c r="O342" i="3" s="1"/>
  <c r="P342" i="3" s="1"/>
  <c r="R332" i="3"/>
  <c r="G332" i="3"/>
  <c r="O332" i="3" s="1"/>
  <c r="P332" i="3" s="1"/>
  <c r="R595" i="3"/>
  <c r="G595" i="3"/>
  <c r="O595" i="3" s="1"/>
  <c r="P595" i="3" s="1"/>
  <c r="R584" i="3" l="1"/>
  <c r="R585" i="3"/>
  <c r="R165" i="3"/>
  <c r="G165" i="3"/>
  <c r="O165" i="3" s="1"/>
  <c r="R230" i="3" l="1"/>
  <c r="G230" i="3"/>
  <c r="O230" i="3" s="1"/>
  <c r="P230" i="3" s="1"/>
  <c r="R421" i="3" l="1"/>
  <c r="G421" i="3"/>
  <c r="O421" i="3" s="1"/>
  <c r="P421" i="3" s="1"/>
  <c r="R292" i="3" l="1"/>
  <c r="G292" i="3"/>
  <c r="O292" i="3" s="1"/>
  <c r="P292" i="3" s="1"/>
  <c r="R123" i="3"/>
  <c r="G123" i="3"/>
  <c r="O123" i="3" s="1"/>
  <c r="P123" i="3" s="1"/>
  <c r="R477" i="3" l="1"/>
  <c r="G477" i="3"/>
  <c r="O477" i="3" s="1"/>
  <c r="P477" i="3" s="1"/>
  <c r="Q463" i="3" l="1"/>
  <c r="R462" i="3"/>
  <c r="R489" i="3" l="1"/>
  <c r="G489" i="3"/>
  <c r="O489" i="3" s="1"/>
  <c r="P489" i="3" s="1"/>
  <c r="Q345" i="3" l="1"/>
  <c r="R401" i="3" l="1"/>
  <c r="G401" i="3"/>
  <c r="O401" i="3" s="1"/>
  <c r="P401" i="3" s="1"/>
  <c r="R120" i="3" l="1"/>
  <c r="G120" i="3"/>
  <c r="O120" i="3" s="1"/>
  <c r="P120" i="3" s="1"/>
  <c r="R400" i="3" l="1"/>
  <c r="G400" i="3"/>
  <c r="O400" i="3" s="1"/>
  <c r="P400" i="3" s="1"/>
  <c r="D206" i="3"/>
  <c r="D376" i="3"/>
  <c r="D403" i="3"/>
  <c r="Q206" i="3" l="1"/>
  <c r="N206" i="3"/>
  <c r="M206" i="3"/>
  <c r="L206" i="3"/>
  <c r="K206" i="3"/>
  <c r="J206" i="3"/>
  <c r="I206" i="3"/>
  <c r="H206" i="3"/>
  <c r="F206" i="3"/>
  <c r="E206" i="3"/>
  <c r="R204" i="3"/>
  <c r="G204" i="3"/>
  <c r="O204" i="3" s="1"/>
  <c r="P204" i="3" s="1"/>
  <c r="R390" i="3"/>
  <c r="G390" i="3"/>
  <c r="O390" i="3" s="1"/>
  <c r="P390" i="3" s="1"/>
  <c r="R373" i="3"/>
  <c r="G373" i="3"/>
  <c r="O373" i="3" s="1"/>
  <c r="P373" i="3" s="1"/>
  <c r="R75" i="3" l="1"/>
  <c r="G75" i="3"/>
  <c r="O75" i="3" s="1"/>
  <c r="P75" i="3" s="1"/>
  <c r="R161" i="3" l="1"/>
  <c r="G161" i="3"/>
  <c r="O161" i="3" s="1"/>
  <c r="G340" i="3" l="1"/>
  <c r="R340" i="3" l="1"/>
  <c r="O340" i="3"/>
  <c r="P340" i="3" s="1"/>
  <c r="D47" i="3" l="1"/>
  <c r="D61" i="3"/>
  <c r="D78" i="3"/>
  <c r="D105" i="3"/>
  <c r="D128" i="3"/>
  <c r="D150" i="3"/>
  <c r="D185" i="3"/>
  <c r="D196" i="3"/>
  <c r="D222" i="3"/>
  <c r="D250" i="3"/>
  <c r="D276" i="3"/>
  <c r="D296" i="3"/>
  <c r="D318" i="3"/>
  <c r="D345" i="3"/>
  <c r="D358" i="3"/>
  <c r="D428" i="3"/>
  <c r="D463" i="3"/>
  <c r="D497" i="3"/>
  <c r="D510" i="3"/>
  <c r="D533" i="3"/>
  <c r="D574" i="3"/>
  <c r="D598" i="3"/>
  <c r="D631" i="3"/>
  <c r="R37" i="3" l="1"/>
  <c r="Q47" i="3"/>
  <c r="N47" i="3"/>
  <c r="M47" i="3"/>
  <c r="L47" i="3"/>
  <c r="K47" i="3"/>
  <c r="J47" i="3"/>
  <c r="I47" i="3"/>
  <c r="H47" i="3"/>
  <c r="F47" i="3"/>
  <c r="E47" i="3"/>
  <c r="R172" i="3" l="1"/>
  <c r="G172" i="3"/>
  <c r="O172" i="3" s="1"/>
  <c r="R125" i="3" l="1"/>
  <c r="G125" i="3"/>
  <c r="O125" i="3" s="1"/>
  <c r="P125" i="3" s="1"/>
  <c r="D28" i="3" l="1"/>
  <c r="R562" i="3" l="1"/>
  <c r="G562" i="3"/>
  <c r="O562" i="3" s="1"/>
  <c r="P562" i="3" s="1"/>
  <c r="R271" i="3" l="1"/>
  <c r="G271" i="3"/>
  <c r="O271" i="3" s="1"/>
  <c r="N358" i="3" l="1"/>
  <c r="M358" i="3"/>
  <c r="L358" i="3"/>
  <c r="K358" i="3"/>
  <c r="J358" i="3"/>
  <c r="I358" i="3"/>
  <c r="H358" i="3"/>
  <c r="F358" i="3"/>
  <c r="E358" i="3"/>
  <c r="Q358" i="3"/>
  <c r="R356" i="3"/>
  <c r="G356" i="3"/>
  <c r="O356" i="3" s="1"/>
  <c r="P356" i="3" s="1"/>
  <c r="R341" i="3"/>
  <c r="G341" i="3"/>
  <c r="O341" i="3" s="1"/>
  <c r="P341" i="3" s="1"/>
  <c r="R333" i="3"/>
  <c r="G333" i="3"/>
  <c r="O333" i="3" s="1"/>
  <c r="P333" i="3" s="1"/>
  <c r="R293" i="3" l="1"/>
  <c r="G293" i="3"/>
  <c r="O293" i="3" s="1"/>
  <c r="P293" i="3" s="1"/>
  <c r="R425" i="3"/>
  <c r="G425" i="3"/>
  <c r="O425" i="3" s="1"/>
  <c r="P425" i="3" s="1"/>
  <c r="R389" i="3"/>
  <c r="G389" i="3"/>
  <c r="O389" i="3" s="1"/>
  <c r="P389" i="3" s="1"/>
  <c r="G374" i="3"/>
  <c r="G371" i="3" l="1"/>
  <c r="O371" i="3" s="1"/>
  <c r="P371" i="3" s="1"/>
  <c r="G399" i="3"/>
  <c r="O399" i="3" s="1"/>
  <c r="P399" i="3" s="1"/>
  <c r="R623" i="3"/>
  <c r="G623" i="3"/>
  <c r="O623" i="3" s="1"/>
  <c r="P623" i="3" s="1"/>
  <c r="Q574" i="3"/>
  <c r="R372" i="3"/>
  <c r="G372" i="3"/>
  <c r="O372" i="3" s="1"/>
  <c r="P372" i="3" s="1"/>
  <c r="R371" i="3"/>
  <c r="R329" i="3"/>
  <c r="G329" i="3"/>
  <c r="O329" i="3" s="1"/>
  <c r="P329" i="3" s="1"/>
  <c r="Q150" i="3"/>
  <c r="Q185" i="3"/>
  <c r="R169" i="3"/>
  <c r="G169" i="3"/>
  <c r="O169" i="3" s="1"/>
  <c r="R312" i="3"/>
  <c r="G312" i="3"/>
  <c r="O312" i="3" s="1"/>
  <c r="Q598" i="3"/>
  <c r="R258" i="3"/>
  <c r="G258" i="3"/>
  <c r="O258" i="3" s="1"/>
  <c r="P258" i="3" s="1"/>
  <c r="R399" i="3"/>
  <c r="R640" i="3"/>
  <c r="P640" i="3"/>
  <c r="G640" i="3"/>
  <c r="R162" i="3" l="1"/>
  <c r="G162" i="3"/>
  <c r="O162" i="3" s="1"/>
  <c r="Q276" i="3"/>
  <c r="R641" i="3"/>
  <c r="P641" i="3"/>
  <c r="G641" i="3"/>
  <c r="R644" i="3"/>
  <c r="G644" i="3"/>
  <c r="O644" i="3" s="1"/>
  <c r="P644" i="3" s="1"/>
  <c r="R453" i="3"/>
  <c r="G453" i="3"/>
  <c r="O453" i="3" s="1"/>
  <c r="P453" i="3" s="1"/>
  <c r="R494" i="3" l="1"/>
  <c r="G494" i="3"/>
  <c r="O494" i="3" s="1"/>
  <c r="P494" i="3" s="1"/>
  <c r="R217" i="3"/>
  <c r="G217" i="3"/>
  <c r="O217" i="3" s="1"/>
  <c r="P217" i="3" s="1"/>
  <c r="R247" i="3"/>
  <c r="G247" i="3"/>
  <c r="O247" i="3" s="1"/>
  <c r="P247" i="3" s="1"/>
  <c r="R438" i="3"/>
  <c r="G438" i="3"/>
  <c r="O438" i="3" s="1"/>
  <c r="P438" i="3" s="1"/>
  <c r="L345" i="3"/>
  <c r="R98" i="3" l="1"/>
  <c r="G98" i="3"/>
  <c r="O98" i="3" s="1"/>
  <c r="P98" i="3" s="1"/>
  <c r="R270" i="3" l="1"/>
  <c r="G270" i="3"/>
  <c r="O270" i="3" s="1"/>
  <c r="R455" i="3"/>
  <c r="G455" i="3"/>
  <c r="O455" i="3" s="1"/>
  <c r="P455" i="3" s="1"/>
  <c r="R445" i="3"/>
  <c r="G445" i="3"/>
  <c r="O445" i="3" s="1"/>
  <c r="P445" i="3" s="1"/>
  <c r="R437" i="3"/>
  <c r="G437" i="3"/>
  <c r="O437" i="3" s="1"/>
  <c r="P437" i="3" s="1"/>
  <c r="R97" i="3" l="1"/>
  <c r="G97" i="3"/>
  <c r="O97" i="3" s="1"/>
  <c r="P97" i="3" s="1"/>
  <c r="R615" i="3" l="1"/>
  <c r="G615" i="3"/>
  <c r="O615" i="3" s="1"/>
  <c r="P615" i="3" s="1"/>
  <c r="R619" i="3"/>
  <c r="G619" i="3"/>
  <c r="O619" i="3" s="1"/>
  <c r="P619" i="3" s="1"/>
  <c r="R242" i="3"/>
  <c r="G242" i="3"/>
  <c r="O242" i="3" s="1"/>
  <c r="P242" i="3" s="1"/>
  <c r="R416" i="3" l="1"/>
  <c r="G416" i="3"/>
  <c r="O416" i="3" s="1"/>
  <c r="P416" i="3" s="1"/>
  <c r="R398" i="3"/>
  <c r="G398" i="3"/>
  <c r="O398" i="3" s="1"/>
  <c r="P398" i="3" s="1"/>
  <c r="R168" i="3" l="1"/>
  <c r="G168" i="3"/>
  <c r="O168" i="3" s="1"/>
  <c r="R122" i="3" l="1"/>
  <c r="G122" i="3"/>
  <c r="O122" i="3" s="1"/>
  <c r="P122" i="3" s="1"/>
  <c r="R546" i="3" l="1"/>
  <c r="G546" i="3"/>
  <c r="O546" i="3" s="1"/>
  <c r="P546" i="3" s="1"/>
  <c r="R545" i="3"/>
  <c r="G545" i="3"/>
  <c r="O545" i="3" s="1"/>
  <c r="P545" i="3" s="1"/>
  <c r="R553" i="3" l="1"/>
  <c r="G553" i="3"/>
  <c r="O553" i="3" s="1"/>
  <c r="P553" i="3" s="1"/>
  <c r="R570" i="3"/>
  <c r="G570" i="3"/>
  <c r="O570" i="3" s="1"/>
  <c r="P570" i="3" s="1"/>
  <c r="R18" i="3"/>
  <c r="G18" i="3"/>
  <c r="O18" i="3" s="1"/>
  <c r="P18" i="3" s="1"/>
  <c r="R25" i="3"/>
  <c r="G25" i="3"/>
  <c r="O25" i="3" s="1"/>
  <c r="P25" i="3" s="1"/>
  <c r="R24" i="3"/>
  <c r="G24" i="3"/>
  <c r="O24" i="3" s="1"/>
  <c r="P24" i="3" s="1"/>
  <c r="R260" i="3"/>
  <c r="G260" i="3"/>
  <c r="O260" i="3" s="1"/>
  <c r="P260" i="3" s="1"/>
  <c r="H428" i="3" l="1"/>
  <c r="R565" i="3" l="1"/>
  <c r="G565" i="3"/>
  <c r="O565" i="3" s="1"/>
  <c r="P565" i="3" s="1"/>
  <c r="R608" i="3"/>
  <c r="G608" i="3"/>
  <c r="O608" i="3" s="1"/>
  <c r="P608" i="3" s="1"/>
  <c r="R315" i="3" l="1"/>
  <c r="G315" i="3"/>
  <c r="O315" i="3" s="1"/>
  <c r="P315" i="3" s="1"/>
  <c r="R397" i="3" l="1"/>
  <c r="G397" i="3"/>
  <c r="O397" i="3" s="1"/>
  <c r="P397" i="3" s="1"/>
  <c r="G355" i="3"/>
  <c r="G358" i="3" s="1"/>
  <c r="R642" i="3" l="1"/>
  <c r="P642" i="3"/>
  <c r="G642" i="3"/>
  <c r="E631" i="3" l="1"/>
  <c r="E598" i="3"/>
  <c r="E574" i="3"/>
  <c r="E533" i="3"/>
  <c r="E510" i="3"/>
  <c r="E497" i="3"/>
  <c r="E463" i="3"/>
  <c r="E428" i="3"/>
  <c r="E403" i="3"/>
  <c r="E376" i="3"/>
  <c r="E276" i="3"/>
  <c r="E150" i="3"/>
  <c r="E128" i="3"/>
  <c r="E105" i="3"/>
  <c r="R528" i="3" l="1"/>
  <c r="G528" i="3"/>
  <c r="O528" i="3" s="1"/>
  <c r="P528" i="3" s="1"/>
  <c r="R622" i="3"/>
  <c r="G622" i="3"/>
  <c r="O622" i="3" s="1"/>
  <c r="P622" i="3" s="1"/>
  <c r="R621" i="3"/>
  <c r="G621" i="3"/>
  <c r="O621" i="3" s="1"/>
  <c r="P621" i="3" s="1"/>
  <c r="R444" i="3"/>
  <c r="G444" i="3"/>
  <c r="O444" i="3" s="1"/>
  <c r="P444" i="3" s="1"/>
  <c r="R388" i="3" l="1"/>
  <c r="G388" i="3"/>
  <c r="O388" i="3" s="1"/>
  <c r="P388" i="3" s="1"/>
  <c r="R192" i="3" l="1"/>
  <c r="G192" i="3"/>
  <c r="O192" i="3" s="1"/>
  <c r="P192" i="3" s="1"/>
  <c r="R443" i="3" l="1"/>
  <c r="G443" i="3"/>
  <c r="O443" i="3" s="1"/>
  <c r="P443" i="3" s="1"/>
  <c r="R442" i="3" l="1"/>
  <c r="G442" i="3"/>
  <c r="O442" i="3" s="1"/>
  <c r="P442" i="3" s="1"/>
  <c r="G491" i="3" l="1"/>
  <c r="G492" i="3"/>
  <c r="R243" i="3" l="1"/>
  <c r="G243" i="3"/>
  <c r="O243" i="3" s="1"/>
  <c r="P243" i="3" s="1"/>
  <c r="R491" i="3" l="1"/>
  <c r="O491" i="3"/>
  <c r="P491" i="3" s="1"/>
  <c r="R40" i="3"/>
  <c r="G40" i="3"/>
  <c r="O40" i="3" s="1"/>
  <c r="P40" i="3" s="1"/>
  <c r="R269" i="3" l="1"/>
  <c r="G269" i="3"/>
  <c r="O269" i="3" s="1"/>
  <c r="R420" i="3"/>
  <c r="G420" i="3"/>
  <c r="O420" i="3" s="1"/>
  <c r="P420" i="3" s="1"/>
  <c r="G657" i="3" l="1"/>
  <c r="G656" i="3"/>
  <c r="G655" i="3"/>
  <c r="G645" i="3"/>
  <c r="G643" i="3"/>
  <c r="G639" i="3"/>
  <c r="G629" i="3"/>
  <c r="G628" i="3"/>
  <c r="G627" i="3"/>
  <c r="G626" i="3"/>
  <c r="G625" i="3"/>
  <c r="G624" i="3"/>
  <c r="G620" i="3"/>
  <c r="G618" i="3"/>
  <c r="G617" i="3"/>
  <c r="G616" i="3"/>
  <c r="G614" i="3"/>
  <c r="G613" i="3"/>
  <c r="G612" i="3"/>
  <c r="G611" i="3"/>
  <c r="G610" i="3"/>
  <c r="G609" i="3"/>
  <c r="G607" i="3"/>
  <c r="G596" i="3"/>
  <c r="G594" i="3"/>
  <c r="G593" i="3"/>
  <c r="G592" i="3"/>
  <c r="G591" i="3"/>
  <c r="G590" i="3"/>
  <c r="G589" i="3"/>
  <c r="G588" i="3"/>
  <c r="G587" i="3"/>
  <c r="G586" i="3"/>
  <c r="G585" i="3"/>
  <c r="G584" i="3"/>
  <c r="G572" i="3"/>
  <c r="G571" i="3"/>
  <c r="G569" i="3"/>
  <c r="G568" i="3"/>
  <c r="G567" i="3"/>
  <c r="G566" i="3"/>
  <c r="G564" i="3"/>
  <c r="G561" i="3"/>
  <c r="G560" i="3"/>
  <c r="G559" i="3"/>
  <c r="G558" i="3"/>
  <c r="G557" i="3"/>
  <c r="G556" i="3"/>
  <c r="G555" i="3"/>
  <c r="G554" i="3"/>
  <c r="G552" i="3"/>
  <c r="G551" i="3"/>
  <c r="G550" i="3"/>
  <c r="G549" i="3"/>
  <c r="G548" i="3"/>
  <c r="G547" i="3"/>
  <c r="G544" i="3"/>
  <c r="G543" i="3"/>
  <c r="G542" i="3"/>
  <c r="G531" i="3"/>
  <c r="G530" i="3"/>
  <c r="G529" i="3"/>
  <c r="G527" i="3"/>
  <c r="G526" i="3"/>
  <c r="G525" i="3"/>
  <c r="G524" i="3"/>
  <c r="G523" i="3"/>
  <c r="G522" i="3"/>
  <c r="G521" i="3"/>
  <c r="G520" i="3"/>
  <c r="G508" i="3"/>
  <c r="G507" i="3"/>
  <c r="G495" i="3"/>
  <c r="G493" i="3"/>
  <c r="G490" i="3"/>
  <c r="G488" i="3"/>
  <c r="G487" i="3"/>
  <c r="G486" i="3"/>
  <c r="G485" i="3"/>
  <c r="G484" i="3"/>
  <c r="G483" i="3"/>
  <c r="G482" i="3"/>
  <c r="G480" i="3"/>
  <c r="G479" i="3"/>
  <c r="G478" i="3"/>
  <c r="G476" i="3"/>
  <c r="G475" i="3"/>
  <c r="G461" i="3"/>
  <c r="G460" i="3"/>
  <c r="G459" i="3"/>
  <c r="G458" i="3"/>
  <c r="G457" i="3"/>
  <c r="G456" i="3"/>
  <c r="G454" i="3"/>
  <c r="G452" i="3"/>
  <c r="G451" i="3"/>
  <c r="G450" i="3"/>
  <c r="G449" i="3"/>
  <c r="G448" i="3"/>
  <c r="G447" i="3"/>
  <c r="G446" i="3"/>
  <c r="G441" i="3"/>
  <c r="G440" i="3"/>
  <c r="G439" i="3"/>
  <c r="G436" i="3"/>
  <c r="G426" i="3"/>
  <c r="G424" i="3"/>
  <c r="G423" i="3"/>
  <c r="G422" i="3"/>
  <c r="G419" i="3"/>
  <c r="G418" i="3"/>
  <c r="G417" i="3"/>
  <c r="G415" i="3"/>
  <c r="G414" i="3"/>
  <c r="G413" i="3"/>
  <c r="G412" i="3"/>
  <c r="G396" i="3"/>
  <c r="G395" i="3"/>
  <c r="G394" i="3"/>
  <c r="G393" i="3"/>
  <c r="G392" i="3"/>
  <c r="G391" i="3"/>
  <c r="G387" i="3"/>
  <c r="G386" i="3"/>
  <c r="G385" i="3"/>
  <c r="G384" i="3"/>
  <c r="G370" i="3"/>
  <c r="G369" i="3"/>
  <c r="G368" i="3"/>
  <c r="G367" i="3"/>
  <c r="G366" i="3"/>
  <c r="G343" i="3"/>
  <c r="G339" i="3"/>
  <c r="G338" i="3"/>
  <c r="G337" i="3"/>
  <c r="G336" i="3"/>
  <c r="G335" i="3"/>
  <c r="G334" i="3"/>
  <c r="G331" i="3"/>
  <c r="G330" i="3"/>
  <c r="G328" i="3"/>
  <c r="G316" i="3"/>
  <c r="G314" i="3"/>
  <c r="G313" i="3"/>
  <c r="G311" i="3"/>
  <c r="G310" i="3"/>
  <c r="G309" i="3"/>
  <c r="G308" i="3"/>
  <c r="G307" i="3"/>
  <c r="G306" i="3"/>
  <c r="G305" i="3"/>
  <c r="G294" i="3"/>
  <c r="G291" i="3"/>
  <c r="G290" i="3"/>
  <c r="G289" i="3"/>
  <c r="G288" i="3"/>
  <c r="G287" i="3"/>
  <c r="G286" i="3"/>
  <c r="G285" i="3"/>
  <c r="G284" i="3"/>
  <c r="G274" i="3"/>
  <c r="G273" i="3"/>
  <c r="G272" i="3"/>
  <c r="G268" i="3"/>
  <c r="G267" i="3"/>
  <c r="G266" i="3"/>
  <c r="G265" i="3"/>
  <c r="G264" i="3"/>
  <c r="G263" i="3"/>
  <c r="G262" i="3"/>
  <c r="G261" i="3"/>
  <c r="G257" i="3"/>
  <c r="G248" i="3"/>
  <c r="G246" i="3"/>
  <c r="G245" i="3"/>
  <c r="G244" i="3"/>
  <c r="G241" i="3"/>
  <c r="G240" i="3"/>
  <c r="G220" i="3"/>
  <c r="G219" i="3"/>
  <c r="G218" i="3"/>
  <c r="G216" i="3"/>
  <c r="G215" i="3"/>
  <c r="G214" i="3"/>
  <c r="G203" i="3"/>
  <c r="G206" i="3" s="1"/>
  <c r="G194" i="3"/>
  <c r="G193" i="3"/>
  <c r="G183" i="3"/>
  <c r="G182" i="3"/>
  <c r="G181" i="3"/>
  <c r="G180" i="3"/>
  <c r="G179" i="3"/>
  <c r="G178" i="3"/>
  <c r="G177" i="3"/>
  <c r="G176" i="3"/>
  <c r="G175" i="3"/>
  <c r="G174" i="3"/>
  <c r="G173" i="3"/>
  <c r="G171" i="3"/>
  <c r="G170" i="3"/>
  <c r="G167" i="3"/>
  <c r="G166" i="3"/>
  <c r="G164" i="3"/>
  <c r="G163" i="3"/>
  <c r="G160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26" i="3"/>
  <c r="G124" i="3"/>
  <c r="G121" i="3"/>
  <c r="G119" i="3"/>
  <c r="G118" i="3"/>
  <c r="G117" i="3"/>
  <c r="G116" i="3"/>
  <c r="G115" i="3"/>
  <c r="G114" i="3"/>
  <c r="G103" i="3"/>
  <c r="G102" i="3"/>
  <c r="O102" i="3" s="1"/>
  <c r="G101" i="3"/>
  <c r="G100" i="3"/>
  <c r="G99" i="3"/>
  <c r="G96" i="3"/>
  <c r="G95" i="3"/>
  <c r="G94" i="3"/>
  <c r="G93" i="3"/>
  <c r="G92" i="3"/>
  <c r="G91" i="3"/>
  <c r="G90" i="3"/>
  <c r="G89" i="3"/>
  <c r="G88" i="3"/>
  <c r="G87" i="3"/>
  <c r="G76" i="3"/>
  <c r="G74" i="3"/>
  <c r="G73" i="3"/>
  <c r="G72" i="3"/>
  <c r="G71" i="3"/>
  <c r="G70" i="3"/>
  <c r="G59" i="3"/>
  <c r="G58" i="3"/>
  <c r="G57" i="3"/>
  <c r="G56" i="3"/>
  <c r="O56" i="3" s="1"/>
  <c r="G45" i="3"/>
  <c r="G44" i="3"/>
  <c r="G43" i="3"/>
  <c r="G42" i="3"/>
  <c r="G41" i="3"/>
  <c r="G39" i="3"/>
  <c r="G37" i="3"/>
  <c r="G38" i="3"/>
  <c r="G26" i="3"/>
  <c r="G23" i="3"/>
  <c r="G22" i="3"/>
  <c r="G21" i="3"/>
  <c r="G20" i="3"/>
  <c r="G19" i="3"/>
  <c r="G17" i="3"/>
  <c r="G16" i="3"/>
  <c r="G15" i="3"/>
  <c r="G14" i="3"/>
  <c r="G47" i="3" l="1"/>
  <c r="R521" i="3"/>
  <c r="O521" i="3"/>
  <c r="P521" i="3" s="1"/>
  <c r="R613" i="3"/>
  <c r="O613" i="3"/>
  <c r="P613" i="3" s="1"/>
  <c r="R484" i="3"/>
  <c r="O484" i="3"/>
  <c r="P484" i="3" s="1"/>
  <c r="R93" i="3"/>
  <c r="O93" i="3"/>
  <c r="P93" i="3" s="1"/>
  <c r="F497" i="3" l="1"/>
  <c r="F510" i="3"/>
  <c r="F533" i="3"/>
  <c r="F574" i="3"/>
  <c r="F598" i="3"/>
  <c r="F631" i="3"/>
  <c r="E647" i="3"/>
  <c r="F647" i="3"/>
  <c r="E659" i="3"/>
  <c r="F659" i="3"/>
  <c r="D647" i="3" l="1"/>
  <c r="F232" i="3"/>
  <c r="S232" i="3"/>
  <c r="Q232" i="3"/>
  <c r="P232" i="3"/>
  <c r="N232" i="3"/>
  <c r="M232" i="3"/>
  <c r="L232" i="3"/>
  <c r="K232" i="3"/>
  <c r="J232" i="3"/>
  <c r="I232" i="3"/>
  <c r="H232" i="3"/>
  <c r="E232" i="3"/>
  <c r="R232" i="3"/>
  <c r="O495" i="3" l="1"/>
  <c r="P495" i="3" s="1"/>
  <c r="O490" i="3"/>
  <c r="P490" i="3" s="1"/>
  <c r="F33" i="4" l="1"/>
  <c r="G533" i="3"/>
  <c r="F43" i="4" s="1"/>
  <c r="G574" i="3"/>
  <c r="F44" i="4" s="1"/>
  <c r="G276" i="3"/>
  <c r="F29" i="4" s="1"/>
  <c r="G598" i="3"/>
  <c r="F45" i="4" s="1"/>
  <c r="G318" i="3"/>
  <c r="F31" i="4" s="1"/>
  <c r="G631" i="3"/>
  <c r="F46" i="4" s="1"/>
  <c r="G128" i="3"/>
  <c r="G222" i="3"/>
  <c r="F26" i="4" s="1"/>
  <c r="G463" i="3"/>
  <c r="F40" i="4" s="1"/>
  <c r="G185" i="3"/>
  <c r="G428" i="3"/>
  <c r="F39" i="4" s="1"/>
  <c r="G403" i="3"/>
  <c r="F38" i="4" s="1"/>
  <c r="G345" i="3"/>
  <c r="F32" i="4" s="1"/>
  <c r="G376" i="3"/>
  <c r="F37" i="4" s="1"/>
  <c r="G497" i="3"/>
  <c r="F41" i="4" s="1"/>
  <c r="G150" i="3"/>
  <c r="G250" i="3"/>
  <c r="F28" i="4" s="1"/>
  <c r="G105" i="3"/>
  <c r="G232" i="3"/>
  <c r="F27" i="4" s="1"/>
  <c r="O232" i="3"/>
  <c r="H463" i="3" l="1"/>
  <c r="A50" i="4"/>
  <c r="G40" i="4"/>
  <c r="G39" i="4"/>
  <c r="G38" i="4"/>
  <c r="G37" i="4"/>
  <c r="G33" i="4"/>
  <c r="G32" i="4"/>
  <c r="G30" i="4"/>
  <c r="G29" i="4"/>
  <c r="G28" i="4"/>
  <c r="G27" i="4"/>
  <c r="G25" i="4"/>
  <c r="F25" i="4"/>
  <c r="A4" i="4"/>
  <c r="Q659" i="3"/>
  <c r="N659" i="3"/>
  <c r="M659" i="3"/>
  <c r="L659" i="3"/>
  <c r="K659" i="3"/>
  <c r="J659" i="3"/>
  <c r="I659" i="3"/>
  <c r="H659" i="3"/>
  <c r="D659" i="3"/>
  <c r="C48" i="4" s="1"/>
  <c r="R657" i="3"/>
  <c r="O657" i="3"/>
  <c r="P657" i="3" s="1"/>
  <c r="R656" i="3"/>
  <c r="O656" i="3"/>
  <c r="P656" i="3" s="1"/>
  <c r="R655" i="3"/>
  <c r="O655" i="3"/>
  <c r="P655" i="3" s="1"/>
  <c r="Q647" i="3"/>
  <c r="N647" i="3"/>
  <c r="M647" i="3"/>
  <c r="L647" i="3"/>
  <c r="K647" i="3"/>
  <c r="J647" i="3"/>
  <c r="I647" i="3"/>
  <c r="H647" i="3"/>
  <c r="C47" i="4"/>
  <c r="R645" i="3"/>
  <c r="O645" i="3"/>
  <c r="P645" i="3" s="1"/>
  <c r="R643" i="3"/>
  <c r="O643" i="3"/>
  <c r="P643" i="3" s="1"/>
  <c r="R639" i="3"/>
  <c r="P639" i="3"/>
  <c r="Q631" i="3"/>
  <c r="N631" i="3"/>
  <c r="M631" i="3"/>
  <c r="L631" i="3"/>
  <c r="K631" i="3"/>
  <c r="J631" i="3"/>
  <c r="I631" i="3"/>
  <c r="H631" i="3"/>
  <c r="C46" i="4"/>
  <c r="R629" i="3"/>
  <c r="O629" i="3"/>
  <c r="P629" i="3" s="1"/>
  <c r="R628" i="3"/>
  <c r="O628" i="3"/>
  <c r="P628" i="3" s="1"/>
  <c r="R627" i="3"/>
  <c r="O627" i="3"/>
  <c r="P627" i="3" s="1"/>
  <c r="R626" i="3"/>
  <c r="O626" i="3"/>
  <c r="P626" i="3" s="1"/>
  <c r="R625" i="3"/>
  <c r="O625" i="3"/>
  <c r="P625" i="3" s="1"/>
  <c r="R624" i="3"/>
  <c r="O624" i="3"/>
  <c r="P624" i="3" s="1"/>
  <c r="R620" i="3"/>
  <c r="O620" i="3"/>
  <c r="P620" i="3" s="1"/>
  <c r="R618" i="3"/>
  <c r="O618" i="3"/>
  <c r="P618" i="3" s="1"/>
  <c r="R617" i="3"/>
  <c r="O617" i="3"/>
  <c r="P617" i="3" s="1"/>
  <c r="R616" i="3"/>
  <c r="O616" i="3"/>
  <c r="P616" i="3" s="1"/>
  <c r="R614" i="3"/>
  <c r="O614" i="3"/>
  <c r="P614" i="3" s="1"/>
  <c r="R612" i="3"/>
  <c r="O612" i="3"/>
  <c r="P612" i="3" s="1"/>
  <c r="R611" i="3"/>
  <c r="O611" i="3"/>
  <c r="P611" i="3" s="1"/>
  <c r="R610" i="3"/>
  <c r="O610" i="3"/>
  <c r="P610" i="3" s="1"/>
  <c r="R609" i="3"/>
  <c r="O609" i="3"/>
  <c r="P609" i="3" s="1"/>
  <c r="R607" i="3"/>
  <c r="O607" i="3"/>
  <c r="N598" i="3"/>
  <c r="M598" i="3"/>
  <c r="L598" i="3"/>
  <c r="K598" i="3"/>
  <c r="J598" i="3"/>
  <c r="I598" i="3"/>
  <c r="H598" i="3"/>
  <c r="C45" i="4"/>
  <c r="R596" i="3"/>
  <c r="O596" i="3"/>
  <c r="P596" i="3" s="1"/>
  <c r="R594" i="3"/>
  <c r="O594" i="3"/>
  <c r="P594" i="3" s="1"/>
  <c r="R593" i="3"/>
  <c r="O593" i="3"/>
  <c r="P593" i="3" s="1"/>
  <c r="R592" i="3"/>
  <c r="O592" i="3"/>
  <c r="P592" i="3" s="1"/>
  <c r="R591" i="3"/>
  <c r="O591" i="3"/>
  <c r="P591" i="3" s="1"/>
  <c r="R590" i="3"/>
  <c r="O590" i="3"/>
  <c r="P590" i="3" s="1"/>
  <c r="R589" i="3"/>
  <c r="O589" i="3"/>
  <c r="P589" i="3" s="1"/>
  <c r="R588" i="3"/>
  <c r="O588" i="3"/>
  <c r="P588" i="3" s="1"/>
  <c r="R587" i="3"/>
  <c r="O587" i="3"/>
  <c r="P587" i="3" s="1"/>
  <c r="R586" i="3"/>
  <c r="O586" i="3"/>
  <c r="P586" i="3" s="1"/>
  <c r="O584" i="3"/>
  <c r="N574" i="3"/>
  <c r="M574" i="3"/>
  <c r="L574" i="3"/>
  <c r="K574" i="3"/>
  <c r="J574" i="3"/>
  <c r="I574" i="3"/>
  <c r="H574" i="3"/>
  <c r="C44" i="4"/>
  <c r="R572" i="3"/>
  <c r="O572" i="3"/>
  <c r="P572" i="3" s="1"/>
  <c r="R571" i="3"/>
  <c r="O571" i="3"/>
  <c r="P571" i="3" s="1"/>
  <c r="R569" i="3"/>
  <c r="O569" i="3"/>
  <c r="P569" i="3" s="1"/>
  <c r="R568" i="3"/>
  <c r="O568" i="3"/>
  <c r="P568" i="3" s="1"/>
  <c r="R567" i="3"/>
  <c r="O567" i="3"/>
  <c r="P567" i="3" s="1"/>
  <c r="R566" i="3"/>
  <c r="O566" i="3"/>
  <c r="P566" i="3" s="1"/>
  <c r="R564" i="3"/>
  <c r="O564" i="3"/>
  <c r="P564" i="3" s="1"/>
  <c r="R561" i="3"/>
  <c r="O561" i="3"/>
  <c r="P561" i="3" s="1"/>
  <c r="R560" i="3"/>
  <c r="O560" i="3"/>
  <c r="P560" i="3" s="1"/>
  <c r="R559" i="3"/>
  <c r="O559" i="3"/>
  <c r="R558" i="3"/>
  <c r="O558" i="3"/>
  <c r="P558" i="3" s="1"/>
  <c r="R557" i="3"/>
  <c r="O557" i="3"/>
  <c r="P557" i="3" s="1"/>
  <c r="R556" i="3"/>
  <c r="O556" i="3"/>
  <c r="P556" i="3" s="1"/>
  <c r="R555" i="3"/>
  <c r="O555" i="3"/>
  <c r="P555" i="3" s="1"/>
  <c r="R554" i="3"/>
  <c r="O554" i="3"/>
  <c r="P554" i="3" s="1"/>
  <c r="R552" i="3"/>
  <c r="O552" i="3"/>
  <c r="P552" i="3" s="1"/>
  <c r="R551" i="3"/>
  <c r="O551" i="3"/>
  <c r="P551" i="3" s="1"/>
  <c r="R550" i="3"/>
  <c r="O550" i="3"/>
  <c r="P550" i="3" s="1"/>
  <c r="R549" i="3"/>
  <c r="O549" i="3"/>
  <c r="P549" i="3" s="1"/>
  <c r="R548" i="3"/>
  <c r="O548" i="3"/>
  <c r="P548" i="3" s="1"/>
  <c r="R547" i="3"/>
  <c r="O547" i="3"/>
  <c r="P547" i="3" s="1"/>
  <c r="R544" i="3"/>
  <c r="O544" i="3"/>
  <c r="P544" i="3" s="1"/>
  <c r="R543" i="3"/>
  <c r="O543" i="3"/>
  <c r="P543" i="3" s="1"/>
  <c r="R542" i="3"/>
  <c r="Q533" i="3"/>
  <c r="N533" i="3"/>
  <c r="M533" i="3"/>
  <c r="L533" i="3"/>
  <c r="K533" i="3"/>
  <c r="J533" i="3"/>
  <c r="I533" i="3"/>
  <c r="H533" i="3"/>
  <c r="R531" i="3"/>
  <c r="O531" i="3"/>
  <c r="P531" i="3" s="1"/>
  <c r="R530" i="3"/>
  <c r="O530" i="3"/>
  <c r="P530" i="3" s="1"/>
  <c r="R529" i="3"/>
  <c r="O529" i="3"/>
  <c r="P529" i="3" s="1"/>
  <c r="R527" i="3"/>
  <c r="O527" i="3"/>
  <c r="P527" i="3" s="1"/>
  <c r="R526" i="3"/>
  <c r="O526" i="3"/>
  <c r="P526" i="3" s="1"/>
  <c r="R525" i="3"/>
  <c r="O525" i="3"/>
  <c r="P525" i="3" s="1"/>
  <c r="R524" i="3"/>
  <c r="O524" i="3"/>
  <c r="P524" i="3" s="1"/>
  <c r="R523" i="3"/>
  <c r="O523" i="3"/>
  <c r="P523" i="3" s="1"/>
  <c r="R522" i="3"/>
  <c r="O522" i="3"/>
  <c r="P522" i="3" s="1"/>
  <c r="R520" i="3"/>
  <c r="O520" i="3"/>
  <c r="Q510" i="3"/>
  <c r="N510" i="3"/>
  <c r="M510" i="3"/>
  <c r="L510" i="3"/>
  <c r="K510" i="3"/>
  <c r="J510" i="3"/>
  <c r="I510" i="3"/>
  <c r="H510" i="3"/>
  <c r="C42" i="4"/>
  <c r="R508" i="3"/>
  <c r="O508" i="3"/>
  <c r="P508" i="3" s="1"/>
  <c r="R507" i="3"/>
  <c r="G510" i="3"/>
  <c r="F42" i="4" s="1"/>
  <c r="Q497" i="3"/>
  <c r="N497" i="3"/>
  <c r="M497" i="3"/>
  <c r="L497" i="3"/>
  <c r="K497" i="3"/>
  <c r="J497" i="3"/>
  <c r="I497" i="3"/>
  <c r="H497" i="3"/>
  <c r="C41" i="4"/>
  <c r="R495" i="3"/>
  <c r="R493" i="3"/>
  <c r="O493" i="3"/>
  <c r="P493" i="3" s="1"/>
  <c r="R492" i="3"/>
  <c r="O492" i="3"/>
  <c r="P492" i="3" s="1"/>
  <c r="R490" i="3"/>
  <c r="R488" i="3"/>
  <c r="O488" i="3"/>
  <c r="P488" i="3" s="1"/>
  <c r="R487" i="3"/>
  <c r="O487" i="3"/>
  <c r="P487" i="3" s="1"/>
  <c r="R486" i="3"/>
  <c r="O486" i="3"/>
  <c r="P486" i="3" s="1"/>
  <c r="R485" i="3"/>
  <c r="O485" i="3"/>
  <c r="P485" i="3" s="1"/>
  <c r="R483" i="3"/>
  <c r="O483" i="3"/>
  <c r="P483" i="3" s="1"/>
  <c r="R482" i="3"/>
  <c r="O482" i="3"/>
  <c r="P482" i="3" s="1"/>
  <c r="R480" i="3"/>
  <c r="O480" i="3"/>
  <c r="P480" i="3" s="1"/>
  <c r="R479" i="3"/>
  <c r="O479" i="3"/>
  <c r="R478" i="3"/>
  <c r="O478" i="3"/>
  <c r="P478" i="3" s="1"/>
  <c r="R476" i="3"/>
  <c r="O476" i="3"/>
  <c r="P476" i="3" s="1"/>
  <c r="R475" i="3"/>
  <c r="O475" i="3"/>
  <c r="N463" i="3"/>
  <c r="M463" i="3"/>
  <c r="K463" i="3"/>
  <c r="J463" i="3"/>
  <c r="I463" i="3"/>
  <c r="F463" i="3"/>
  <c r="E40" i="4" s="1"/>
  <c r="D40" i="4"/>
  <c r="C40" i="4"/>
  <c r="R461" i="3"/>
  <c r="O461" i="3"/>
  <c r="P461" i="3" s="1"/>
  <c r="R460" i="3"/>
  <c r="O460" i="3"/>
  <c r="P460" i="3" s="1"/>
  <c r="R459" i="3"/>
  <c r="O459" i="3"/>
  <c r="P459" i="3" s="1"/>
  <c r="R458" i="3"/>
  <c r="O458" i="3"/>
  <c r="P458" i="3" s="1"/>
  <c r="R457" i="3"/>
  <c r="O457" i="3"/>
  <c r="P457" i="3" s="1"/>
  <c r="R456" i="3"/>
  <c r="O456" i="3"/>
  <c r="P456" i="3" s="1"/>
  <c r="R454" i="3"/>
  <c r="O454" i="3"/>
  <c r="P454" i="3" s="1"/>
  <c r="R452" i="3"/>
  <c r="O452" i="3"/>
  <c r="P452" i="3" s="1"/>
  <c r="R451" i="3"/>
  <c r="L463" i="3"/>
  <c r="O451" i="3"/>
  <c r="P451" i="3" s="1"/>
  <c r="R450" i="3"/>
  <c r="O450" i="3"/>
  <c r="P450" i="3" s="1"/>
  <c r="R449" i="3"/>
  <c r="O449" i="3"/>
  <c r="P449" i="3" s="1"/>
  <c r="R448" i="3"/>
  <c r="O448" i="3"/>
  <c r="P448" i="3" s="1"/>
  <c r="R447" i="3"/>
  <c r="O447" i="3"/>
  <c r="P447" i="3" s="1"/>
  <c r="R446" i="3"/>
  <c r="O446" i="3"/>
  <c r="P446" i="3" s="1"/>
  <c r="R441" i="3"/>
  <c r="O441" i="3"/>
  <c r="P441" i="3" s="1"/>
  <c r="R440" i="3"/>
  <c r="O440" i="3"/>
  <c r="P440" i="3" s="1"/>
  <c r="R439" i="3"/>
  <c r="O439" i="3"/>
  <c r="P439" i="3" s="1"/>
  <c r="R436" i="3"/>
  <c r="O436" i="3"/>
  <c r="P436" i="3" s="1"/>
  <c r="Q428" i="3"/>
  <c r="N428" i="3"/>
  <c r="M428" i="3"/>
  <c r="K428" i="3"/>
  <c r="J428" i="3"/>
  <c r="I428" i="3"/>
  <c r="F428" i="3"/>
  <c r="E39" i="4" s="1"/>
  <c r="D39" i="4"/>
  <c r="C39" i="4"/>
  <c r="R426" i="3"/>
  <c r="O426" i="3"/>
  <c r="P426" i="3" s="1"/>
  <c r="R424" i="3"/>
  <c r="O424" i="3"/>
  <c r="P424" i="3" s="1"/>
  <c r="R423" i="3"/>
  <c r="O423" i="3"/>
  <c r="P423" i="3" s="1"/>
  <c r="R422" i="3"/>
  <c r="O422" i="3"/>
  <c r="P422" i="3" s="1"/>
  <c r="R419" i="3"/>
  <c r="O419" i="3"/>
  <c r="P419" i="3" s="1"/>
  <c r="R418" i="3"/>
  <c r="O418" i="3"/>
  <c r="P418" i="3" s="1"/>
  <c r="R417" i="3"/>
  <c r="O417" i="3"/>
  <c r="P417" i="3" s="1"/>
  <c r="R415" i="3"/>
  <c r="O415" i="3"/>
  <c r="P415" i="3" s="1"/>
  <c r="R414" i="3"/>
  <c r="L428" i="3"/>
  <c r="O414" i="3"/>
  <c r="P414" i="3" s="1"/>
  <c r="R413" i="3"/>
  <c r="O413" i="3"/>
  <c r="P413" i="3" s="1"/>
  <c r="R412" i="3"/>
  <c r="O412" i="3"/>
  <c r="P412" i="3" s="1"/>
  <c r="Q403" i="3"/>
  <c r="N403" i="3"/>
  <c r="M403" i="3"/>
  <c r="L403" i="3"/>
  <c r="K403" i="3"/>
  <c r="J403" i="3"/>
  <c r="I403" i="3"/>
  <c r="H403" i="3"/>
  <c r="F403" i="3"/>
  <c r="D38" i="4"/>
  <c r="C38" i="4"/>
  <c r="R396" i="3"/>
  <c r="O396" i="3"/>
  <c r="P396" i="3" s="1"/>
  <c r="R395" i="3"/>
  <c r="O395" i="3"/>
  <c r="P395" i="3" s="1"/>
  <c r="R394" i="3"/>
  <c r="O394" i="3"/>
  <c r="P394" i="3" s="1"/>
  <c r="R393" i="3"/>
  <c r="O393" i="3"/>
  <c r="P393" i="3" s="1"/>
  <c r="R392" i="3"/>
  <c r="O392" i="3"/>
  <c r="P392" i="3" s="1"/>
  <c r="R391" i="3"/>
  <c r="O391" i="3"/>
  <c r="P391" i="3" s="1"/>
  <c r="R387" i="3"/>
  <c r="O387" i="3"/>
  <c r="P387" i="3" s="1"/>
  <c r="R386" i="3"/>
  <c r="O386" i="3"/>
  <c r="P386" i="3" s="1"/>
  <c r="R385" i="3"/>
  <c r="O385" i="3"/>
  <c r="P385" i="3" s="1"/>
  <c r="R384" i="3"/>
  <c r="O384" i="3"/>
  <c r="P384" i="3" s="1"/>
  <c r="Q376" i="3"/>
  <c r="N376" i="3"/>
  <c r="M376" i="3"/>
  <c r="L376" i="3"/>
  <c r="K376" i="3"/>
  <c r="J376" i="3"/>
  <c r="I376" i="3"/>
  <c r="H376" i="3"/>
  <c r="F376" i="3"/>
  <c r="E37" i="4" s="1"/>
  <c r="D37" i="4"/>
  <c r="C37" i="4"/>
  <c r="R374" i="3"/>
  <c r="O374" i="3"/>
  <c r="P374" i="3" s="1"/>
  <c r="R370" i="3"/>
  <c r="O370" i="3"/>
  <c r="P370" i="3" s="1"/>
  <c r="R369" i="3"/>
  <c r="O369" i="3"/>
  <c r="P369" i="3" s="1"/>
  <c r="R368" i="3"/>
  <c r="O368" i="3"/>
  <c r="P368" i="3" s="1"/>
  <c r="R367" i="3"/>
  <c r="O367" i="3"/>
  <c r="P367" i="3" s="1"/>
  <c r="R366" i="3"/>
  <c r="E33" i="4"/>
  <c r="D33" i="4"/>
  <c r="C33" i="4"/>
  <c r="R355" i="3"/>
  <c r="R358" i="3" s="1"/>
  <c r="O355" i="3"/>
  <c r="H32" i="4"/>
  <c r="N345" i="3"/>
  <c r="M345" i="3"/>
  <c r="K345" i="3"/>
  <c r="J345" i="3"/>
  <c r="I345" i="3"/>
  <c r="H345" i="3"/>
  <c r="F345" i="3"/>
  <c r="E32" i="4" s="1"/>
  <c r="E345" i="3"/>
  <c r="D32" i="4" s="1"/>
  <c r="C32" i="4"/>
  <c r="R343" i="3"/>
  <c r="O343" i="3"/>
  <c r="P343" i="3" s="1"/>
  <c r="R339" i="3"/>
  <c r="O339" i="3"/>
  <c r="P339" i="3" s="1"/>
  <c r="R338" i="3"/>
  <c r="O338" i="3"/>
  <c r="P338" i="3" s="1"/>
  <c r="R337" i="3"/>
  <c r="O337" i="3"/>
  <c r="P337" i="3" s="1"/>
  <c r="R336" i="3"/>
  <c r="O336" i="3"/>
  <c r="P336" i="3" s="1"/>
  <c r="R335" i="3"/>
  <c r="O335" i="3"/>
  <c r="P335" i="3" s="1"/>
  <c r="R334" i="3"/>
  <c r="O334" i="3"/>
  <c r="P334" i="3" s="1"/>
  <c r="R331" i="3"/>
  <c r="O331" i="3"/>
  <c r="P331" i="3" s="1"/>
  <c r="R330" i="3"/>
  <c r="O330" i="3"/>
  <c r="P330" i="3" s="1"/>
  <c r="R328" i="3"/>
  <c r="O328" i="3"/>
  <c r="Q318" i="3"/>
  <c r="N318" i="3"/>
  <c r="M318" i="3"/>
  <c r="L318" i="3"/>
  <c r="K318" i="3"/>
  <c r="J318" i="3"/>
  <c r="I318" i="3"/>
  <c r="H318" i="3"/>
  <c r="F318" i="3"/>
  <c r="E318" i="3"/>
  <c r="C31" i="4"/>
  <c r="R316" i="3"/>
  <c r="O316" i="3"/>
  <c r="P316" i="3" s="1"/>
  <c r="R314" i="3"/>
  <c r="O314" i="3"/>
  <c r="R313" i="3"/>
  <c r="O313" i="3"/>
  <c r="P313" i="3" s="1"/>
  <c r="R311" i="3"/>
  <c r="O311" i="3"/>
  <c r="R310" i="3"/>
  <c r="O310" i="3"/>
  <c r="R309" i="3"/>
  <c r="O309" i="3"/>
  <c r="R308" i="3"/>
  <c r="O308" i="3"/>
  <c r="R307" i="3"/>
  <c r="O307" i="3"/>
  <c r="R306" i="3"/>
  <c r="O306" i="3"/>
  <c r="R305" i="3"/>
  <c r="O305" i="3"/>
  <c r="Q296" i="3"/>
  <c r="H30" i="4" s="1"/>
  <c r="N296" i="3"/>
  <c r="M296" i="3"/>
  <c r="L296" i="3"/>
  <c r="K296" i="3"/>
  <c r="J296" i="3"/>
  <c r="I296" i="3"/>
  <c r="H296" i="3"/>
  <c r="F296" i="3"/>
  <c r="E30" i="4" s="1"/>
  <c r="E296" i="3"/>
  <c r="D30" i="4" s="1"/>
  <c r="C30" i="4"/>
  <c r="R294" i="3"/>
  <c r="O294" i="3"/>
  <c r="P294" i="3" s="1"/>
  <c r="R291" i="3"/>
  <c r="O291" i="3"/>
  <c r="P291" i="3" s="1"/>
  <c r="R290" i="3"/>
  <c r="O290" i="3"/>
  <c r="P290" i="3" s="1"/>
  <c r="R289" i="3"/>
  <c r="O289" i="3"/>
  <c r="P289" i="3" s="1"/>
  <c r="R288" i="3"/>
  <c r="O288" i="3"/>
  <c r="P288" i="3" s="1"/>
  <c r="R287" i="3"/>
  <c r="O287" i="3"/>
  <c r="P287" i="3" s="1"/>
  <c r="R286" i="3"/>
  <c r="O286" i="3"/>
  <c r="P286" i="3" s="1"/>
  <c r="R285" i="3"/>
  <c r="O285" i="3"/>
  <c r="P285" i="3" s="1"/>
  <c r="R284" i="3"/>
  <c r="N276" i="3"/>
  <c r="M276" i="3"/>
  <c r="L276" i="3"/>
  <c r="K276" i="3"/>
  <c r="J276" i="3"/>
  <c r="I276" i="3"/>
  <c r="H276" i="3"/>
  <c r="F276" i="3"/>
  <c r="E29" i="4" s="1"/>
  <c r="D29" i="4"/>
  <c r="C29" i="4"/>
  <c r="R274" i="3"/>
  <c r="O274" i="3"/>
  <c r="P274" i="3" s="1"/>
  <c r="R273" i="3"/>
  <c r="O273" i="3"/>
  <c r="P273" i="3" s="1"/>
  <c r="R272" i="3"/>
  <c r="O272" i="3"/>
  <c r="P272" i="3" s="1"/>
  <c r="R268" i="3"/>
  <c r="O268" i="3"/>
  <c r="R267" i="3"/>
  <c r="O267" i="3"/>
  <c r="P267" i="3" s="1"/>
  <c r="R266" i="3"/>
  <c r="O266" i="3"/>
  <c r="P266" i="3" s="1"/>
  <c r="R265" i="3"/>
  <c r="O265" i="3"/>
  <c r="P265" i="3" s="1"/>
  <c r="R264" i="3"/>
  <c r="O264" i="3"/>
  <c r="P264" i="3" s="1"/>
  <c r="R263" i="3"/>
  <c r="O263" i="3"/>
  <c r="P263" i="3" s="1"/>
  <c r="R262" i="3"/>
  <c r="O262" i="3"/>
  <c r="P262" i="3" s="1"/>
  <c r="R261" i="3"/>
  <c r="O261" i="3"/>
  <c r="P261" i="3" s="1"/>
  <c r="R257" i="3"/>
  <c r="O257" i="3"/>
  <c r="P257" i="3" s="1"/>
  <c r="Q250" i="3"/>
  <c r="H28" i="4" s="1"/>
  <c r="N250" i="3"/>
  <c r="M250" i="3"/>
  <c r="L250" i="3"/>
  <c r="K250" i="3"/>
  <c r="J250" i="3"/>
  <c r="I250" i="3"/>
  <c r="H250" i="3"/>
  <c r="F250" i="3"/>
  <c r="E28" i="4" s="1"/>
  <c r="E250" i="3"/>
  <c r="D28" i="4" s="1"/>
  <c r="C28" i="4"/>
  <c r="R248" i="3"/>
  <c r="O248" i="3"/>
  <c r="P248" i="3" s="1"/>
  <c r="R246" i="3"/>
  <c r="O246" i="3"/>
  <c r="P246" i="3" s="1"/>
  <c r="R245" i="3"/>
  <c r="O245" i="3"/>
  <c r="P245" i="3" s="1"/>
  <c r="R244" i="3"/>
  <c r="O244" i="3"/>
  <c r="P244" i="3" s="1"/>
  <c r="R241" i="3"/>
  <c r="O241" i="3"/>
  <c r="P241" i="3" s="1"/>
  <c r="R240" i="3"/>
  <c r="O240" i="3"/>
  <c r="P240" i="3" s="1"/>
  <c r="E27" i="4"/>
  <c r="D27" i="4"/>
  <c r="D232" i="3"/>
  <c r="R234" i="3"/>
  <c r="Q222" i="3"/>
  <c r="N222" i="3"/>
  <c r="M222" i="3"/>
  <c r="L222" i="3"/>
  <c r="K222" i="3"/>
  <c r="J222" i="3"/>
  <c r="I222" i="3"/>
  <c r="H222" i="3"/>
  <c r="F222" i="3"/>
  <c r="E26" i="4" s="1"/>
  <c r="E222" i="3"/>
  <c r="D26" i="4" s="1"/>
  <c r="C26" i="4"/>
  <c r="R220" i="3"/>
  <c r="O220" i="3"/>
  <c r="P220" i="3" s="1"/>
  <c r="R219" i="3"/>
  <c r="O219" i="3"/>
  <c r="P219" i="3" s="1"/>
  <c r="R218" i="3"/>
  <c r="O218" i="3"/>
  <c r="P218" i="3" s="1"/>
  <c r="R216" i="3"/>
  <c r="O216" i="3"/>
  <c r="P216" i="3" s="1"/>
  <c r="R215" i="3"/>
  <c r="O215" i="3"/>
  <c r="P215" i="3" s="1"/>
  <c r="R214" i="3"/>
  <c r="G26" i="4"/>
  <c r="E25" i="4"/>
  <c r="D25" i="4"/>
  <c r="C25" i="4"/>
  <c r="R203" i="3"/>
  <c r="O203" i="3"/>
  <c r="O206" i="3" s="1"/>
  <c r="Q196" i="3"/>
  <c r="H24" i="4" s="1"/>
  <c r="N196" i="3"/>
  <c r="M196" i="3"/>
  <c r="L196" i="3"/>
  <c r="K196" i="3"/>
  <c r="J196" i="3"/>
  <c r="I196" i="3"/>
  <c r="H196" i="3"/>
  <c r="F196" i="3"/>
  <c r="E196" i="3"/>
  <c r="C24" i="4"/>
  <c r="R194" i="3"/>
  <c r="O194" i="3"/>
  <c r="P194" i="3" s="1"/>
  <c r="R193" i="3"/>
  <c r="O193" i="3"/>
  <c r="P185" i="3"/>
  <c r="N185" i="3"/>
  <c r="M185" i="3"/>
  <c r="L185" i="3"/>
  <c r="K185" i="3"/>
  <c r="J185" i="3"/>
  <c r="I185" i="3"/>
  <c r="H185" i="3"/>
  <c r="F185" i="3"/>
  <c r="E185" i="3"/>
  <c r="C20" i="4"/>
  <c r="R183" i="3"/>
  <c r="O183" i="3"/>
  <c r="R182" i="3"/>
  <c r="O182" i="3"/>
  <c r="R181" i="3"/>
  <c r="O181" i="3"/>
  <c r="R180" i="3"/>
  <c r="O180" i="3"/>
  <c r="R179" i="3"/>
  <c r="O179" i="3"/>
  <c r="R178" i="3"/>
  <c r="O178" i="3"/>
  <c r="R177" i="3"/>
  <c r="O177" i="3"/>
  <c r="R176" i="3"/>
  <c r="O176" i="3"/>
  <c r="R175" i="3"/>
  <c r="O175" i="3"/>
  <c r="R174" i="3"/>
  <c r="O174" i="3"/>
  <c r="R173" i="3"/>
  <c r="O173" i="3"/>
  <c r="R171" i="3"/>
  <c r="O171" i="3"/>
  <c r="R170" i="3"/>
  <c r="O170" i="3"/>
  <c r="R167" i="3"/>
  <c r="O167" i="3"/>
  <c r="R166" i="3"/>
  <c r="O166" i="3"/>
  <c r="R164" i="3"/>
  <c r="O164" i="3"/>
  <c r="R163" i="3"/>
  <c r="O163" i="3"/>
  <c r="R160" i="3"/>
  <c r="O160" i="3"/>
  <c r="P150" i="3"/>
  <c r="N150" i="3"/>
  <c r="M150" i="3"/>
  <c r="L150" i="3"/>
  <c r="K150" i="3"/>
  <c r="J150" i="3"/>
  <c r="I150" i="3"/>
  <c r="H150" i="3"/>
  <c r="F150" i="3"/>
  <c r="C19" i="4"/>
  <c r="R148" i="3"/>
  <c r="O148" i="3"/>
  <c r="R147" i="3"/>
  <c r="O147" i="3"/>
  <c r="R146" i="3"/>
  <c r="O146" i="3"/>
  <c r="R145" i="3"/>
  <c r="O145" i="3"/>
  <c r="R144" i="3"/>
  <c r="O144" i="3"/>
  <c r="R143" i="3"/>
  <c r="O143" i="3"/>
  <c r="R142" i="3"/>
  <c r="O142" i="3"/>
  <c r="R141" i="3"/>
  <c r="O141" i="3"/>
  <c r="R140" i="3"/>
  <c r="O140" i="3"/>
  <c r="R139" i="3"/>
  <c r="O139" i="3"/>
  <c r="R138" i="3"/>
  <c r="O138" i="3"/>
  <c r="R137" i="3"/>
  <c r="Q128" i="3"/>
  <c r="N128" i="3"/>
  <c r="M128" i="3"/>
  <c r="L128" i="3"/>
  <c r="K128" i="3"/>
  <c r="J128" i="3"/>
  <c r="I128" i="3"/>
  <c r="H128" i="3"/>
  <c r="F128" i="3"/>
  <c r="E18" i="4" s="1"/>
  <c r="C18" i="4"/>
  <c r="R126" i="3"/>
  <c r="O126" i="3"/>
  <c r="P126" i="3" s="1"/>
  <c r="R124" i="3"/>
  <c r="O124" i="3"/>
  <c r="P124" i="3" s="1"/>
  <c r="R121" i="3"/>
  <c r="O121" i="3"/>
  <c r="P121" i="3" s="1"/>
  <c r="R119" i="3"/>
  <c r="O119" i="3"/>
  <c r="P119" i="3" s="1"/>
  <c r="R118" i="3"/>
  <c r="O118" i="3"/>
  <c r="P118" i="3" s="1"/>
  <c r="R117" i="3"/>
  <c r="O117" i="3"/>
  <c r="P117" i="3" s="1"/>
  <c r="R116" i="3"/>
  <c r="O116" i="3"/>
  <c r="P116" i="3" s="1"/>
  <c r="R115" i="3"/>
  <c r="O115" i="3"/>
  <c r="P115" i="3" s="1"/>
  <c r="R114" i="3"/>
  <c r="O114" i="3"/>
  <c r="P114" i="3" s="1"/>
  <c r="Q105" i="3"/>
  <c r="N105" i="3"/>
  <c r="M105" i="3"/>
  <c r="L105" i="3"/>
  <c r="K105" i="3"/>
  <c r="J105" i="3"/>
  <c r="I105" i="3"/>
  <c r="H105" i="3"/>
  <c r="F105" i="3"/>
  <c r="C17" i="4"/>
  <c r="R103" i="3"/>
  <c r="O103" i="3"/>
  <c r="P103" i="3" s="1"/>
  <c r="R102" i="3"/>
  <c r="R101" i="3"/>
  <c r="O101" i="3"/>
  <c r="R100" i="3"/>
  <c r="O100" i="3"/>
  <c r="P100" i="3" s="1"/>
  <c r="R99" i="3"/>
  <c r="O99" i="3"/>
  <c r="P99" i="3" s="1"/>
  <c r="R96" i="3"/>
  <c r="O96" i="3"/>
  <c r="P96" i="3" s="1"/>
  <c r="R95" i="3"/>
  <c r="O95" i="3"/>
  <c r="P95" i="3" s="1"/>
  <c r="R94" i="3"/>
  <c r="O94" i="3"/>
  <c r="P94" i="3" s="1"/>
  <c r="R92" i="3"/>
  <c r="O92" i="3"/>
  <c r="P92" i="3" s="1"/>
  <c r="R91" i="3"/>
  <c r="O91" i="3"/>
  <c r="R90" i="3"/>
  <c r="O90" i="3"/>
  <c r="P90" i="3" s="1"/>
  <c r="R89" i="3"/>
  <c r="O89" i="3"/>
  <c r="P89" i="3" s="1"/>
  <c r="R88" i="3"/>
  <c r="O88" i="3"/>
  <c r="P88" i="3" s="1"/>
  <c r="R87" i="3"/>
  <c r="O87" i="3"/>
  <c r="Q78" i="3"/>
  <c r="N78" i="3"/>
  <c r="M78" i="3"/>
  <c r="L78" i="3"/>
  <c r="K78" i="3"/>
  <c r="J78" i="3"/>
  <c r="I78" i="3"/>
  <c r="G16" i="4" s="1"/>
  <c r="H78" i="3"/>
  <c r="F78" i="3"/>
  <c r="E78" i="3"/>
  <c r="C16" i="4"/>
  <c r="R76" i="3"/>
  <c r="O76" i="3"/>
  <c r="P76" i="3" s="1"/>
  <c r="R74" i="3"/>
  <c r="O74" i="3"/>
  <c r="P74" i="3" s="1"/>
  <c r="R73" i="3"/>
  <c r="O73" i="3"/>
  <c r="P73" i="3" s="1"/>
  <c r="R72" i="3"/>
  <c r="O72" i="3"/>
  <c r="R71" i="3"/>
  <c r="O71" i="3"/>
  <c r="R70" i="3"/>
  <c r="Q61" i="3"/>
  <c r="N61" i="3"/>
  <c r="M61" i="3"/>
  <c r="L61" i="3"/>
  <c r="K61" i="3"/>
  <c r="J61" i="3"/>
  <c r="I61" i="3"/>
  <c r="H61" i="3"/>
  <c r="F61" i="3"/>
  <c r="E61" i="3"/>
  <c r="C15" i="4"/>
  <c r="R59" i="3"/>
  <c r="O59" i="3"/>
  <c r="P59" i="3" s="1"/>
  <c r="R58" i="3"/>
  <c r="O58" i="3"/>
  <c r="P58" i="3" s="1"/>
  <c r="R57" i="3"/>
  <c r="O57" i="3"/>
  <c r="P57" i="3" s="1"/>
  <c r="R56" i="3"/>
  <c r="H14" i="4"/>
  <c r="C14" i="4"/>
  <c r="R45" i="3"/>
  <c r="O45" i="3"/>
  <c r="R44" i="3"/>
  <c r="O44" i="3"/>
  <c r="P44" i="3" s="1"/>
  <c r="R43" i="3"/>
  <c r="O43" i="3"/>
  <c r="P43" i="3" s="1"/>
  <c r="R42" i="3"/>
  <c r="O42" i="3"/>
  <c r="P42" i="3" s="1"/>
  <c r="R41" i="3"/>
  <c r="O41" i="3"/>
  <c r="P41" i="3" s="1"/>
  <c r="R39" i="3"/>
  <c r="O39" i="3"/>
  <c r="P39" i="3" s="1"/>
  <c r="O37" i="3"/>
  <c r="R38" i="3"/>
  <c r="Q28" i="3"/>
  <c r="N28" i="3"/>
  <c r="M28" i="3"/>
  <c r="L28" i="3"/>
  <c r="K28" i="3"/>
  <c r="J28" i="3"/>
  <c r="I28" i="3"/>
  <c r="F28" i="3"/>
  <c r="E28" i="3"/>
  <c r="R26" i="3"/>
  <c r="O26" i="3"/>
  <c r="P26" i="3" s="1"/>
  <c r="R23" i="3"/>
  <c r="O23" i="3"/>
  <c r="P23" i="3" s="1"/>
  <c r="R22" i="3"/>
  <c r="H28" i="3"/>
  <c r="O22" i="3"/>
  <c r="P22" i="3" s="1"/>
  <c r="R21" i="3"/>
  <c r="O21" i="3"/>
  <c r="P21" i="3" s="1"/>
  <c r="R20" i="3"/>
  <c r="O20" i="3"/>
  <c r="P20" i="3" s="1"/>
  <c r="R19" i="3"/>
  <c r="O19" i="3"/>
  <c r="P19" i="3" s="1"/>
  <c r="R17" i="3"/>
  <c r="O17" i="3"/>
  <c r="P17" i="3" s="1"/>
  <c r="R16" i="3"/>
  <c r="O16" i="3"/>
  <c r="P16" i="3" s="1"/>
  <c r="R15" i="3"/>
  <c r="O15" i="3"/>
  <c r="P15" i="3" s="1"/>
  <c r="R14" i="3"/>
  <c r="R463" i="3" l="1"/>
  <c r="R469" i="3" s="1"/>
  <c r="R345" i="3"/>
  <c r="R347" i="3" s="1"/>
  <c r="R206" i="3"/>
  <c r="R208" i="3" s="1"/>
  <c r="P37" i="3"/>
  <c r="R47" i="3"/>
  <c r="R49" i="3" s="1"/>
  <c r="D666" i="3"/>
  <c r="P355" i="3"/>
  <c r="P358" i="3" s="1"/>
  <c r="O358" i="3"/>
  <c r="F666" i="3"/>
  <c r="C27" i="4"/>
  <c r="E666" i="3"/>
  <c r="E38" i="4"/>
  <c r="C43" i="4"/>
  <c r="G28" i="3"/>
  <c r="I28" i="4"/>
  <c r="I30" i="4"/>
  <c r="R659" i="3"/>
  <c r="R661" i="3" s="1"/>
  <c r="R196" i="3"/>
  <c r="R198" i="3" s="1"/>
  <c r="G196" i="3"/>
  <c r="R222" i="3"/>
  <c r="R224" i="3" s="1"/>
  <c r="F14" i="4"/>
  <c r="G61" i="3"/>
  <c r="G296" i="3"/>
  <c r="F30" i="4" s="1"/>
  <c r="R276" i="3"/>
  <c r="R278" i="3" s="1"/>
  <c r="R296" i="3"/>
  <c r="R298" i="3" s="1"/>
  <c r="D31" i="4"/>
  <c r="G42" i="4"/>
  <c r="R78" i="3"/>
  <c r="R80" i="3" s="1"/>
  <c r="O250" i="3"/>
  <c r="P250" i="3"/>
  <c r="P403" i="3"/>
  <c r="P520" i="3"/>
  <c r="P533" i="3" s="1"/>
  <c r="O533" i="3"/>
  <c r="O38" i="3"/>
  <c r="P38" i="3" s="1"/>
  <c r="F18" i="4"/>
  <c r="R128" i="3"/>
  <c r="R130" i="3" s="1"/>
  <c r="R428" i="3"/>
  <c r="R430" i="3" s="1"/>
  <c r="P463" i="3"/>
  <c r="O507" i="3"/>
  <c r="O510" i="3" s="1"/>
  <c r="G647" i="3"/>
  <c r="E44" i="4"/>
  <c r="R185" i="3"/>
  <c r="R187" i="3" s="1"/>
  <c r="O366" i="3"/>
  <c r="P366" i="3" s="1"/>
  <c r="P376" i="3" s="1"/>
  <c r="R510" i="3"/>
  <c r="R512" i="3" s="1"/>
  <c r="R598" i="3"/>
  <c r="R600" i="3" s="1"/>
  <c r="O647" i="3"/>
  <c r="H45" i="4"/>
  <c r="R376" i="3"/>
  <c r="R378" i="3" s="1"/>
  <c r="R403" i="3"/>
  <c r="R406" i="3" s="1"/>
  <c r="R647" i="3"/>
  <c r="R649" i="3" s="1"/>
  <c r="G78" i="3"/>
  <c r="F16" i="4" s="1"/>
  <c r="O284" i="3"/>
  <c r="P284" i="3" s="1"/>
  <c r="P296" i="3" s="1"/>
  <c r="R497" i="3"/>
  <c r="R500" i="3" s="1"/>
  <c r="H47" i="4"/>
  <c r="P56" i="3"/>
  <c r="P61" i="3" s="1"/>
  <c r="O70" i="3"/>
  <c r="P70" i="3" s="1"/>
  <c r="F17" i="4"/>
  <c r="R61" i="3"/>
  <c r="R63" i="3" s="1"/>
  <c r="R105" i="3"/>
  <c r="R107" i="3" s="1"/>
  <c r="O542" i="3"/>
  <c r="P542" i="3" s="1"/>
  <c r="P574" i="3" s="1"/>
  <c r="R28" i="3"/>
  <c r="R30" i="3" s="1"/>
  <c r="R150" i="3"/>
  <c r="R152" i="3" s="1"/>
  <c r="R360" i="3"/>
  <c r="R574" i="3"/>
  <c r="R631" i="3"/>
  <c r="R633" i="3" s="1"/>
  <c r="I32" i="4"/>
  <c r="O185" i="3"/>
  <c r="O196" i="3"/>
  <c r="P193" i="3"/>
  <c r="P196" i="3" s="1"/>
  <c r="O105" i="3"/>
  <c r="P71" i="3"/>
  <c r="P105" i="3"/>
  <c r="P128" i="3"/>
  <c r="O631" i="3"/>
  <c r="P607" i="3"/>
  <c r="P631" i="3" s="1"/>
  <c r="O14" i="3"/>
  <c r="D16" i="4"/>
  <c r="H16" i="4"/>
  <c r="I16" i="4" s="1"/>
  <c r="O128" i="3"/>
  <c r="G20" i="4"/>
  <c r="G24" i="4"/>
  <c r="I24" i="4" s="1"/>
  <c r="P203" i="3"/>
  <c r="P206" i="3" s="1"/>
  <c r="O345" i="3"/>
  <c r="P328" i="3"/>
  <c r="P345" i="3" s="1"/>
  <c r="G17" i="4"/>
  <c r="G13" i="4"/>
  <c r="G15" i="4"/>
  <c r="R250" i="3"/>
  <c r="R252" i="3" s="1"/>
  <c r="P305" i="3"/>
  <c r="P318" i="3" s="1"/>
  <c r="O318" i="3"/>
  <c r="D18" i="4"/>
  <c r="H18" i="4"/>
  <c r="R318" i="3"/>
  <c r="R320" i="3" s="1"/>
  <c r="G45" i="4"/>
  <c r="H27" i="4"/>
  <c r="I27" i="4" s="1"/>
  <c r="H25" i="4"/>
  <c r="I25" i="4" s="1"/>
  <c r="O497" i="3"/>
  <c r="P475" i="3"/>
  <c r="P497" i="3" s="1"/>
  <c r="O659" i="3"/>
  <c r="G14" i="4"/>
  <c r="D19" i="4"/>
  <c r="H26" i="4"/>
  <c r="I26" i="4" s="1"/>
  <c r="G31" i="4"/>
  <c r="P659" i="3"/>
  <c r="E16" i="4"/>
  <c r="E13" i="4"/>
  <c r="E19" i="4"/>
  <c r="O585" i="3"/>
  <c r="O598" i="3" s="1"/>
  <c r="D17" i="4"/>
  <c r="H17" i="4"/>
  <c r="G18" i="4"/>
  <c r="O137" i="3"/>
  <c r="O150" i="3" s="1"/>
  <c r="H19" i="4"/>
  <c r="E17" i="4"/>
  <c r="O214" i="3"/>
  <c r="E24" i="4"/>
  <c r="E15" i="4"/>
  <c r="C13" i="4"/>
  <c r="G19" i="4"/>
  <c r="D20" i="4"/>
  <c r="H20" i="4"/>
  <c r="D24" i="4"/>
  <c r="P598" i="3"/>
  <c r="G46" i="4"/>
  <c r="E14" i="4"/>
  <c r="D13" i="4"/>
  <c r="H13" i="4"/>
  <c r="D14" i="4"/>
  <c r="D15" i="4"/>
  <c r="H15" i="4"/>
  <c r="E20" i="4"/>
  <c r="P428" i="3"/>
  <c r="O463" i="3"/>
  <c r="R533" i="3"/>
  <c r="R536" i="3" s="1"/>
  <c r="E31" i="4"/>
  <c r="H42" i="4"/>
  <c r="I42" i="4" s="1"/>
  <c r="D46" i="4"/>
  <c r="O403" i="3"/>
  <c r="H29" i="4"/>
  <c r="I29" i="4" s="1"/>
  <c r="H37" i="4"/>
  <c r="I37" i="4" s="1"/>
  <c r="D41" i="4"/>
  <c r="G44" i="4"/>
  <c r="E46" i="4"/>
  <c r="E41" i="4"/>
  <c r="H44" i="4"/>
  <c r="D48" i="4"/>
  <c r="H31" i="4"/>
  <c r="H39" i="4"/>
  <c r="I39" i="4" s="1"/>
  <c r="D43" i="4"/>
  <c r="E48" i="4"/>
  <c r="O428" i="3"/>
  <c r="G659" i="3"/>
  <c r="F48" i="4" s="1"/>
  <c r="G41" i="4"/>
  <c r="E43" i="4"/>
  <c r="H46" i="4"/>
  <c r="H33" i="4"/>
  <c r="I33" i="4" s="1"/>
  <c r="H41" i="4"/>
  <c r="D45" i="4"/>
  <c r="G48" i="4"/>
  <c r="G43" i="4"/>
  <c r="E45" i="4"/>
  <c r="H48" i="4"/>
  <c r="H43" i="4"/>
  <c r="D47" i="4"/>
  <c r="H38" i="4"/>
  <c r="I38" i="4" s="1"/>
  <c r="D42" i="4"/>
  <c r="E47" i="4"/>
  <c r="E42" i="4"/>
  <c r="H40" i="4"/>
  <c r="I40" i="4" s="1"/>
  <c r="D44" i="4"/>
  <c r="G47" i="4"/>
  <c r="I48" i="4" l="1"/>
  <c r="I47" i="4"/>
  <c r="I41" i="4"/>
  <c r="E670" i="3"/>
  <c r="F670" i="3"/>
  <c r="D670" i="3"/>
  <c r="O47" i="3"/>
  <c r="P47" i="3"/>
  <c r="R576" i="3"/>
  <c r="F13" i="4"/>
  <c r="G666" i="3"/>
  <c r="F47" i="4"/>
  <c r="O376" i="3"/>
  <c r="F15" i="4"/>
  <c r="F19" i="4"/>
  <c r="P507" i="3"/>
  <c r="P510" i="3" s="1"/>
  <c r="I15" i="4"/>
  <c r="O296" i="3"/>
  <c r="F24" i="4"/>
  <c r="P78" i="3"/>
  <c r="I45" i="4"/>
  <c r="O574" i="3"/>
  <c r="I18" i="4"/>
  <c r="I43" i="4"/>
  <c r="O61" i="3"/>
  <c r="P647" i="3"/>
  <c r="O78" i="3"/>
  <c r="I14" i="4"/>
  <c r="I31" i="4"/>
  <c r="J22" i="4" s="1"/>
  <c r="I19" i="4"/>
  <c r="O276" i="3"/>
  <c r="P276" i="3"/>
  <c r="O28" i="3"/>
  <c r="P14" i="3"/>
  <c r="P28" i="3" s="1"/>
  <c r="I20" i="4"/>
  <c r="E50" i="4"/>
  <c r="G50" i="4"/>
  <c r="I46" i="4"/>
  <c r="F20" i="4"/>
  <c r="C50" i="4"/>
  <c r="I13" i="4"/>
  <c r="H50" i="4"/>
  <c r="I44" i="4"/>
  <c r="D50" i="4"/>
  <c r="O222" i="3"/>
  <c r="P214" i="3"/>
  <c r="P222" i="3" s="1"/>
  <c r="I17" i="4"/>
  <c r="J35" i="4" l="1"/>
  <c r="I50" i="4"/>
  <c r="F50" i="4"/>
  <c r="J50" i="4" l="1"/>
  <c r="L52" i="4"/>
  <c r="N52" i="4" s="1"/>
</calcChain>
</file>

<file path=xl/sharedStrings.xml><?xml version="1.0" encoding="utf-8"?>
<sst xmlns="http://schemas.openxmlformats.org/spreadsheetml/2006/main" count="605" uniqueCount="498">
  <si>
    <t xml:space="preserve"> </t>
  </si>
  <si>
    <t xml:space="preserve">SANTIAGO IXCUINTEPEC                                        </t>
  </si>
  <si>
    <t>GERENCIA ESTATAL OAXACA</t>
  </si>
  <si>
    <t>DEPARTAMENTO DE DISTRIBUCION Y TRANSPORTACION</t>
  </si>
  <si>
    <r>
      <rPr>
        <sz val="9"/>
        <rFont val="Arial"/>
        <family val="2"/>
        <charset val="1"/>
      </rPr>
      <t>REQUERIMIENTO DE LECHE EN POLVO CORRESPONDIENTE AL MES DE</t>
    </r>
    <r>
      <rPr>
        <b/>
        <sz val="9"/>
        <rFont val="Arial"/>
        <family val="2"/>
        <charset val="1"/>
      </rPr>
      <t xml:space="preserve"> ENERO DEL 2022.</t>
    </r>
  </si>
  <si>
    <t>LECHERÍA</t>
  </si>
  <si>
    <t>TIENDA</t>
  </si>
  <si>
    <t>PADRÓN</t>
  </si>
  <si>
    <t>DOT.</t>
  </si>
  <si>
    <t>EXIST.</t>
  </si>
  <si>
    <t>EXISTENCIA</t>
  </si>
  <si>
    <t>EXIST.ESTIMADA</t>
  </si>
  <si>
    <t>%  AJUSTE</t>
  </si>
  <si>
    <t>SOBRANTE</t>
  </si>
  <si>
    <t>CAJAS</t>
  </si>
  <si>
    <t>GUIA DE DISTRIB.</t>
  </si>
  <si>
    <t>NÚM.</t>
  </si>
  <si>
    <t>No.</t>
  </si>
  <si>
    <t>L O C A L I D A D</t>
  </si>
  <si>
    <t>FAM.</t>
  </si>
  <si>
    <t>BENEF.</t>
  </si>
  <si>
    <t>MEN.</t>
  </si>
  <si>
    <t>EN</t>
  </si>
  <si>
    <t>CAJ.</t>
  </si>
  <si>
    <t>SOB.</t>
  </si>
  <si>
    <t>INICIO</t>
  </si>
  <si>
    <t>DOT. TEORICA</t>
  </si>
  <si>
    <t>ESTIM. P/</t>
  </si>
  <si>
    <t>SOLIC. X</t>
  </si>
  <si>
    <t>TEORICA</t>
  </si>
  <si>
    <t>ALMACEN</t>
  </si>
  <si>
    <t>%</t>
  </si>
  <si>
    <t>SUPERV.</t>
  </si>
  <si>
    <t>::</t>
  </si>
  <si>
    <t>ALMACEN RURAL : CHALCATONGO</t>
  </si>
  <si>
    <t>LECHERIA</t>
  </si>
  <si>
    <t>num</t>
  </si>
  <si>
    <t>T O T A L</t>
  </si>
  <si>
    <t xml:space="preserve">OBSERVACIONES: </t>
  </si>
  <si>
    <t>TOTAL A RECIBIR EN ALMACEN:</t>
  </si>
  <si>
    <t>ALMACEN RURAL : COIXTLAHUACA</t>
  </si>
  <si>
    <t>SAN FRANCISCO TEOPAN</t>
  </si>
  <si>
    <t>CONCEPCION BUENA VISTA</t>
  </si>
  <si>
    <t>SN, JUAN BAUTISTA COIXTLAHUACA</t>
  </si>
  <si>
    <t>SAN MIGUEL HUAUTLA</t>
  </si>
  <si>
    <t>SAN PEDRO NOPALA</t>
  </si>
  <si>
    <t>SANTA MARIA IXCATLAN</t>
  </si>
  <si>
    <t>SANTIAGO APOALA</t>
  </si>
  <si>
    <t>SANTIAGO IHUITLAN PLUMAS</t>
  </si>
  <si>
    <t>ALMACEN RURAL : CONSTANCIA DEL ROSARIO</t>
  </si>
  <si>
    <t>MESONES HGO.</t>
  </si>
  <si>
    <t xml:space="preserve">CONSTANCIA DEL ROSARIO                            </t>
  </si>
  <si>
    <t>SAN JOSE XOCHIXTLAN ITUNYOSO</t>
  </si>
  <si>
    <t>SAN SEBASTIAN NOPALERA</t>
  </si>
  <si>
    <t>ALMACEN RURAL : HUAJOLOTITLAN</t>
  </si>
  <si>
    <t>SAN JERONIMO SILACAYOAPILLA</t>
  </si>
  <si>
    <t>SAN JUAN BAUTISTA SUCHITEPEC</t>
  </si>
  <si>
    <t>STGO. AYUQUILILLA</t>
  </si>
  <si>
    <t>SANTIAGO CACALOXTEPEC</t>
  </si>
  <si>
    <t>SANTO DOMINGO YODOHINO</t>
  </si>
  <si>
    <t>ALMACEN RURAL : TACACHE DE MINA</t>
  </si>
  <si>
    <t>ALMACEN RURAL : TLAXIACO</t>
  </si>
  <si>
    <t>MAGDALENA PEÑASCO</t>
  </si>
  <si>
    <t>SAN JOSE MONTEVERDE</t>
  </si>
  <si>
    <t>SAN ANTONIO MONTEVERDE</t>
  </si>
  <si>
    <t>SAN ANTONIO SINICAHUA</t>
  </si>
  <si>
    <t>SAN BARTOLOME YUCUAÑE</t>
  </si>
  <si>
    <t>SAN CRISTOBAL AMOLTEPEC</t>
  </si>
  <si>
    <t>SAN JUAN MIXTEPEC</t>
  </si>
  <si>
    <t>SAN JUAN TEITA</t>
  </si>
  <si>
    <t>SAN MATEO PEÑASCO</t>
  </si>
  <si>
    <t>ALMACEN RURAL : TECOMAXTLAHUACA</t>
  </si>
  <si>
    <t>COICOYAN DE LAS FLORES</t>
  </si>
  <si>
    <t>SANTIAGO TILAPA COICOYAN</t>
  </si>
  <si>
    <t>IXPANTEPEC NIEVES</t>
  </si>
  <si>
    <t>SILACAYOAPAN</t>
  </si>
  <si>
    <t>SAN MIGUEL TLACOTEPEC</t>
  </si>
  <si>
    <t>SAN SEBASTIAN TECOMAXTLAHUACA</t>
  </si>
  <si>
    <t>SAN LORENZO VICTORIA</t>
  </si>
  <si>
    <t>SAN MARTIN PERAS</t>
  </si>
  <si>
    <t>SANTIAGO PETLACALA</t>
  </si>
  <si>
    <t>SANTIAGO DEL RIO</t>
  </si>
  <si>
    <t>SANTOS REYES TEPEJILLO</t>
  </si>
  <si>
    <t>OBSERVACIONES:</t>
  </si>
  <si>
    <t>ALMACEN RURAL : YANHUITLAN</t>
  </si>
  <si>
    <t>SAN ANDRES NUXIÑO</t>
  </si>
  <si>
    <t>MAGDALENA JALTEPEC</t>
  </si>
  <si>
    <t>SAN FRANCISCO NUXAÑO</t>
  </si>
  <si>
    <t>SAN JUAN DIUXI</t>
  </si>
  <si>
    <t>SAN JUAN TAMAZOLA</t>
  </si>
  <si>
    <t>SAN MATEO SINDIHUI</t>
  </si>
  <si>
    <t>EL FORTIN ALTO</t>
  </si>
  <si>
    <t>TIERRA COLORADA</t>
  </si>
  <si>
    <t>SANTIAGO HUAUCLILLA</t>
  </si>
  <si>
    <t>SANTIAGO NEJAPILLA</t>
  </si>
  <si>
    <t>SANTIAGO TILANTONGO</t>
  </si>
  <si>
    <t>LA PAZ</t>
  </si>
  <si>
    <t>SANTO DOMINGO NUXAA</t>
  </si>
  <si>
    <t>LA MURALLA</t>
  </si>
  <si>
    <t>OJO DE AGUA</t>
  </si>
  <si>
    <t>EL ORO</t>
  </si>
  <si>
    <t>SANTO DOMINGO TONALTEPEC</t>
  </si>
  <si>
    <t>ALMACEN RURAL : MORRO MAZATAN</t>
  </si>
  <si>
    <t>SAN MATEO DEL MAR</t>
  </si>
  <si>
    <t>ALMACEN RURAL : PALOMARES</t>
  </si>
  <si>
    <t>NUEVO OCOTLAN</t>
  </si>
  <si>
    <t>ALMACEN RURAL : SANTIAGO LAOLLAGA</t>
  </si>
  <si>
    <t>GUEVEA DE HUMBOLDT</t>
  </si>
  <si>
    <t>CUIJINICUIL</t>
  </si>
  <si>
    <t>NUEVA ESPERANZA</t>
  </si>
  <si>
    <t xml:space="preserve">SANTA MARIA GUIENAGATI                                 </t>
  </si>
  <si>
    <t>GUIGOVELAGA</t>
  </si>
  <si>
    <t>ALMACEN RURAL : SANTIAGO NILTEPEC</t>
  </si>
  <si>
    <t>ALMACEN RURAL : EL TOMATAL</t>
  </si>
  <si>
    <t>SAN BARTOLOME LOXICHA</t>
  </si>
  <si>
    <t>LLANO DE LEON</t>
  </si>
  <si>
    <t>SN. ISIDRO DEL PALMAR</t>
  </si>
  <si>
    <t>VALDEFLORES</t>
  </si>
  <si>
    <t>SAN FRANCISCO COZOALTEPEC</t>
  </si>
  <si>
    <t>ALMACEN RURAL : SAN ANDRES HUAXPALTEPEC</t>
  </si>
  <si>
    <t>SAN LORENZO</t>
  </si>
  <si>
    <t>SAN PEDRO JICAYAN</t>
  </si>
  <si>
    <t>STA. CATARINA MECHOACAN</t>
  </si>
  <si>
    <t>EL FRUTILLO</t>
  </si>
  <si>
    <t>VILLANUEVA</t>
  </si>
  <si>
    <t>SANTIAGO TAPEXTLA</t>
  </si>
  <si>
    <t>STO. DOMINGO ARMENTA</t>
  </si>
  <si>
    <t>TATALTEPEC DE VALDES</t>
  </si>
  <si>
    <t>TEPENIXTLAHUACA</t>
  </si>
  <si>
    <t>CANDELARIA LOXICHA</t>
  </si>
  <si>
    <t>SANTA MARIA TEPEJIPANA</t>
  </si>
  <si>
    <t>PLUMA HIDALGO</t>
  </si>
  <si>
    <t>SANTA MARIA MAGDALENA PIÑAS</t>
  </si>
  <si>
    <t>SANTA MARIA TONAMECA</t>
  </si>
  <si>
    <t>SAN MATEO PIÑAS</t>
  </si>
  <si>
    <t>SAN MIGUEL DEL PUERTO</t>
  </si>
  <si>
    <t>LA FLORIDA</t>
  </si>
  <si>
    <t>SANTIAGO XANICA</t>
  </si>
  <si>
    <t>ALMACEN RURAL : LA REFORMA YAUTEPEC</t>
  </si>
  <si>
    <t>ALMACEN RURAL : LOS IDEALES</t>
  </si>
  <si>
    <t>SAN ANDRES TEOTILALPAN</t>
  </si>
  <si>
    <t>SAN BARTOLOME AYAUTLA</t>
  </si>
  <si>
    <t>AGUA DE TIERRA (SECCION MONTAÑA)</t>
  </si>
  <si>
    <t>SAN JOSE INDEPENDENCIA</t>
  </si>
  <si>
    <t>CERRO CENTRAL</t>
  </si>
  <si>
    <t>SAN LUCAS OJITLAN</t>
  </si>
  <si>
    <t>SAN FELIPE TILPAM</t>
  </si>
  <si>
    <t>CERRO QUEMADO</t>
  </si>
  <si>
    <t>SAN PEDRO IXCATLAN</t>
  </si>
  <si>
    <t>SAN PEDRO TEUTILA</t>
  </si>
  <si>
    <t>ALMACEN RURAL : PUEBLO NUEVO, TUX.</t>
  </si>
  <si>
    <t>ALMACEN RURAL : VALLES CENTRALES</t>
  </si>
  <si>
    <t>SAN ANTONIO HUITEPEC</t>
  </si>
  <si>
    <t>ASUNCION MIXTEPEC</t>
  </si>
  <si>
    <t xml:space="preserve">SAN JUAN BAUTISTA JAYACATLAN                           </t>
  </si>
  <si>
    <t>SAN MIGUEL PERAS</t>
  </si>
  <si>
    <t>PENSAMIENTO LIBERAL MEXICANO</t>
  </si>
  <si>
    <t>SANTA MARIA PEÑOLES</t>
  </si>
  <si>
    <t>ALMACEN RURAL : SAN ANDRES HIDALGO</t>
  </si>
  <si>
    <t>ALMACEN RURAL : SAN JOSE DEL CHILAR</t>
  </si>
  <si>
    <t>CONCEPCION PAPALO</t>
  </si>
  <si>
    <t>CUYAMECALCO VILLA DE ZARAGOZA</t>
  </si>
  <si>
    <t>CHIQUIHUITLAN DE BENITO JUAREZ</t>
  </si>
  <si>
    <t>HIERBA BUENA</t>
  </si>
  <si>
    <t>SAN JUAN BAUTISTA ATATLAHUCA</t>
  </si>
  <si>
    <t>SAN JUAN TEPEUXILA</t>
  </si>
  <si>
    <t>SAN JUAN TEPONAXTLA</t>
  </si>
  <si>
    <t>SAN JUAN ZAPOTITLAN</t>
  </si>
  <si>
    <t>SAN PEDRO SOCHIAPAM</t>
  </si>
  <si>
    <t>SANTA ANA CUAHUTEMOC</t>
  </si>
  <si>
    <t>SANTA MARIA TLALIXTAC</t>
  </si>
  <si>
    <t>ELOXOCHITLÁN DE FLORES M.</t>
  </si>
  <si>
    <t>MAZATLAN VILLA DE FLORES</t>
  </si>
  <si>
    <t>POCHOTEPEC</t>
  </si>
  <si>
    <t>NOGALTEPEC</t>
  </si>
  <si>
    <t>SAN FRANCISCO HUEHUETLAN</t>
  </si>
  <si>
    <t>SAN LUCAS ZOQUIAPAM</t>
  </si>
  <si>
    <t>SAN JOSE VISTA HERMOSA, ZOQUIAPAN</t>
  </si>
  <si>
    <t>AGUA DE NIÑO, ZOQUIAPAN</t>
  </si>
  <si>
    <t>SAN MARCOS LIQUIDAMBAR</t>
  </si>
  <si>
    <t>SAN ISIDRO ZOQUIAPAN</t>
  </si>
  <si>
    <t>SAN MARTIN TOXPALAN</t>
  </si>
  <si>
    <t>SAN PEDRO OCOPETATILLO</t>
  </si>
  <si>
    <t>SANTA ANA ATEIXTLAHUACA</t>
  </si>
  <si>
    <t>SANTA CRUZ ACATEPEC</t>
  </si>
  <si>
    <t>SANTA MARIA TEOPOXCO</t>
  </si>
  <si>
    <t>VILLA NUEVA</t>
  </si>
  <si>
    <t>SANTIAGO TEXCALCINGO</t>
  </si>
  <si>
    <t>ALMACEN RURAL : AYUTLA MIXES</t>
  </si>
  <si>
    <t>ALMACEN RURAL: IXTLAN DE JUAREZ</t>
  </si>
  <si>
    <t>SAN JUAN QUIOTEPEC</t>
  </si>
  <si>
    <t>SANTIAGO LA LOPA</t>
  </si>
  <si>
    <t>ALMACEN RURAL : MAGDALENA OCOTLAN</t>
  </si>
  <si>
    <t>ALMACEN RURAL : SANTO TOMAS TAMAZULAPAN</t>
  </si>
  <si>
    <t>SANTA MARIA QUIOQUITANI</t>
  </si>
  <si>
    <t>SAN AGUISTIN LOXICHA</t>
  </si>
  <si>
    <t>TIERRA BLANCA</t>
  </si>
  <si>
    <t>SAN CRISTOBAL AMATLAN</t>
  </si>
  <si>
    <t>SAN FRANCISCO LOGECHI</t>
  </si>
  <si>
    <t>SAN FRANCISCO OZOLOTEPEC</t>
  </si>
  <si>
    <t>SAN IDELFONSO AMATLAN</t>
  </si>
  <si>
    <t>SAN GERONIMO COATLAN</t>
  </si>
  <si>
    <t>SAN JUAN OZOLOTEPEC</t>
  </si>
  <si>
    <t>SAN LUIS AMATLAN</t>
  </si>
  <si>
    <t>SAN MARCIAL OZOLOTEPEC</t>
  </si>
  <si>
    <t>SAN MIGUEL COATLAN</t>
  </si>
  <si>
    <t>SAN NICOLAS</t>
  </si>
  <si>
    <t>SAN PABLO COATLAN</t>
  </si>
  <si>
    <t>SAN FRANCISCO COATLAN</t>
  </si>
  <si>
    <t>SAN PEDRO EL ALTO</t>
  </si>
  <si>
    <t>SAN SEBASTIAN COATLAN</t>
  </si>
  <si>
    <t>SAN SIMON ALMOLONGAS</t>
  </si>
  <si>
    <t>SANTA CATARINA LOXICHA</t>
  </si>
  <si>
    <t>SANTA CRUZ XITLA</t>
  </si>
  <si>
    <t>SANTA LUCIA MIAHUATLAN</t>
  </si>
  <si>
    <t>SANTA MARIA OZOLOTEPEC</t>
  </si>
  <si>
    <t>SANTO DOMINGO OZOLOTEPEC</t>
  </si>
  <si>
    <t>SITIO DE XITLAPEHUA</t>
  </si>
  <si>
    <t>ALMACEN RURAL : SAN PEDRO JUCHATENGO</t>
  </si>
  <si>
    <t>SAN CRISTOBAL HONDURAS</t>
  </si>
  <si>
    <t>LA PALMAS</t>
  </si>
  <si>
    <t>SANTA ROSA DE LIMA</t>
  </si>
  <si>
    <t>SAN JUAN LACHAO</t>
  </si>
  <si>
    <t>SAN JUAN QUIAHIJE</t>
  </si>
  <si>
    <t xml:space="preserve">SAN ISIDRO OJO DE AGUA                            </t>
  </si>
  <si>
    <t>SANTIAGO MINAS</t>
  </si>
  <si>
    <t xml:space="preserve">CERRO DE AIRE                                     </t>
  </si>
  <si>
    <t xml:space="preserve">SANTA MARIA MAGDALENA TILTEPEC                    </t>
  </si>
  <si>
    <t xml:space="preserve">SANTOS REYES NOPALA                               </t>
  </si>
  <si>
    <t>SANTIAGO CUIXTLA</t>
  </si>
  <si>
    <t>CAÑADA DE LOS MATUS</t>
  </si>
  <si>
    <t>ALMACEN RURAL : SANTA MARIA LACHIXIO</t>
  </si>
  <si>
    <t>ALMACEN RURAL : MATATLAN</t>
  </si>
  <si>
    <t>SAN JUAN DEL RIO</t>
  </si>
  <si>
    <t xml:space="preserve">SAN LORENZO ALBARRADAS                            </t>
  </si>
  <si>
    <t>SANTA MARÍA ZOQUITLAN</t>
  </si>
  <si>
    <t>ALMACEN RURAL : CUAJIMOLOYAS</t>
  </si>
  <si>
    <t>SAN PABLO YAGANIZA</t>
  </si>
  <si>
    <t>SANTIAGO CAMOTLÁN</t>
  </si>
  <si>
    <t>SANTO DOMINGO XAGACIA</t>
  </si>
  <si>
    <t>DEPARTAMENTO DE DISTRIBUCIÓN Y TRANSPORTACIÓN</t>
  </si>
  <si>
    <t>ALMACEN DICONSA</t>
  </si>
  <si>
    <t>NUMERO DE  TIENDAS</t>
  </si>
  <si>
    <t>DOTACION MENSUAL TEOR.</t>
  </si>
  <si>
    <t>SOBRANTE EN ALMACEN RURAL</t>
  </si>
  <si>
    <t xml:space="preserve"> * REQUERIMIENTO *</t>
  </si>
  <si>
    <t>TOTALES POR SUCURSALES RURALES</t>
  </si>
  <si>
    <t>SUCURSAL HUAJUAPAN</t>
  </si>
  <si>
    <t xml:space="preserve">  CHALCATONGO</t>
  </si>
  <si>
    <t xml:space="preserve">  COIXTLAHUACA</t>
  </si>
  <si>
    <t xml:space="preserve">  CONSTANCIA DEL ROSARIO</t>
  </si>
  <si>
    <t xml:space="preserve">  HUAJOLOTITLAN</t>
  </si>
  <si>
    <t xml:space="preserve">  TACACHE DE MINA</t>
  </si>
  <si>
    <t xml:space="preserve">  TLAXIACO</t>
  </si>
  <si>
    <t xml:space="preserve">  TECOMAXTLAHUACA</t>
  </si>
  <si>
    <t xml:space="preserve">  YANHUITLAN</t>
  </si>
  <si>
    <t>SUCURSAL  ISTMO-COSTA</t>
  </si>
  <si>
    <t xml:space="preserve">  MORRO MAZATAN</t>
  </si>
  <si>
    <t xml:space="preserve">  PALOMARES</t>
  </si>
  <si>
    <t xml:space="preserve">  SANTIAGO LAOLLAGA</t>
  </si>
  <si>
    <t xml:space="preserve">  SANTIAGO NILTEPEC</t>
  </si>
  <si>
    <t xml:space="preserve">  EL TOMATAL</t>
  </si>
  <si>
    <t xml:space="preserve">  HUAXPALTEPEC</t>
  </si>
  <si>
    <t xml:space="preserve">  SANTA MARIA HUATULCO</t>
  </si>
  <si>
    <t xml:space="preserve">  LA REFORMA YAUTEPEC</t>
  </si>
  <si>
    <t xml:space="preserve">  LOS IDEALES</t>
  </si>
  <si>
    <t xml:space="preserve">  PUEBLO NUEVO</t>
  </si>
  <si>
    <t>SUCURSAL V. CENTRAL</t>
  </si>
  <si>
    <t>VALLES CENTRALES</t>
  </si>
  <si>
    <t>SAN ANDRES HIDALGO</t>
  </si>
  <si>
    <t>SAN JOSE DEL CHILAR</t>
  </si>
  <si>
    <t>TEOTITLAN DE FLORES MAGON</t>
  </si>
  <si>
    <t>AYUTLA MIXES</t>
  </si>
  <si>
    <t>IXTLAN DE JUAREZ</t>
  </si>
  <si>
    <t>MAGDALENA OCOTLAN</t>
  </si>
  <si>
    <t>SANTO TOMAS TAMAZULAPAN</t>
  </si>
  <si>
    <t>SAN PEDRO JUCHATENGO</t>
  </si>
  <si>
    <t>SANTA MARIA LACHIXIO</t>
  </si>
  <si>
    <t>MATATLAN</t>
  </si>
  <si>
    <t>CUAJIMOLOYAS</t>
  </si>
  <si>
    <t xml:space="preserve">ALMACENES TOTALES </t>
  </si>
  <si>
    <t>CAJAS A ENVIAR A ALMC. RURAL</t>
  </si>
  <si>
    <t>ALMACÉN RURAL : TEOTITLAN DE FLORES MAGÓN</t>
  </si>
  <si>
    <t>LA ESTANCIA COIXTLAHUACA</t>
  </si>
  <si>
    <t>SAN JOSE CIENEGUILLA</t>
  </si>
  <si>
    <t>SAN ANDRES PAPALO</t>
  </si>
  <si>
    <t>SANTA CRUZ TIHUIXTE</t>
  </si>
  <si>
    <t>LOS FRAILES</t>
  </si>
  <si>
    <t xml:space="preserve">SAN PEDRO Y SAN PABLO AYUTLA </t>
  </si>
  <si>
    <t xml:space="preserve">ASUNCION CACALOTEPEC </t>
  </si>
  <si>
    <t xml:space="preserve">CALIHUALA </t>
  </si>
  <si>
    <t xml:space="preserve">COATECAS ALTAS </t>
  </si>
  <si>
    <t xml:space="preserve">LA COMPAÑIA </t>
  </si>
  <si>
    <t xml:space="preserve">FRESNILLO DE TRUJANO </t>
  </si>
  <si>
    <t xml:space="preserve">CUAJINICUIL </t>
  </si>
  <si>
    <t xml:space="preserve">HUAUTEPEC </t>
  </si>
  <si>
    <t xml:space="preserve">MIXISTLAN DE LA REFORMA </t>
  </si>
  <si>
    <t xml:space="preserve">SANTA MARIA VELATO </t>
  </si>
  <si>
    <t xml:space="preserve">LA PE </t>
  </si>
  <si>
    <t xml:space="preserve">SAN AGUSTIN AMATENGO </t>
  </si>
  <si>
    <t xml:space="preserve">SAN ANDRES TEPETLAPA </t>
  </si>
  <si>
    <t xml:space="preserve">SANTA CRUZ TACACHE DE MINA </t>
  </si>
  <si>
    <t xml:space="preserve">VENTA DE URIBE DE JUAREZ </t>
  </si>
  <si>
    <t xml:space="preserve">SANTA CRUZ ITUNDUJIA </t>
  </si>
  <si>
    <t xml:space="preserve">SAN ISIDRO MANTECA </t>
  </si>
  <si>
    <t xml:space="preserve">SAN CARLOS YAUTEPEC </t>
  </si>
  <si>
    <t xml:space="preserve">SAN LUCAS IXCOTEPEC </t>
  </si>
  <si>
    <t xml:space="preserve">SANTO TOMAS QUIERI </t>
  </si>
  <si>
    <t xml:space="preserve">SAN PABLO TOPILTEPEC </t>
  </si>
  <si>
    <t xml:space="preserve">ASUNCION LACHIXONASE </t>
  </si>
  <si>
    <t xml:space="preserve">SAN PEDRO LEAPI </t>
  </si>
  <si>
    <t xml:space="preserve">SAN ISIDRO EL POTRERO </t>
  </si>
  <si>
    <t xml:space="preserve">SAN FRANCISCO SOLA </t>
  </si>
  <si>
    <t xml:space="preserve">SAN FRANCISCO TLAPANCINGO </t>
  </si>
  <si>
    <t xml:space="preserve">SAN ILDEFONSO SOLA </t>
  </si>
  <si>
    <t xml:space="preserve">SAN JACINTO TLACOTEPEC </t>
  </si>
  <si>
    <t xml:space="preserve">EL VENADO </t>
  </si>
  <si>
    <t xml:space="preserve">SAN JERONIMO TAVICHE </t>
  </si>
  <si>
    <t xml:space="preserve">AGUA FRIA </t>
  </si>
  <si>
    <t xml:space="preserve">PUERTO BUENAVISTA </t>
  </si>
  <si>
    <t xml:space="preserve">LLANO DE ARNICA </t>
  </si>
  <si>
    <t xml:space="preserve">SANTIAGO GUADALUPE </t>
  </si>
  <si>
    <t xml:space="preserve">SAN JUAN COATZOSPAM </t>
  </si>
  <si>
    <t xml:space="preserve">SAN JUAN COMALTEPEC </t>
  </si>
  <si>
    <t xml:space="preserve">SAN JUAN JUQUILA MIXES </t>
  </si>
  <si>
    <t xml:space="preserve">SAN JUAN LACHIGALLA </t>
  </si>
  <si>
    <t xml:space="preserve">SAN LORENZO </t>
  </si>
  <si>
    <t xml:space="preserve">SAN LUCAS CAMOTLAN </t>
  </si>
  <si>
    <t xml:space="preserve">SITIO DEL PALMAR </t>
  </si>
  <si>
    <t xml:space="preserve">SAN MARTIN DE LOS CANSECOS </t>
  </si>
  <si>
    <t xml:space="preserve">SAN MARTIN ZACATEPEC </t>
  </si>
  <si>
    <t xml:space="preserve">COLONIA CUAUHTEMOC </t>
  </si>
  <si>
    <t xml:space="preserve">SAN MIGUEL AHUEHUETITLAN </t>
  </si>
  <si>
    <t xml:space="preserve">SAN MIGUEL AMATITLAN </t>
  </si>
  <si>
    <t xml:space="preserve">SAN MIGUEL QUETZALTEPEC </t>
  </si>
  <si>
    <t xml:space="preserve">VILLA SOLA DE VEGA </t>
  </si>
  <si>
    <t xml:space="preserve">SAN SEBASTIAN DE LAS GRUTAS </t>
  </si>
  <si>
    <t xml:space="preserve">SAN JUAN BAUTISTA </t>
  </si>
  <si>
    <t xml:space="preserve">SAN PEDRO OCOTEPEC </t>
  </si>
  <si>
    <t xml:space="preserve">SAN SIMON ZAHUATLAN </t>
  </si>
  <si>
    <t xml:space="preserve">SANTA CATARINA ZAPOQUILA </t>
  </si>
  <si>
    <t xml:space="preserve">HIDALGO </t>
  </si>
  <si>
    <t xml:space="preserve">INDEPENDENCIA </t>
  </si>
  <si>
    <t xml:space="preserve">GUERRERO </t>
  </si>
  <si>
    <t xml:space="preserve">SANTA CRUZ TACAHUA </t>
  </si>
  <si>
    <t xml:space="preserve">SANTA CRUZ ZENZONTEPEC </t>
  </si>
  <si>
    <t xml:space="preserve">SANTA LUCIA MONTEVERDE </t>
  </si>
  <si>
    <t xml:space="preserve">YUTECOSO CUAUHTEMOC </t>
  </si>
  <si>
    <t xml:space="preserve">SANTA MARIA OCOTLAN </t>
  </si>
  <si>
    <t xml:space="preserve">LLANO DE AGUA </t>
  </si>
  <si>
    <t xml:space="preserve">SAN MIGUEL NUEVO </t>
  </si>
  <si>
    <t xml:space="preserve">SANTA MARIA CHILCHOTLA </t>
  </si>
  <si>
    <t xml:space="preserve">RIO SAPO </t>
  </si>
  <si>
    <t xml:space="preserve">SAN MARTIN DE PORRES </t>
  </si>
  <si>
    <t xml:space="preserve">MARIA LUISA </t>
  </si>
  <si>
    <t xml:space="preserve">SANTA MARIA LACHIXIO </t>
  </si>
  <si>
    <t xml:space="preserve">SANTA MARIA QUIEGOLANI </t>
  </si>
  <si>
    <t xml:space="preserve">SAN ANDRES TLAHUILOTEPEC </t>
  </si>
  <si>
    <t xml:space="preserve">SANTA MARIA TEPANTLALI </t>
  </si>
  <si>
    <t xml:space="preserve">SANTA MARIA ZANIZA </t>
  </si>
  <si>
    <t xml:space="preserve">SANTIAGO AMOLTEPEC </t>
  </si>
  <si>
    <t xml:space="preserve">SANTIAGO ATITLAN </t>
  </si>
  <si>
    <t xml:space="preserve">SANTIAGO CHOAPAM </t>
  </si>
  <si>
    <t xml:space="preserve">SANTIAGO LACHIGUIRI </t>
  </si>
  <si>
    <t xml:space="preserve">SANTIAGO TAMAZOLA </t>
  </si>
  <si>
    <t xml:space="preserve">SANTIAGO TEXTITLAN </t>
  </si>
  <si>
    <t xml:space="preserve">LAS FLORES TILANTONGO </t>
  </si>
  <si>
    <t xml:space="preserve">SANTIAGO YOSONDUA </t>
  </si>
  <si>
    <t xml:space="preserve">SANTIAGO YUCUYACHI </t>
  </si>
  <si>
    <t xml:space="preserve">SANTIAGO ZACATEPEC </t>
  </si>
  <si>
    <t xml:space="preserve">LA CANDELARIA </t>
  </si>
  <si>
    <t xml:space="preserve">SANTO DOMINGO DE MORELOS </t>
  </si>
  <si>
    <t xml:space="preserve">SANTO DOMINGO TEOJOMULCO </t>
  </si>
  <si>
    <t xml:space="preserve">LAS HUERTAS </t>
  </si>
  <si>
    <t xml:space="preserve">SANTO DOMINGO TEPUXTEPEC </t>
  </si>
  <si>
    <t xml:space="preserve">SANTOS REYES YUCUNA </t>
  </si>
  <si>
    <t xml:space="preserve">TANICHE </t>
  </si>
  <si>
    <t xml:space="preserve">TOTONTEPEC VILLA DE MORELOS </t>
  </si>
  <si>
    <t xml:space="preserve">CHINANTEQUILLA </t>
  </si>
  <si>
    <t xml:space="preserve">YOGANA </t>
  </si>
  <si>
    <t xml:space="preserve">ZAPOTITLAN DEL RIO </t>
  </si>
  <si>
    <t xml:space="preserve">ZAPOTITLAN LAGUNAS </t>
  </si>
  <si>
    <t>SANTA MARIA YOSOCANI</t>
  </si>
  <si>
    <t>LLANO GRANDE</t>
  </si>
  <si>
    <t xml:space="preserve">EL DURAZNAL </t>
  </si>
  <si>
    <t>SAOYALTITLA, MAZATLAN VILLA DE FLORES</t>
  </si>
  <si>
    <t>TEOCUATLAN</t>
  </si>
  <si>
    <t>SAN MIGUEL CHONGOS</t>
  </si>
  <si>
    <t>LA LAGUNA</t>
  </si>
  <si>
    <t>LA CONCHA</t>
  </si>
  <si>
    <t>SAN ESTEBAN</t>
  </si>
  <si>
    <t>SAN JUAN TEITIPAC</t>
  </si>
  <si>
    <t>EL VADO</t>
  </si>
  <si>
    <t>RIO ANONA</t>
  </si>
  <si>
    <t>LAS PILAS</t>
  </si>
  <si>
    <t>BARRANCA SECA</t>
  </si>
  <si>
    <t>LLANO COYUL</t>
  </si>
  <si>
    <t>PROGRAMADO</t>
  </si>
  <si>
    <t>YOLOTEPEC DE LA PAZ</t>
  </si>
  <si>
    <t>SANTA CATARINA CUANANA</t>
  </si>
  <si>
    <t>BUENA VISTA DE JUAREZ</t>
  </si>
  <si>
    <t>SANTA CRUZ OZOLOTEPEC</t>
  </si>
  <si>
    <t>SANTA CATARINA XANAGUIA</t>
  </si>
  <si>
    <t>AGUA FRIA</t>
  </si>
  <si>
    <t>SAN JOSE DE LA UNION</t>
  </si>
  <si>
    <t>BUENA VISTA LOXICHA</t>
  </si>
  <si>
    <t>PEÑA COLORADA, ÑUMI</t>
  </si>
  <si>
    <t>SAN JUAN MONTEFLOR</t>
  </si>
  <si>
    <t>SANTA MARIA CHILCHOTLA (PEÑA QUEMADA)</t>
  </si>
  <si>
    <t>GUADALUPE SIETE CERROS</t>
  </si>
  <si>
    <t>SAN ANTONIO LA LANA</t>
  </si>
  <si>
    <t>SAN LORENZO VISTA HERMOSA</t>
  </si>
  <si>
    <t>SAN JUAN ELOTEPEC</t>
  </si>
  <si>
    <t>EL CARRIZAL</t>
  </si>
  <si>
    <t>SANTIAGO TETEPEC</t>
  </si>
  <si>
    <t>SAN JOSE BUENA VISTA</t>
  </si>
  <si>
    <t>EL PROGRESO</t>
  </si>
  <si>
    <t>IGNACIO ZARAGOZA</t>
  </si>
  <si>
    <t>XOCONOXTLE, AMATITLAN</t>
  </si>
  <si>
    <t>SAN FRANCISCO JAYACAXTEPEC, TOTONTEPEC, VILLA DE MORELOS</t>
  </si>
  <si>
    <t>GUADALUPE</t>
  </si>
  <si>
    <t>CAÑADA BRAVA</t>
  </si>
  <si>
    <t>SAN SEBASTIAN ABASOLO</t>
  </si>
  <si>
    <t>SAN DIONICIO OCOTEPEC</t>
  </si>
  <si>
    <t>ELOXOCHITLAN DE FLORES MAGON</t>
  </si>
  <si>
    <t>LINDA VISTA HERRADURA NUXIÑO</t>
  </si>
  <si>
    <t>SAN BALTAZAR GUELAVIA</t>
  </si>
  <si>
    <t>PEÑA COLORADA</t>
  </si>
  <si>
    <t>SAN JUAN COLORADO</t>
  </si>
  <si>
    <t>SAN PABLO CUATRO VENADOS</t>
  </si>
  <si>
    <t>SANTIAGO HUAXOLOTIPAC</t>
  </si>
  <si>
    <t>SANTA MARIA COIXTEPEC, (SANTIAGO XANICA)</t>
  </si>
  <si>
    <t>SANTIAGO LACHIVIA</t>
  </si>
  <si>
    <t>FLOR BATAVIA</t>
  </si>
  <si>
    <t>SITIO CABALLERO</t>
  </si>
  <si>
    <t>LOS POZUELOS</t>
  </si>
  <si>
    <t>LLANO DE LA CANOA TAMAZOLA</t>
  </si>
  <si>
    <t>LA CUMBRE</t>
  </si>
  <si>
    <t>SANTO DOMINGO DEL RIO</t>
  </si>
  <si>
    <t>LA ALICIA</t>
  </si>
  <si>
    <t>SANTOS REYES PAPALO</t>
  </si>
  <si>
    <t>SAN SEBASTIAN RIO HONDO</t>
  </si>
  <si>
    <t>SAN FELIPE USILA</t>
  </si>
  <si>
    <t>SANTA MARIA TATALTEPEC</t>
  </si>
  <si>
    <t>SAN P. COXCALTEPEC CANTAR</t>
  </si>
  <si>
    <t>LA IHUALEJA, MAZATLAN VILLA DE FLORES</t>
  </si>
  <si>
    <t>SANTA CRUZ MITLATONGO</t>
  </si>
  <si>
    <t>CORRAL DE PIEDRA</t>
  </si>
  <si>
    <t>PRECIO PREFERENCIAL $4.50</t>
  </si>
  <si>
    <t>AGUA OTATE</t>
  </si>
  <si>
    <t>SANTA CATARINA ESTETLA</t>
  </si>
  <si>
    <t>LA ESMERALDA</t>
  </si>
  <si>
    <t>SAN JUAN CABEZA DEL RIO</t>
  </si>
  <si>
    <t>PATIO IGLESIA</t>
  </si>
  <si>
    <t>SANTA MARIA YAHUICHE, SANTIAGO CHOAPAN</t>
  </si>
  <si>
    <t>SAN CRISTOBAL CHICHICAXTEPEC</t>
  </si>
  <si>
    <t>RIO SAN JUAN</t>
  </si>
  <si>
    <t>EL VENADO</t>
  </si>
  <si>
    <t>LECHERIAS INCORPORADAS AL CONVENIO LECHE PARA EL BIENESTAR-ALIMENTACION PARA EL BIENESTAR</t>
  </si>
  <si>
    <t xml:space="preserve">     LECHE PARA EL BIENESTAR, S.A. DE C.V.</t>
  </si>
  <si>
    <t xml:space="preserve">LECHERIAS INCORPORADAS AL CONVENIO LECHE PARA EL BIENESTAR-ALIMENTACION PARA EL BIENJESTAR </t>
  </si>
  <si>
    <t>SAN MIGUEL SANTA FLOR</t>
  </si>
  <si>
    <t>SANTA INES</t>
  </si>
  <si>
    <t>SANTA LUCIA SOSOLA</t>
  </si>
  <si>
    <t>SAN FRANCISCO YOCUCUNDO</t>
  </si>
  <si>
    <t>ENERO</t>
  </si>
  <si>
    <t>ALMACEN RURAL : SANTA MARIA HUATULCO</t>
  </si>
  <si>
    <t>SANTA LUCIA TEOTEPEC</t>
  </si>
  <si>
    <t>EL FARO</t>
  </si>
  <si>
    <t>SAN FELIPE JALAPA DE DIAZ</t>
  </si>
  <si>
    <t>FEBRERO</t>
  </si>
  <si>
    <t>CIENEGUILLA</t>
  </si>
  <si>
    <r>
      <t>REQUERIMIENTO DE LECHE EN POLVO CORRESPONDIENTE AL MES DE</t>
    </r>
    <r>
      <rPr>
        <b/>
        <sz val="9"/>
        <rFont val="Arial"/>
        <family val="2"/>
        <charset val="1"/>
      </rPr>
      <t xml:space="preserve"> MARZO DEL 2026</t>
    </r>
  </si>
  <si>
    <t>PADRON DE BENEFICIARIOS. AL CIERRE DEL MES DE ENERO DEL 2026</t>
  </si>
  <si>
    <t>MARZO</t>
  </si>
  <si>
    <r>
      <t xml:space="preserve">OBSERVACIONES: </t>
    </r>
    <r>
      <rPr>
        <sz val="8"/>
        <rFont val="Arial"/>
        <family val="2"/>
      </rPr>
      <t>DE LAS CAJAS DE LECHE QUE SE ENCUENTRAN EN EL ALMACEN ENVIAR: 1 CAJA PARA EL P.V. 2017110600, 1 CAJA PARA EL P.V. 2040610600</t>
    </r>
  </si>
  <si>
    <t>4 CAJAS PARA EL P.V. 2040610900</t>
  </si>
  <si>
    <r>
      <t xml:space="preserve">OBSERVACIONES: </t>
    </r>
    <r>
      <rPr>
        <sz val="8"/>
        <rFont val="Arial"/>
        <family val="2"/>
      </rPr>
      <t>DE LAS CAJAS DE LECHE QUE SE ENCUENTRAN EN EL ALMACEN ENVIAR: 53 CAJAS PARA EL P.V. 2002410200, 24 CAJAS PARA EL P.V. 2002710200</t>
    </r>
  </si>
  <si>
    <r>
      <t xml:space="preserve">OBSERVACIONES: </t>
    </r>
    <r>
      <rPr>
        <sz val="8"/>
        <rFont val="Arial"/>
        <family val="2"/>
      </rPr>
      <t>DE LAS CAJAS DE LECHE QUE SE ENCUENTRAN EN EL ALMACEN ENVIAR: 46 CAJAS PARA EL P.V. 2005810300, 7 CAJAS PARA EL P.V. 2005810800</t>
    </r>
  </si>
  <si>
    <t>11 CAJAS PARA EL P.V. 2005810900, 9 CAJAS PARA EL P.V. 2005811200, 10 CAJAS PARA EL P.V. 2005811300, 12 CAJAS PARA EL P.V. 2023410400, 15 CAJAS PARA EL P.V. 2023410700</t>
  </si>
  <si>
    <r>
      <t xml:space="preserve">OBSERVACIONES: </t>
    </r>
    <r>
      <rPr>
        <sz val="8"/>
        <rFont val="Arial"/>
        <family val="2"/>
      </rPr>
      <t>DE LAS CAJAS DE LECHE QUE SE ENCUENTRAN EN EL ALMACEN ENVIAR: 175 CAJAS PARA EL P.V. 2016910100</t>
    </r>
  </si>
  <si>
    <r>
      <t xml:space="preserve">OBSERVACIONES: </t>
    </r>
    <r>
      <rPr>
        <sz val="8"/>
        <rFont val="Arial"/>
        <family val="2"/>
      </rPr>
      <t>DE LAS CAJAS DE LECHE QUE SE ENCUENTRAN EN EL ALMACEN ENVIAR: 30 CAJAS PARA EL P.V. 2001210300, 40 CAJAS PARA EL P.V. 2012018600</t>
    </r>
  </si>
  <si>
    <r>
      <t xml:space="preserve">OBSERVACIONES: </t>
    </r>
    <r>
      <rPr>
        <sz val="8"/>
        <rFont val="Arial"/>
        <family val="2"/>
      </rPr>
      <t>DE LAS CAJAS DE LECHE QUE SE ENCUENTRAN EN EL ALMACEN ENVIAR: 60 CAJAS PARA EL P.V. 2008510200</t>
    </r>
  </si>
  <si>
    <r>
      <t xml:space="preserve">OBSERVACIONES: </t>
    </r>
    <r>
      <rPr>
        <sz val="8"/>
        <rFont val="Arial"/>
        <family val="2"/>
      </rPr>
      <t>DE LAS CAJAS DE LECHE QUE SE ENCUENTRAN EN EL ALMACEN ENVIAR: 11 CAJAS PARA EL P.V. 2052610700</t>
    </r>
  </si>
  <si>
    <r>
      <t xml:space="preserve">OBSERVACIONES: </t>
    </r>
    <r>
      <rPr>
        <sz val="8"/>
        <rFont val="Arial"/>
        <family val="2"/>
      </rPr>
      <t>DE LAS CAJAS DE LECHE QUE SE ENCUENTRAN EN EL ALMACEN ENVIAR: 11 CAJAS PARA EL P.V. 2012510800, 15 CAJAS PARA EL P.V. 2042810400</t>
    </r>
  </si>
  <si>
    <r>
      <t xml:space="preserve">OBSERVACIONES: </t>
    </r>
    <r>
      <rPr>
        <sz val="8"/>
        <rFont val="Arial"/>
        <family val="2"/>
      </rPr>
      <t>DE LAS CAJAS DE LECHE QUE SE ENCUENTRAN EN EL ALMACEN ENVIAR: 9 CAJAS PARA EL P.V. 2003610300</t>
    </r>
  </si>
  <si>
    <r>
      <t xml:space="preserve">OBSERVACIONES: </t>
    </r>
    <r>
      <rPr>
        <sz val="8"/>
        <rFont val="Arial"/>
        <family val="2"/>
      </rPr>
      <t>DE LAS CAJAS DE LECHE QUE SE ENCUENTRAN EN EL ALMACEN ENVIAR: 09 CAJAS PARA EL P.V. 2005010100</t>
    </r>
  </si>
  <si>
    <r>
      <t xml:space="preserve">OBSERVACIONES: </t>
    </r>
    <r>
      <rPr>
        <sz val="8"/>
        <rFont val="Arial"/>
        <family val="2"/>
      </rPr>
      <t>DE LAS CAJAS DE LECHE QUE SE ENCUENTRAN EN EL ALMACEN ENVIAR: 39 CAJAS PARA EL P.V. 2050010200</t>
    </r>
  </si>
  <si>
    <r>
      <t xml:space="preserve">OBSERVACIONES: </t>
    </r>
    <r>
      <rPr>
        <sz val="8"/>
        <rFont val="Arial"/>
        <family val="2"/>
      </rPr>
      <t>DE LAS CAJAS DE LECHE QUE SE ENCUENTRAN EN EL ALMACEN ENVIAR: 02 CAJAS PARA EL P.V. 2014710100</t>
    </r>
  </si>
  <si>
    <r>
      <t xml:space="preserve">OBSERVACIONES: </t>
    </r>
    <r>
      <rPr>
        <sz val="8"/>
        <rFont val="Arial"/>
        <family val="2"/>
      </rPr>
      <t>DE LAS CAJAS DE LECHE QUE SE ENCUENTRAN EN EL ALMACEN ENVIAR: 03 CAJAS PARA EL P.V. 2024010400</t>
    </r>
  </si>
  <si>
    <r>
      <t xml:space="preserve">OBSERVACIONES: </t>
    </r>
    <r>
      <rPr>
        <sz val="8"/>
        <rFont val="Arial"/>
        <family val="2"/>
      </rPr>
      <t>DE LAS CAJAS DE LECHE QUE SE ENCUENTRAN EN EL ALMACEN ENVIAR: 21 CAJAS PARA EL P.V. 2012030900</t>
    </r>
  </si>
  <si>
    <r>
      <t xml:space="preserve">OBSERVACIONES: </t>
    </r>
    <r>
      <rPr>
        <sz val="8"/>
        <rFont val="Arial"/>
        <family val="2"/>
      </rPr>
      <t>DE LAS CAJAS DE LECHE QUE SE ENCUENTRAN EN EL ALMACEN ENVIAR: 04 CAJAS PARA EL P.V. 2012017200</t>
    </r>
  </si>
  <si>
    <r>
      <t xml:space="preserve">OBSERVACIONES: </t>
    </r>
    <r>
      <rPr>
        <sz val="8"/>
        <rFont val="Arial"/>
        <family val="2"/>
      </rPr>
      <t xml:space="preserve">DE LAS CAJAS DE LECHE QUE SE ENCUENTRAN EN EL ALMACEN ENVIAR: 07 CAJAS PARA EL P.V. 2017610300 </t>
    </r>
  </si>
  <si>
    <r>
      <t xml:space="preserve">OBSERVACIONES: </t>
    </r>
    <r>
      <rPr>
        <sz val="9"/>
        <rFont val="Arial"/>
        <family val="2"/>
      </rPr>
      <t>DE LAS CAJAS DE LECHE QUE SE ENCUENTRAN EN EL ALMACEN ENVIAR: 5 CAJAS PARA EL P.V. 2029910100</t>
    </r>
  </si>
  <si>
    <r>
      <t xml:space="preserve">OBSERVACIONES: </t>
    </r>
    <r>
      <rPr>
        <sz val="8"/>
        <rFont val="Arial"/>
        <family val="2"/>
      </rPr>
      <t>DE LAS CAJAS DE LECHE QUE SE ENCUENTRAN EN EL ALMACEN ENVIAR: 6 CAJAS PARA EL P.V. 2006010100, 35 CAJAS PARA EL P.V. 2012027800</t>
    </r>
  </si>
  <si>
    <t>20 CAJAS PARA EL P.V. 2020010100, 20 CAJAS PARA EL P.V. 2023110200, 20 CAJAS PARA EL P.V. 2027510200, 20 CAJAS PARA EL P.V. 2032310300</t>
  </si>
  <si>
    <t>37 CAJAS PARA EL P.V. 2055410100</t>
  </si>
  <si>
    <t>GUADALUPE 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</si>
</sst>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mmmm"/>
    <numFmt numFmtId="166" formatCode="#,##0.000"/>
  </numFmts>
  <fonts count="68" x14ac:knownFonts="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1"/>
    </font>
    <font>
      <b/>
      <sz val="16"/>
      <name val="Arial"/>
      <family val="2"/>
      <charset val="1"/>
    </font>
    <font>
      <sz val="12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sz val="8"/>
      <name val="Britannic Bold"/>
      <family val="2"/>
      <charset val="1"/>
    </font>
    <font>
      <b/>
      <sz val="8"/>
      <name val="Arial"/>
      <family val="2"/>
      <charset val="1"/>
    </font>
    <font>
      <b/>
      <sz val="8"/>
      <name val="Times New Roman"/>
      <family val="1"/>
      <charset val="1"/>
    </font>
    <font>
      <b/>
      <sz val="7"/>
      <name val="Arial"/>
      <family val="2"/>
      <charset val="1"/>
    </font>
    <font>
      <sz val="8"/>
      <name val="MS Sans Serif"/>
      <family val="2"/>
      <charset val="1"/>
    </font>
    <font>
      <b/>
      <sz val="8"/>
      <name val="MS Sans Serif"/>
      <family val="2"/>
      <charset val="1"/>
    </font>
    <font>
      <sz val="7"/>
      <name val="Arial"/>
      <family val="2"/>
      <charset val="1"/>
    </font>
    <font>
      <sz val="8"/>
      <name val="Arial Rounded MT Bold"/>
      <family val="2"/>
      <charset val="1"/>
    </font>
    <font>
      <b/>
      <sz val="8"/>
      <name val="Arial Rounded MT Bold"/>
      <family val="2"/>
      <charset val="1"/>
    </font>
    <font>
      <b/>
      <sz val="6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D7E4BD"/>
        <bgColor rgb="FFB7DEE8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99CCFF"/>
      </patternFill>
    </fill>
    <fill>
      <patternFill patternType="solid">
        <fgColor rgb="FFFF99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7">
    <xf numFmtId="0" fontId="0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/>
    <xf numFmtId="164" fontId="47" fillId="0" borderId="1" xfId="0" applyNumberFormat="1" applyFont="1" applyBorder="1" applyProtection="1">
      <protection locked="0"/>
    </xf>
    <xf numFmtId="164" fontId="47" fillId="2" borderId="1" xfId="0" applyNumberFormat="1" applyFont="1" applyFill="1" applyBorder="1" applyProtection="1">
      <protection locked="0"/>
    </xf>
    <xf numFmtId="0" fontId="47" fillId="0" borderId="1" xfId="0" applyFont="1" applyBorder="1" applyProtection="1">
      <protection locked="0"/>
    </xf>
    <xf numFmtId="164" fontId="47" fillId="0" borderId="0" xfId="0" applyNumberFormat="1" applyFont="1" applyProtection="1">
      <protection locked="0"/>
    </xf>
    <xf numFmtId="0" fontId="47" fillId="2" borderId="0" xfId="0" applyFont="1" applyFill="1"/>
    <xf numFmtId="164" fontId="47" fillId="2" borderId="0" xfId="0" applyNumberFormat="1" applyFont="1" applyFill="1"/>
    <xf numFmtId="0" fontId="53" fillId="2" borderId="0" xfId="0" applyFont="1" applyFill="1"/>
    <xf numFmtId="164" fontId="47" fillId="2" borderId="3" xfId="0" applyNumberFormat="1" applyFont="1" applyFill="1" applyBorder="1" applyAlignment="1">
      <alignment horizontal="center"/>
    </xf>
    <xf numFmtId="0" fontId="47" fillId="2" borderId="3" xfId="0" applyFont="1" applyFill="1" applyBorder="1" applyAlignment="1">
      <alignment horizontal="center"/>
    </xf>
    <xf numFmtId="0" fontId="47" fillId="2" borderId="4" xfId="0" applyFont="1" applyFill="1" applyBorder="1" applyAlignment="1">
      <alignment horizontal="center"/>
    </xf>
    <xf numFmtId="0" fontId="47" fillId="2" borderId="5" xfId="0" applyFont="1" applyFill="1" applyBorder="1" applyAlignment="1">
      <alignment horizontal="center"/>
    </xf>
    <xf numFmtId="0" fontId="54" fillId="2" borderId="3" xfId="0" applyFont="1" applyFill="1" applyBorder="1" applyAlignment="1">
      <alignment horizontal="center"/>
    </xf>
    <xf numFmtId="164" fontId="47" fillId="2" borderId="6" xfId="0" applyNumberFormat="1" applyFont="1" applyFill="1" applyBorder="1" applyAlignment="1">
      <alignment horizontal="center"/>
    </xf>
    <xf numFmtId="0" fontId="47" fillId="2" borderId="6" xfId="0" applyFont="1" applyFill="1" applyBorder="1" applyAlignment="1">
      <alignment horizontal="center"/>
    </xf>
    <xf numFmtId="165" fontId="52" fillId="3" borderId="6" xfId="0" applyNumberFormat="1" applyFont="1" applyFill="1" applyBorder="1" applyAlignment="1">
      <alignment horizontal="center"/>
    </xf>
    <xf numFmtId="0" fontId="47" fillId="2" borderId="7" xfId="0" applyFont="1" applyFill="1" applyBorder="1" applyAlignment="1">
      <alignment horizontal="center"/>
    </xf>
    <xf numFmtId="0" fontId="47" fillId="3" borderId="6" xfId="0" applyFont="1" applyFill="1" applyBorder="1" applyAlignment="1">
      <alignment horizontal="center"/>
    </xf>
    <xf numFmtId="165" fontId="52" fillId="4" borderId="6" xfId="0" applyNumberFormat="1" applyFont="1" applyFill="1" applyBorder="1" applyAlignment="1">
      <alignment horizontal="center"/>
    </xf>
    <xf numFmtId="164" fontId="47" fillId="2" borderId="7" xfId="0" applyNumberFormat="1" applyFont="1" applyFill="1" applyBorder="1" applyAlignment="1">
      <alignment horizontal="center"/>
    </xf>
    <xf numFmtId="0" fontId="47" fillId="2" borderId="8" xfId="0" applyFont="1" applyFill="1" applyBorder="1" applyAlignment="1">
      <alignment horizontal="center"/>
    </xf>
    <xf numFmtId="0" fontId="47" fillId="2" borderId="2" xfId="0" applyFont="1" applyFill="1" applyBorder="1" applyAlignment="1">
      <alignment horizontal="center"/>
    </xf>
    <xf numFmtId="0" fontId="54" fillId="2" borderId="7" xfId="0" applyFont="1" applyFill="1" applyBorder="1" applyAlignment="1">
      <alignment horizontal="center"/>
    </xf>
    <xf numFmtId="165" fontId="54" fillId="0" borderId="6" xfId="0" applyNumberFormat="1" applyFont="1" applyBorder="1" applyAlignment="1">
      <alignment horizontal="center"/>
    </xf>
    <xf numFmtId="0" fontId="47" fillId="3" borderId="7" xfId="0" applyFont="1" applyFill="1" applyBorder="1" applyAlignment="1">
      <alignment horizontal="center"/>
    </xf>
    <xf numFmtId="0" fontId="54" fillId="4" borderId="7" xfId="0" applyFont="1" applyFill="1" applyBorder="1" applyAlignment="1">
      <alignment horizontal="center"/>
    </xf>
    <xf numFmtId="0" fontId="54" fillId="2" borderId="0" xfId="0" applyFont="1" applyFill="1"/>
    <xf numFmtId="0" fontId="55" fillId="5" borderId="0" xfId="0" applyFont="1" applyFill="1"/>
    <xf numFmtId="0" fontId="47" fillId="5" borderId="0" xfId="0" applyFont="1" applyFill="1"/>
    <xf numFmtId="0" fontId="47" fillId="2" borderId="2" xfId="0" applyFont="1" applyFill="1" applyBorder="1"/>
    <xf numFmtId="164" fontId="47" fillId="2" borderId="5" xfId="0" applyNumberFormat="1" applyFont="1" applyFill="1" applyBorder="1" applyProtection="1">
      <protection locked="0"/>
    </xf>
    <xf numFmtId="0" fontId="47" fillId="2" borderId="9" xfId="0" applyFont="1" applyFill="1" applyBorder="1" applyProtection="1">
      <protection locked="0"/>
    </xf>
    <xf numFmtId="0" fontId="47" fillId="2" borderId="0" xfId="0" applyFont="1" applyFill="1" applyProtection="1">
      <protection locked="0"/>
    </xf>
    <xf numFmtId="0" fontId="47" fillId="2" borderId="10" xfId="0" applyFont="1" applyFill="1" applyBorder="1" applyProtection="1">
      <protection locked="0"/>
    </xf>
    <xf numFmtId="0" fontId="47" fillId="0" borderId="0" xfId="0" applyFont="1"/>
    <xf numFmtId="0" fontId="47" fillId="0" borderId="0" xfId="0" applyFont="1" applyProtection="1">
      <protection locked="0"/>
    </xf>
    <xf numFmtId="1" fontId="47" fillId="2" borderId="0" xfId="0" applyNumberFormat="1" applyFont="1" applyFill="1" applyProtection="1">
      <protection locked="0"/>
    </xf>
    <xf numFmtId="0" fontId="54" fillId="2" borderId="11" xfId="0" applyFont="1" applyFill="1" applyBorder="1" applyProtection="1">
      <protection locked="0"/>
    </xf>
    <xf numFmtId="1" fontId="47" fillId="2" borderId="0" xfId="0" applyNumberFormat="1" applyFont="1" applyFill="1" applyAlignment="1" applyProtection="1">
      <alignment horizontal="right"/>
      <protection locked="0"/>
    </xf>
    <xf numFmtId="0" fontId="47" fillId="2" borderId="0" xfId="0" applyFont="1" applyFill="1" applyAlignment="1" applyProtection="1">
      <alignment horizontal="right"/>
      <protection locked="0"/>
    </xf>
    <xf numFmtId="164" fontId="47" fillId="2" borderId="12" xfId="0" applyNumberFormat="1" applyFont="1" applyFill="1" applyBorder="1" applyProtection="1">
      <protection locked="0"/>
    </xf>
    <xf numFmtId="0" fontId="47" fillId="2" borderId="2" xfId="0" applyFont="1" applyFill="1" applyBorder="1" applyProtection="1">
      <protection locked="0"/>
    </xf>
    <xf numFmtId="0" fontId="47" fillId="2" borderId="2" xfId="0" applyFont="1" applyFill="1" applyBorder="1" applyAlignment="1" applyProtection="1">
      <alignment horizontal="right"/>
      <protection locked="0"/>
    </xf>
    <xf numFmtId="1" fontId="54" fillId="2" borderId="2" xfId="0" applyNumberFormat="1" applyFont="1" applyFill="1" applyBorder="1" applyAlignment="1" applyProtection="1">
      <alignment horizontal="right"/>
      <protection locked="0"/>
    </xf>
    <xf numFmtId="1" fontId="47" fillId="2" borderId="2" xfId="0" applyNumberFormat="1" applyFont="1" applyFill="1" applyBorder="1" applyAlignment="1" applyProtection="1">
      <alignment horizontal="right"/>
      <protection locked="0"/>
    </xf>
    <xf numFmtId="1" fontId="47" fillId="2" borderId="8" xfId="0" applyNumberFormat="1" applyFont="1" applyFill="1" applyBorder="1" applyAlignment="1" applyProtection="1">
      <alignment horizontal="right"/>
      <protection locked="0"/>
    </xf>
    <xf numFmtId="164" fontId="47" fillId="2" borderId="13" xfId="0" applyNumberFormat="1" applyFont="1" applyFill="1" applyBorder="1" applyProtection="1">
      <protection locked="0"/>
    </xf>
    <xf numFmtId="0" fontId="47" fillId="2" borderId="14" xfId="0" applyFont="1" applyFill="1" applyBorder="1" applyProtection="1">
      <protection locked="0"/>
    </xf>
    <xf numFmtId="0" fontId="47" fillId="2" borderId="9" xfId="0" applyFont="1" applyFill="1" applyBorder="1" applyAlignment="1" applyProtection="1">
      <alignment horizontal="right"/>
      <protection locked="0"/>
    </xf>
    <xf numFmtId="1" fontId="54" fillId="2" borderId="14" xfId="0" applyNumberFormat="1" applyFont="1" applyFill="1" applyBorder="1" applyAlignment="1" applyProtection="1">
      <alignment horizontal="right"/>
      <protection locked="0"/>
    </xf>
    <xf numFmtId="164" fontId="54" fillId="0" borderId="5" xfId="0" applyNumberFormat="1" applyFont="1" applyBorder="1" applyProtection="1">
      <protection locked="0"/>
    </xf>
    <xf numFmtId="0" fontId="54" fillId="0" borderId="9" xfId="0" applyFont="1" applyBorder="1" applyProtection="1">
      <protection locked="0"/>
    </xf>
    <xf numFmtId="0" fontId="54" fillId="0" borderId="14" xfId="0" applyFont="1" applyBorder="1" applyProtection="1">
      <protection locked="0"/>
    </xf>
    <xf numFmtId="1" fontId="54" fillId="0" borderId="4" xfId="0" applyNumberFormat="1" applyFont="1" applyBorder="1" applyProtection="1">
      <protection locked="0"/>
    </xf>
    <xf numFmtId="0" fontId="54" fillId="2" borderId="2" xfId="0" applyFont="1" applyFill="1" applyBorder="1" applyProtection="1">
      <protection locked="0"/>
    </xf>
    <xf numFmtId="0" fontId="54" fillId="2" borderId="8" xfId="0" applyFont="1" applyFill="1" applyBorder="1" applyProtection="1">
      <protection locked="0"/>
    </xf>
    <xf numFmtId="0" fontId="54" fillId="2" borderId="0" xfId="0" applyFont="1" applyFill="1" applyAlignment="1" applyProtection="1">
      <alignment horizontal="left"/>
      <protection locked="0"/>
    </xf>
    <xf numFmtId="1" fontId="52" fillId="2" borderId="0" xfId="0" applyNumberFormat="1" applyFont="1" applyFill="1" applyProtection="1">
      <protection locked="0"/>
    </xf>
    <xf numFmtId="164" fontId="56" fillId="2" borderId="0" xfId="0" applyNumberFormat="1" applyFont="1" applyFill="1" applyAlignment="1" applyProtection="1">
      <alignment horizontal="left"/>
      <protection locked="0"/>
    </xf>
    <xf numFmtId="1" fontId="54" fillId="2" borderId="0" xfId="0" applyNumberFormat="1" applyFont="1" applyFill="1" applyProtection="1">
      <protection locked="0"/>
    </xf>
    <xf numFmtId="164" fontId="56" fillId="2" borderId="0" xfId="0" applyNumberFormat="1" applyFont="1" applyFill="1" applyProtection="1">
      <protection locked="0"/>
    </xf>
    <xf numFmtId="0" fontId="57" fillId="2" borderId="0" xfId="0" applyFont="1" applyFill="1" applyProtection="1">
      <protection locked="0"/>
    </xf>
    <xf numFmtId="0" fontId="54" fillId="2" borderId="0" xfId="0" applyFont="1" applyFill="1" applyProtection="1">
      <protection locked="0"/>
    </xf>
    <xf numFmtId="164" fontId="47" fillId="2" borderId="0" xfId="0" applyNumberFormat="1" applyFont="1" applyFill="1" applyProtection="1">
      <protection locked="0"/>
    </xf>
    <xf numFmtId="0" fontId="55" fillId="5" borderId="0" xfId="0" applyFont="1" applyFill="1" applyProtection="1">
      <protection locked="0"/>
    </xf>
    <xf numFmtId="0" fontId="47" fillId="5" borderId="0" xfId="0" applyFont="1" applyFill="1" applyProtection="1">
      <protection locked="0"/>
    </xf>
    <xf numFmtId="0" fontId="47" fillId="2" borderId="0" xfId="0" applyFont="1" applyFill="1" applyAlignment="1" applyProtection="1">
      <alignment horizontal="center"/>
      <protection locked="0"/>
    </xf>
    <xf numFmtId="1" fontId="54" fillId="2" borderId="9" xfId="0" applyNumberFormat="1" applyFont="1" applyFill="1" applyBorder="1" applyProtection="1">
      <protection locked="0"/>
    </xf>
    <xf numFmtId="0" fontId="47" fillId="2" borderId="9" xfId="0" applyFont="1" applyFill="1" applyBorder="1" applyAlignment="1" applyProtection="1">
      <alignment horizontal="center"/>
      <protection locked="0"/>
    </xf>
    <xf numFmtId="1" fontId="47" fillId="2" borderId="10" xfId="0" applyNumberFormat="1" applyFont="1" applyFill="1" applyBorder="1" applyProtection="1">
      <protection locked="0"/>
    </xf>
    <xf numFmtId="0" fontId="47" fillId="0" borderId="0" xfId="0" applyFont="1" applyAlignment="1" applyProtection="1">
      <alignment horizontal="right"/>
      <protection locked="0"/>
    </xf>
    <xf numFmtId="1" fontId="47" fillId="0" borderId="0" xfId="0" applyNumberFormat="1" applyFont="1" applyAlignment="1" applyProtection="1">
      <alignment horizontal="right"/>
      <protection locked="0"/>
    </xf>
    <xf numFmtId="1" fontId="54" fillId="2" borderId="11" xfId="0" applyNumberFormat="1" applyFont="1" applyFill="1" applyBorder="1" applyProtection="1">
      <protection locked="0"/>
    </xf>
    <xf numFmtId="1" fontId="54" fillId="0" borderId="11" xfId="0" applyNumberFormat="1" applyFont="1" applyBorder="1" applyProtection="1">
      <protection locked="0"/>
    </xf>
    <xf numFmtId="1" fontId="54" fillId="2" borderId="0" xfId="0" applyNumberFormat="1" applyFont="1" applyFill="1" applyAlignment="1" applyProtection="1">
      <alignment horizontal="right"/>
      <protection locked="0"/>
    </xf>
    <xf numFmtId="1" fontId="54" fillId="2" borderId="11" xfId="0" applyNumberFormat="1" applyFont="1" applyFill="1" applyBorder="1" applyAlignment="1" applyProtection="1">
      <alignment horizontal="right"/>
      <protection locked="0"/>
    </xf>
    <xf numFmtId="3" fontId="54" fillId="2" borderId="9" xfId="0" applyNumberFormat="1" applyFont="1" applyFill="1" applyBorder="1" applyAlignment="1" applyProtection="1">
      <alignment horizontal="right"/>
      <protection locked="0"/>
    </xf>
    <xf numFmtId="0" fontId="47" fillId="0" borderId="9" xfId="0" applyFont="1" applyBorder="1" applyProtection="1">
      <protection locked="0"/>
    </xf>
    <xf numFmtId="1" fontId="54" fillId="0" borderId="15" xfId="0" applyNumberFormat="1" applyFont="1" applyBorder="1" applyProtection="1">
      <protection locked="0"/>
    </xf>
    <xf numFmtId="164" fontId="54" fillId="2" borderId="12" xfId="0" applyNumberFormat="1" applyFont="1" applyFill="1" applyBorder="1" applyProtection="1">
      <protection locked="0"/>
    </xf>
    <xf numFmtId="164" fontId="54" fillId="2" borderId="0" xfId="0" applyNumberFormat="1" applyFont="1" applyFill="1" applyAlignment="1" applyProtection="1">
      <alignment horizontal="left"/>
      <protection locked="0"/>
    </xf>
    <xf numFmtId="0" fontId="58" fillId="2" borderId="0" xfId="0" applyFont="1" applyFill="1" applyProtection="1">
      <protection locked="0"/>
    </xf>
    <xf numFmtId="0" fontId="57" fillId="2" borderId="9" xfId="0" applyFont="1" applyFill="1" applyBorder="1" applyProtection="1">
      <protection locked="0"/>
    </xf>
    <xf numFmtId="0" fontId="57" fillId="2" borderId="10" xfId="0" applyFont="1" applyFill="1" applyBorder="1" applyProtection="1">
      <protection locked="0"/>
    </xf>
    <xf numFmtId="0" fontId="47" fillId="0" borderId="0" xfId="0" applyFont="1" applyAlignment="1" applyProtection="1">
      <alignment horizontal="center"/>
      <protection locked="0"/>
    </xf>
    <xf numFmtId="1" fontId="54" fillId="0" borderId="11" xfId="0" applyNumberFormat="1" applyFont="1" applyBorder="1" applyAlignment="1" applyProtection="1">
      <alignment horizontal="right"/>
      <protection locked="0"/>
    </xf>
    <xf numFmtId="1" fontId="54" fillId="2" borderId="8" xfId="0" applyNumberFormat="1" applyFont="1" applyFill="1" applyBorder="1" applyProtection="1">
      <protection locked="0"/>
    </xf>
    <xf numFmtId="3" fontId="47" fillId="2" borderId="14" xfId="0" applyNumberFormat="1" applyFont="1" applyFill="1" applyBorder="1" applyProtection="1">
      <protection locked="0"/>
    </xf>
    <xf numFmtId="3" fontId="54" fillId="2" borderId="14" xfId="0" applyNumberFormat="1" applyFont="1" applyFill="1" applyBorder="1" applyProtection="1">
      <protection locked="0"/>
    </xf>
    <xf numFmtId="164" fontId="54" fillId="2" borderId="5" xfId="0" applyNumberFormat="1" applyFont="1" applyFill="1" applyBorder="1" applyProtection="1">
      <protection locked="0"/>
    </xf>
    <xf numFmtId="0" fontId="54" fillId="2" borderId="9" xfId="0" applyFont="1" applyFill="1" applyBorder="1" applyProtection="1">
      <protection locked="0"/>
    </xf>
    <xf numFmtId="0" fontId="54" fillId="2" borderId="14" xfId="0" applyFont="1" applyFill="1" applyBorder="1" applyProtection="1">
      <protection locked="0"/>
    </xf>
    <xf numFmtId="1" fontId="54" fillId="2" borderId="4" xfId="0" applyNumberFormat="1" applyFont="1" applyFill="1" applyBorder="1" applyProtection="1">
      <protection locked="0"/>
    </xf>
    <xf numFmtId="1" fontId="54" fillId="2" borderId="2" xfId="0" applyNumberFormat="1" applyFont="1" applyFill="1" applyBorder="1" applyProtection="1">
      <protection locked="0"/>
    </xf>
    <xf numFmtId="0" fontId="47" fillId="2" borderId="2" xfId="0" applyFont="1" applyFill="1" applyBorder="1" applyAlignment="1" applyProtection="1">
      <alignment horizontal="left"/>
      <protection locked="0"/>
    </xf>
    <xf numFmtId="1" fontId="47" fillId="2" borderId="8" xfId="0" applyNumberFormat="1" applyFont="1" applyFill="1" applyBorder="1" applyProtection="1">
      <protection locked="0"/>
    </xf>
    <xf numFmtId="1" fontId="52" fillId="0" borderId="0" xfId="0" applyNumberFormat="1" applyFont="1" applyProtection="1">
      <protection locked="0"/>
    </xf>
    <xf numFmtId="0" fontId="54" fillId="0" borderId="11" xfId="0" applyFont="1" applyBorder="1" applyProtection="1">
      <protection locked="0"/>
    </xf>
    <xf numFmtId="1" fontId="47" fillId="2" borderId="2" xfId="0" applyNumberFormat="1" applyFont="1" applyFill="1" applyBorder="1" applyProtection="1">
      <protection locked="0"/>
    </xf>
    <xf numFmtId="0" fontId="47" fillId="2" borderId="2" xfId="0" applyFont="1" applyFill="1" applyBorder="1" applyAlignment="1" applyProtection="1">
      <alignment horizontal="center"/>
      <protection locked="0"/>
    </xf>
    <xf numFmtId="1" fontId="47" fillId="2" borderId="14" xfId="0" applyNumberFormat="1" applyFont="1" applyFill="1" applyBorder="1" applyProtection="1">
      <protection locked="0"/>
    </xf>
    <xf numFmtId="164" fontId="54" fillId="0" borderId="14" xfId="0" applyNumberFormat="1" applyFont="1" applyBorder="1" applyAlignment="1" applyProtection="1">
      <alignment vertical="top"/>
      <protection locked="0"/>
    </xf>
    <xf numFmtId="164" fontId="54" fillId="0" borderId="9" xfId="0" applyNumberFormat="1" applyFont="1" applyBorder="1" applyAlignment="1" applyProtection="1">
      <alignment vertical="top"/>
      <protection locked="0"/>
    </xf>
    <xf numFmtId="164" fontId="54" fillId="0" borderId="9" xfId="0" applyNumberFormat="1" applyFont="1" applyBorder="1" applyProtection="1">
      <protection locked="0"/>
    </xf>
    <xf numFmtId="0" fontId="54" fillId="0" borderId="0" xfId="0" applyFont="1" applyAlignment="1" applyProtection="1">
      <alignment horizontal="left"/>
      <protection locked="0"/>
    </xf>
    <xf numFmtId="164" fontId="54" fillId="0" borderId="0" xfId="0" applyNumberFormat="1" applyFont="1" applyAlignment="1" applyProtection="1">
      <alignment horizontal="left"/>
      <protection locked="0"/>
    </xf>
    <xf numFmtId="1" fontId="54" fillId="0" borderId="0" xfId="0" applyNumberFormat="1" applyFont="1" applyProtection="1">
      <protection locked="0"/>
    </xf>
    <xf numFmtId="0" fontId="55" fillId="2" borderId="0" xfId="0" applyFont="1" applyFill="1" applyProtection="1">
      <protection locked="0"/>
    </xf>
    <xf numFmtId="0" fontId="54" fillId="5" borderId="0" xfId="0" applyFont="1" applyFill="1" applyProtection="1">
      <protection locked="0"/>
    </xf>
    <xf numFmtId="164" fontId="54" fillId="0" borderId="5" xfId="0" applyNumberFormat="1" applyFont="1" applyBorder="1" applyAlignment="1" applyProtection="1">
      <alignment vertical="top"/>
      <protection locked="0"/>
    </xf>
    <xf numFmtId="164" fontId="47" fillId="2" borderId="2" xfId="0" applyNumberFormat="1" applyFont="1" applyFill="1" applyBorder="1" applyProtection="1">
      <protection locked="0"/>
    </xf>
    <xf numFmtId="0" fontId="54" fillId="2" borderId="9" xfId="0" applyFont="1" applyFill="1" applyBorder="1" applyAlignment="1" applyProtection="1">
      <alignment horizontal="left"/>
      <protection locked="0"/>
    </xf>
    <xf numFmtId="0" fontId="55" fillId="2" borderId="9" xfId="0" applyFont="1" applyFill="1" applyBorder="1" applyProtection="1">
      <protection locked="0"/>
    </xf>
    <xf numFmtId="0" fontId="54" fillId="0" borderId="0" xfId="0" applyFont="1"/>
    <xf numFmtId="164" fontId="47" fillId="0" borderId="12" xfId="0" applyNumberFormat="1" applyFont="1" applyBorder="1" applyProtection="1">
      <protection locked="0"/>
    </xf>
    <xf numFmtId="0" fontId="47" fillId="0" borderId="2" xfId="0" applyFont="1" applyBorder="1" applyProtection="1">
      <protection locked="0"/>
    </xf>
    <xf numFmtId="3" fontId="47" fillId="2" borderId="9" xfId="0" applyNumberFormat="1" applyFont="1" applyFill="1" applyBorder="1" applyProtection="1">
      <protection locked="0"/>
    </xf>
    <xf numFmtId="3" fontId="54" fillId="2" borderId="9" xfId="0" applyNumberFormat="1" applyFont="1" applyFill="1" applyBorder="1" applyProtection="1">
      <protection locked="0"/>
    </xf>
    <xf numFmtId="0" fontId="56" fillId="2" borderId="2" xfId="0" applyFont="1" applyFill="1" applyBorder="1" applyProtection="1">
      <protection locked="0"/>
    </xf>
    <xf numFmtId="0" fontId="56" fillId="2" borderId="8" xfId="0" applyFont="1" applyFill="1" applyBorder="1" applyProtection="1">
      <protection locked="0"/>
    </xf>
    <xf numFmtId="1" fontId="54" fillId="0" borderId="0" xfId="0" applyNumberFormat="1" applyFont="1" applyAlignment="1" applyProtection="1">
      <alignment horizontal="right"/>
      <protection locked="0"/>
    </xf>
    <xf numFmtId="164" fontId="54" fillId="2" borderId="1" xfId="0" applyNumberFormat="1" applyFont="1" applyFill="1" applyBorder="1" applyProtection="1">
      <protection locked="0"/>
    </xf>
    <xf numFmtId="1" fontId="54" fillId="2" borderId="15" xfId="0" applyNumberFormat="1" applyFont="1" applyFill="1" applyBorder="1" applyProtection="1">
      <protection locked="0"/>
    </xf>
    <xf numFmtId="0" fontId="52" fillId="2" borderId="9" xfId="0" applyFont="1" applyFill="1" applyBorder="1" applyAlignment="1" applyProtection="1">
      <alignment horizontal="center" wrapText="1"/>
      <protection locked="0"/>
    </xf>
    <xf numFmtId="164" fontId="54" fillId="0" borderId="5" xfId="0" applyNumberFormat="1" applyFont="1" applyBorder="1" applyAlignment="1" applyProtection="1">
      <alignment horizontal="left"/>
      <protection locked="0"/>
    </xf>
    <xf numFmtId="164" fontId="54" fillId="0" borderId="9" xfId="0" applyNumberFormat="1" applyFont="1" applyBorder="1" applyAlignment="1" applyProtection="1">
      <alignment horizontal="left"/>
      <protection locked="0"/>
    </xf>
    <xf numFmtId="164" fontId="54" fillId="0" borderId="14" xfId="0" applyNumberFormat="1" applyFont="1" applyBorder="1" applyAlignment="1" applyProtection="1">
      <alignment horizontal="left"/>
      <protection locked="0"/>
    </xf>
    <xf numFmtId="0" fontId="54" fillId="0" borderId="0" xfId="0" applyFont="1" applyProtection="1">
      <protection locked="0"/>
    </xf>
    <xf numFmtId="0" fontId="54" fillId="2" borderId="2" xfId="0" applyFont="1" applyFill="1" applyBorder="1" applyAlignment="1" applyProtection="1">
      <alignment horizontal="left"/>
      <protection locked="0"/>
    </xf>
    <xf numFmtId="0" fontId="54" fillId="2" borderId="8" xfId="0" applyFont="1" applyFill="1" applyBorder="1" applyAlignment="1" applyProtection="1">
      <alignment horizontal="left"/>
      <protection locked="0"/>
    </xf>
    <xf numFmtId="1" fontId="54" fillId="2" borderId="10" xfId="0" applyNumberFormat="1" applyFont="1" applyFill="1" applyBorder="1" applyProtection="1">
      <protection locked="0"/>
    </xf>
    <xf numFmtId="0" fontId="54" fillId="2" borderId="2" xfId="0" applyFont="1" applyFill="1" applyBorder="1" applyAlignment="1" applyProtection="1">
      <alignment horizontal="right"/>
      <protection locked="0"/>
    </xf>
    <xf numFmtId="164" fontId="54" fillId="0" borderId="0" xfId="0" applyNumberFormat="1" applyFont="1" applyAlignment="1" applyProtection="1">
      <alignment vertical="top"/>
      <protection locked="0"/>
    </xf>
    <xf numFmtId="0" fontId="55" fillId="0" borderId="0" xfId="0" applyFont="1" applyProtection="1">
      <protection locked="0"/>
    </xf>
    <xf numFmtId="0" fontId="54" fillId="0" borderId="9" xfId="0" applyFont="1" applyBorder="1" applyAlignment="1" applyProtection="1">
      <alignment horizontal="left"/>
      <protection locked="0"/>
    </xf>
    <xf numFmtId="164" fontId="47" fillId="2" borderId="1" xfId="0" applyNumberFormat="1" applyFont="1" applyFill="1" applyBorder="1" applyAlignment="1" applyProtection="1">
      <alignment horizontal="left"/>
      <protection locked="0"/>
    </xf>
    <xf numFmtId="0" fontId="54" fillId="2" borderId="11" xfId="0" applyFont="1" applyFill="1" applyBorder="1" applyAlignment="1" applyProtection="1">
      <alignment horizontal="left"/>
      <protection locked="0"/>
    </xf>
    <xf numFmtId="164" fontId="47" fillId="2" borderId="12" xfId="0" applyNumberFormat="1" applyFont="1" applyFill="1" applyBorder="1" applyAlignment="1" applyProtection="1">
      <alignment horizontal="left"/>
      <protection locked="0"/>
    </xf>
    <xf numFmtId="0" fontId="60" fillId="2" borderId="0" xfId="0" applyFont="1" applyFill="1" applyProtection="1">
      <protection locked="0"/>
    </xf>
    <xf numFmtId="0" fontId="60" fillId="2" borderId="10" xfId="0" applyFont="1" applyFill="1" applyBorder="1" applyProtection="1">
      <protection locked="0"/>
    </xf>
    <xf numFmtId="1" fontId="47" fillId="0" borderId="0" xfId="0" applyNumberFormat="1" applyFont="1" applyProtection="1">
      <protection locked="0"/>
    </xf>
    <xf numFmtId="0" fontId="61" fillId="2" borderId="11" xfId="0" applyFont="1" applyFill="1" applyBorder="1" applyProtection="1">
      <protection locked="0"/>
    </xf>
    <xf numFmtId="1" fontId="47" fillId="2" borderId="9" xfId="0" applyNumberFormat="1" applyFont="1" applyFill="1" applyBorder="1" applyProtection="1">
      <protection locked="0"/>
    </xf>
    <xf numFmtId="164" fontId="54" fillId="0" borderId="12" xfId="0" applyNumberFormat="1" applyFont="1" applyBorder="1" applyProtection="1">
      <protection locked="0"/>
    </xf>
    <xf numFmtId="0" fontId="54" fillId="0" borderId="2" xfId="0" applyFont="1" applyBorder="1" applyProtection="1">
      <protection locked="0"/>
    </xf>
    <xf numFmtId="0" fontId="54" fillId="0" borderId="8" xfId="0" applyFont="1" applyBorder="1" applyProtection="1">
      <protection locked="0"/>
    </xf>
    <xf numFmtId="164" fontId="54" fillId="2" borderId="0" xfId="0" applyNumberFormat="1" applyFont="1" applyFill="1" applyProtection="1">
      <protection locked="0"/>
    </xf>
    <xf numFmtId="0" fontId="55" fillId="5" borderId="2" xfId="0" applyFont="1" applyFill="1" applyBorder="1" applyProtection="1">
      <protection locked="0"/>
    </xf>
    <xf numFmtId="0" fontId="47" fillId="5" borderId="2" xfId="0" applyFont="1" applyFill="1" applyBorder="1" applyProtection="1">
      <protection locked="0"/>
    </xf>
    <xf numFmtId="164" fontId="47" fillId="0" borderId="5" xfId="0" applyNumberFormat="1" applyFont="1" applyBorder="1" applyProtection="1">
      <protection locked="0"/>
    </xf>
    <xf numFmtId="0" fontId="47" fillId="0" borderId="9" xfId="0" applyFont="1" applyBorder="1"/>
    <xf numFmtId="0" fontId="60" fillId="2" borderId="9" xfId="0" applyFont="1" applyFill="1" applyBorder="1" applyProtection="1">
      <protection locked="0"/>
    </xf>
    <xf numFmtId="1" fontId="54" fillId="2" borderId="14" xfId="0" applyNumberFormat="1" applyFont="1" applyFill="1" applyBorder="1" applyProtection="1">
      <protection locked="0"/>
    </xf>
    <xf numFmtId="164" fontId="54" fillId="0" borderId="4" xfId="0" applyNumberFormat="1" applyFont="1" applyBorder="1" applyAlignment="1" applyProtection="1">
      <alignment vertical="top"/>
      <protection locked="0"/>
    </xf>
    <xf numFmtId="164" fontId="47" fillId="2" borderId="1" xfId="0" applyNumberFormat="1" applyFont="1" applyFill="1" applyBorder="1" applyAlignment="1">
      <alignment vertical="top"/>
    </xf>
    <xf numFmtId="164" fontId="47" fillId="2" borderId="0" xfId="0" applyNumberFormat="1" applyFont="1" applyFill="1" applyAlignment="1">
      <alignment vertical="top"/>
    </xf>
    <xf numFmtId="164" fontId="54" fillId="2" borderId="0" xfId="0" applyNumberFormat="1" applyFont="1" applyFill="1" applyAlignment="1">
      <alignment vertical="top"/>
    </xf>
    <xf numFmtId="164" fontId="47" fillId="2" borderId="11" xfId="0" applyNumberFormat="1" applyFont="1" applyFill="1" applyBorder="1" applyAlignment="1">
      <alignment vertical="top"/>
    </xf>
    <xf numFmtId="164" fontId="47" fillId="2" borderId="12" xfId="0" applyNumberFormat="1" applyFont="1" applyFill="1" applyBorder="1" applyAlignment="1">
      <alignment vertical="top"/>
    </xf>
    <xf numFmtId="164" fontId="47" fillId="2" borderId="2" xfId="0" applyNumberFormat="1" applyFont="1" applyFill="1" applyBorder="1" applyAlignment="1">
      <alignment vertical="top"/>
    </xf>
    <xf numFmtId="164" fontId="47" fillId="2" borderId="8" xfId="0" applyNumberFormat="1" applyFont="1" applyFill="1" applyBorder="1" applyAlignment="1">
      <alignment vertical="top"/>
    </xf>
    <xf numFmtId="0" fontId="47" fillId="2" borderId="0" xfId="0" applyFont="1" applyFill="1" applyAlignment="1" applyProtection="1">
      <alignment horizontal="left"/>
      <protection locked="0"/>
    </xf>
    <xf numFmtId="164" fontId="54" fillId="0" borderId="3" xfId="0" applyNumberFormat="1" applyFont="1" applyBorder="1" applyAlignment="1" applyProtection="1">
      <alignment vertical="top"/>
      <protection locked="0"/>
    </xf>
    <xf numFmtId="1" fontId="52" fillId="0" borderId="9" xfId="0" applyNumberFormat="1" applyFont="1" applyBorder="1" applyProtection="1">
      <protection locked="0"/>
    </xf>
    <xf numFmtId="164" fontId="62" fillId="2" borderId="0" xfId="0" applyNumberFormat="1" applyFont="1" applyFill="1" applyAlignment="1" applyProtection="1">
      <alignment horizontal="left"/>
      <protection locked="0"/>
    </xf>
    <xf numFmtId="164" fontId="59" fillId="2" borderId="12" xfId="0" applyNumberFormat="1" applyFont="1" applyFill="1" applyBorder="1" applyProtection="1">
      <protection locked="0"/>
    </xf>
    <xf numFmtId="0" fontId="61" fillId="2" borderId="0" xfId="0" applyFont="1" applyFill="1" applyProtection="1">
      <protection locked="0"/>
    </xf>
    <xf numFmtId="3" fontId="54" fillId="0" borderId="9" xfId="0" applyNumberFormat="1" applyFont="1" applyBorder="1" applyProtection="1">
      <protection locked="0"/>
    </xf>
    <xf numFmtId="1" fontId="54" fillId="0" borderId="4" xfId="0" applyNumberFormat="1" applyFont="1" applyBorder="1" applyAlignment="1" applyProtection="1">
      <alignment wrapText="1"/>
      <protection locked="0"/>
    </xf>
    <xf numFmtId="0" fontId="52" fillId="0" borderId="9" xfId="0" applyFont="1" applyBorder="1" applyAlignment="1" applyProtection="1">
      <alignment horizontal="right"/>
      <protection locked="0"/>
    </xf>
    <xf numFmtId="164" fontId="54" fillId="2" borderId="5" xfId="0" applyNumberFormat="1" applyFont="1" applyFill="1" applyBorder="1" applyAlignment="1" applyProtection="1">
      <alignment vertical="top"/>
      <protection locked="0"/>
    </xf>
    <xf numFmtId="164" fontId="54" fillId="2" borderId="9" xfId="0" applyNumberFormat="1" applyFont="1" applyFill="1" applyBorder="1" applyAlignment="1" applyProtection="1">
      <alignment vertical="top"/>
      <protection locked="0"/>
    </xf>
    <xf numFmtId="164" fontId="47" fillId="0" borderId="13" xfId="0" applyNumberFormat="1" applyFont="1" applyBorder="1" applyProtection="1">
      <protection locked="0"/>
    </xf>
    <xf numFmtId="0" fontId="47" fillId="0" borderId="14" xfId="0" applyFont="1" applyBorder="1" applyProtection="1">
      <protection locked="0"/>
    </xf>
    <xf numFmtId="1" fontId="47" fillId="0" borderId="2" xfId="0" applyNumberFormat="1" applyFont="1" applyBorder="1" applyProtection="1">
      <protection locked="0"/>
    </xf>
    <xf numFmtId="1" fontId="54" fillId="0" borderId="15" xfId="0" applyNumberFormat="1" applyFont="1" applyBorder="1" applyAlignment="1" applyProtection="1">
      <alignment wrapText="1"/>
      <protection locked="0"/>
    </xf>
    <xf numFmtId="164" fontId="47" fillId="2" borderId="2" xfId="0" applyNumberFormat="1" applyFont="1" applyFill="1" applyBorder="1" applyAlignment="1" applyProtection="1">
      <alignment horizontal="left"/>
      <protection locked="0"/>
    </xf>
    <xf numFmtId="1" fontId="47" fillId="2" borderId="11" xfId="0" applyNumberFormat="1" applyFont="1" applyFill="1" applyBorder="1" applyProtection="1">
      <protection locked="0"/>
    </xf>
    <xf numFmtId="164" fontId="54" fillId="2" borderId="5" xfId="0" applyNumberFormat="1" applyFont="1" applyFill="1" applyBorder="1" applyAlignment="1" applyProtection="1">
      <alignment horizontal="left" vertical="top"/>
      <protection locked="0"/>
    </xf>
    <xf numFmtId="0" fontId="54" fillId="2" borderId="9" xfId="0" applyFont="1" applyFill="1" applyBorder="1" applyAlignment="1" applyProtection="1">
      <alignment horizontal="left" wrapText="1"/>
      <protection locked="0"/>
    </xf>
    <xf numFmtId="0" fontId="54" fillId="2" borderId="14" xfId="0" applyFont="1" applyFill="1" applyBorder="1" applyAlignment="1" applyProtection="1">
      <alignment horizontal="left" wrapText="1"/>
      <protection locked="0"/>
    </xf>
    <xf numFmtId="164" fontId="54" fillId="0" borderId="0" xfId="0" applyNumberFormat="1" applyFont="1" applyProtection="1">
      <protection locked="0"/>
    </xf>
    <xf numFmtId="3" fontId="54" fillId="2" borderId="0" xfId="0" applyNumberFormat="1" applyFont="1" applyFill="1"/>
    <xf numFmtId="0" fontId="50" fillId="2" borderId="0" xfId="0" applyFont="1" applyFill="1"/>
    <xf numFmtId="3" fontId="47" fillId="2" borderId="0" xfId="0" applyNumberFormat="1" applyFont="1" applyFill="1"/>
    <xf numFmtId="3" fontId="47" fillId="0" borderId="0" xfId="0" applyNumberFormat="1" applyFont="1"/>
    <xf numFmtId="3" fontId="47" fillId="0" borderId="0" xfId="0" applyNumberFormat="1" applyFont="1" applyAlignment="1">
      <alignment horizontal="center"/>
    </xf>
    <xf numFmtId="0" fontId="54" fillId="0" borderId="22" xfId="0" applyFont="1" applyBorder="1" applyAlignment="1">
      <alignment vertical="center"/>
    </xf>
    <xf numFmtId="0" fontId="54" fillId="0" borderId="23" xfId="0" applyFont="1" applyBorder="1" applyAlignment="1">
      <alignment vertical="center"/>
    </xf>
    <xf numFmtId="3" fontId="47" fillId="0" borderId="23" xfId="0" applyNumberFormat="1" applyFont="1" applyBorder="1" applyAlignment="1">
      <alignment horizontal="center" vertical="center"/>
    </xf>
    <xf numFmtId="3" fontId="54" fillId="0" borderId="23" xfId="0" applyNumberFormat="1" applyFont="1" applyBorder="1" applyAlignment="1">
      <alignment horizontal="right" vertical="center"/>
    </xf>
    <xf numFmtId="3" fontId="47" fillId="0" borderId="23" xfId="0" applyNumberFormat="1" applyFont="1" applyBorder="1" applyAlignment="1">
      <alignment horizontal="right" vertical="center"/>
    </xf>
    <xf numFmtId="3" fontId="54" fillId="0" borderId="24" xfId="0" applyNumberFormat="1" applyFont="1" applyBorder="1" applyAlignment="1">
      <alignment horizontal="center" vertical="center"/>
    </xf>
    <xf numFmtId="0" fontId="47" fillId="0" borderId="0" xfId="0" applyFont="1" applyAlignment="1">
      <alignment vertical="center"/>
    </xf>
    <xf numFmtId="3" fontId="54" fillId="0" borderId="0" xfId="0" applyNumberFormat="1" applyFont="1" applyAlignment="1">
      <alignment vertical="center"/>
    </xf>
    <xf numFmtId="0" fontId="54" fillId="0" borderId="25" xfId="0" applyFont="1" applyBorder="1"/>
    <xf numFmtId="3" fontId="47" fillId="0" borderId="26" xfId="0" applyNumberFormat="1" applyFont="1" applyBorder="1" applyAlignment="1">
      <alignment horizontal="center"/>
    </xf>
    <xf numFmtId="0" fontId="47" fillId="0" borderId="25" xfId="0" applyFont="1" applyBorder="1"/>
    <xf numFmtId="3" fontId="47" fillId="2" borderId="0" xfId="0" applyNumberFormat="1" applyFont="1" applyFill="1" applyAlignment="1">
      <alignment horizontal="center"/>
    </xf>
    <xf numFmtId="3" fontId="54" fillId="0" borderId="26" xfId="0" applyNumberFormat="1" applyFont="1" applyBorder="1" applyAlignment="1">
      <alignment horizontal="center"/>
    </xf>
    <xf numFmtId="3" fontId="54" fillId="0" borderId="23" xfId="0" applyNumberFormat="1" applyFont="1" applyBorder="1" applyAlignment="1">
      <alignment horizontal="center" vertical="center"/>
    </xf>
    <xf numFmtId="3" fontId="47" fillId="2" borderId="23" xfId="0" applyNumberFormat="1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2" fillId="0" borderId="22" xfId="0" applyFont="1" applyBorder="1" applyAlignment="1">
      <alignment horizontal="center" vertical="center"/>
    </xf>
    <xf numFmtId="0" fontId="52" fillId="0" borderId="23" xfId="0" applyFont="1" applyBorder="1" applyAlignment="1">
      <alignment vertical="center"/>
    </xf>
    <xf numFmtId="3" fontId="52" fillId="0" borderId="23" xfId="0" applyNumberFormat="1" applyFont="1" applyBorder="1" applyAlignment="1">
      <alignment horizontal="center" vertical="center"/>
    </xf>
    <xf numFmtId="0" fontId="47" fillId="0" borderId="27" xfId="0" applyFont="1" applyBorder="1"/>
    <xf numFmtId="0" fontId="47" fillId="0" borderId="16" xfId="0" applyFont="1" applyBorder="1"/>
    <xf numFmtId="3" fontId="47" fillId="0" borderId="16" xfId="0" applyNumberFormat="1" applyFont="1" applyBorder="1"/>
    <xf numFmtId="3" fontId="47" fillId="0" borderId="28" xfId="0" applyNumberFormat="1" applyFont="1" applyBorder="1"/>
    <xf numFmtId="3" fontId="47" fillId="0" borderId="7" xfId="0" applyNumberFormat="1" applyFont="1" applyBorder="1"/>
    <xf numFmtId="3" fontId="47" fillId="0" borderId="1" xfId="0" applyNumberFormat="1" applyFont="1" applyBorder="1"/>
    <xf numFmtId="164" fontId="64" fillId="2" borderId="12" xfId="0" applyNumberFormat="1" applyFont="1" applyFill="1" applyBorder="1" applyProtection="1">
      <protection locked="0"/>
    </xf>
    <xf numFmtId="166" fontId="47" fillId="2" borderId="0" xfId="0" applyNumberFormat="1" applyFont="1" applyFill="1"/>
    <xf numFmtId="164" fontId="47" fillId="0" borderId="2" xfId="0" applyNumberFormat="1" applyFont="1" applyBorder="1" applyAlignment="1" applyProtection="1">
      <alignment vertical="center"/>
      <protection locked="0"/>
    </xf>
    <xf numFmtId="164" fontId="47" fillId="0" borderId="8" xfId="0" applyNumberFormat="1" applyFont="1" applyBorder="1" applyAlignment="1" applyProtection="1">
      <alignment vertical="center"/>
      <protection locked="0"/>
    </xf>
    <xf numFmtId="164" fontId="47" fillId="2" borderId="0" xfId="0" applyNumberFormat="1" applyFont="1" applyFill="1" applyAlignment="1">
      <alignment vertical="top" wrapText="1"/>
    </xf>
    <xf numFmtId="164" fontId="64" fillId="2" borderId="1" xfId="0" applyNumberFormat="1" applyFont="1" applyFill="1" applyBorder="1" applyProtection="1">
      <protection locked="0"/>
    </xf>
    <xf numFmtId="164" fontId="64" fillId="2" borderId="2" xfId="0" applyNumberFormat="1" applyFont="1" applyFill="1" applyBorder="1" applyAlignment="1" applyProtection="1">
      <alignment horizontal="left"/>
      <protection locked="0"/>
    </xf>
    <xf numFmtId="3" fontId="47" fillId="0" borderId="0" xfId="0" applyNumberFormat="1" applyFont="1" applyAlignment="1">
      <alignment vertical="center"/>
    </xf>
    <xf numFmtId="1" fontId="47" fillId="0" borderId="0" xfId="0" applyNumberFormat="1" applyFont="1"/>
    <xf numFmtId="3" fontId="54" fillId="0" borderId="0" xfId="0" applyNumberFormat="1" applyFont="1"/>
    <xf numFmtId="1" fontId="54" fillId="0" borderId="0" xfId="0" applyNumberFormat="1" applyFont="1"/>
    <xf numFmtId="164" fontId="54" fillId="0" borderId="4" xfId="0" applyNumberFormat="1" applyFont="1" applyBorder="1" applyAlignment="1" applyProtection="1">
      <alignment horizontal="left"/>
      <protection locked="0"/>
    </xf>
    <xf numFmtId="164" fontId="54" fillId="0" borderId="13" xfId="0" applyNumberFormat="1" applyFont="1" applyBorder="1" applyAlignment="1" applyProtection="1">
      <alignment vertical="top"/>
      <protection locked="0"/>
    </xf>
    <xf numFmtId="164" fontId="47" fillId="0" borderId="1" xfId="0" applyNumberFormat="1" applyFont="1" applyBorder="1" applyAlignment="1" applyProtection="1">
      <alignment vertical="center"/>
      <protection locked="0"/>
    </xf>
    <xf numFmtId="164" fontId="47" fillId="0" borderId="0" xfId="0" applyNumberFormat="1" applyFont="1" applyAlignment="1" applyProtection="1">
      <alignment vertical="center"/>
      <protection locked="0"/>
    </xf>
    <xf numFmtId="164" fontId="47" fillId="0" borderId="11" xfId="0" applyNumberFormat="1" applyFont="1" applyBorder="1" applyAlignment="1" applyProtection="1">
      <alignment vertical="center"/>
      <protection locked="0"/>
    </xf>
    <xf numFmtId="0" fontId="59" fillId="0" borderId="0" xfId="0" applyFont="1" applyAlignment="1" applyProtection="1">
      <alignment horizontal="left"/>
      <protection locked="0"/>
    </xf>
    <xf numFmtId="164" fontId="64" fillId="0" borderId="1" xfId="0" applyNumberFormat="1" applyFont="1" applyBorder="1" applyProtection="1">
      <protection locked="0"/>
    </xf>
    <xf numFmtId="0" fontId="64" fillId="0" borderId="0" xfId="0" applyFont="1" applyProtection="1">
      <protection locked="0"/>
    </xf>
    <xf numFmtId="164" fontId="54" fillId="2" borderId="0" xfId="0" applyNumberFormat="1" applyFont="1" applyFill="1" applyAlignment="1" applyProtection="1">
      <alignment vertical="top"/>
      <protection locked="0"/>
    </xf>
    <xf numFmtId="164" fontId="54" fillId="2" borderId="2" xfId="0" applyNumberFormat="1" applyFont="1" applyFill="1" applyBorder="1" applyAlignment="1" applyProtection="1">
      <alignment vertical="top"/>
      <protection locked="0"/>
    </xf>
    <xf numFmtId="164" fontId="64" fillId="2" borderId="1" xfId="0" applyNumberFormat="1" applyFont="1" applyFill="1" applyBorder="1" applyAlignment="1" applyProtection="1">
      <alignment vertical="top"/>
      <protection locked="0"/>
    </xf>
    <xf numFmtId="164" fontId="47" fillId="2" borderId="0" xfId="0" applyNumberFormat="1" applyFont="1" applyFill="1" applyAlignment="1" applyProtection="1">
      <alignment horizontal="left"/>
      <protection locked="0"/>
    </xf>
    <xf numFmtId="0" fontId="52" fillId="0" borderId="0" xfId="0" applyFont="1"/>
    <xf numFmtId="0" fontId="54" fillId="0" borderId="2" xfId="0" applyFont="1" applyBorder="1" applyAlignment="1" applyProtection="1">
      <alignment horizontal="left"/>
      <protection locked="0"/>
    </xf>
    <xf numFmtId="0" fontId="54" fillId="0" borderId="8" xfId="0" applyFont="1" applyBorder="1" applyAlignment="1" applyProtection="1">
      <alignment horizontal="left"/>
      <protection locked="0"/>
    </xf>
    <xf numFmtId="164" fontId="64" fillId="0" borderId="2" xfId="0" applyNumberFormat="1" applyFont="1" applyBorder="1" applyAlignment="1" applyProtection="1">
      <alignment horizontal="left"/>
      <protection locked="0"/>
    </xf>
    <xf numFmtId="164" fontId="64" fillId="0" borderId="0" xfId="0" applyNumberFormat="1" applyFont="1" applyProtection="1">
      <protection locked="0"/>
    </xf>
    <xf numFmtId="164" fontId="64" fillId="0" borderId="2" xfId="0" applyNumberFormat="1" applyFont="1" applyBorder="1" applyProtection="1">
      <protection locked="0"/>
    </xf>
    <xf numFmtId="164" fontId="66" fillId="2" borderId="2" xfId="0" applyNumberFormat="1" applyFont="1" applyFill="1" applyBorder="1" applyAlignment="1" applyProtection="1">
      <alignment horizontal="left"/>
      <protection locked="0"/>
    </xf>
    <xf numFmtId="164" fontId="64" fillId="2" borderId="0" xfId="0" applyNumberFormat="1" applyFont="1" applyFill="1" applyAlignment="1" applyProtection="1">
      <alignment horizontal="left"/>
      <protection locked="0"/>
    </xf>
    <xf numFmtId="0" fontId="65" fillId="0" borderId="9" xfId="0" applyFont="1" applyBorder="1" applyProtection="1">
      <protection locked="0"/>
    </xf>
    <xf numFmtId="1" fontId="47" fillId="0" borderId="2" xfId="0" applyNumberFormat="1" applyFont="1" applyBorder="1" applyAlignment="1" applyProtection="1">
      <alignment horizontal="right"/>
      <protection locked="0"/>
    </xf>
    <xf numFmtId="1" fontId="54" fillId="0" borderId="14" xfId="0" applyNumberFormat="1" applyFont="1" applyBorder="1" applyAlignment="1" applyProtection="1">
      <alignment horizontal="right"/>
      <protection locked="0"/>
    </xf>
    <xf numFmtId="0" fontId="54" fillId="0" borderId="15" xfId="0" applyFont="1" applyBorder="1" applyProtection="1">
      <protection locked="0"/>
    </xf>
    <xf numFmtId="0" fontId="52" fillId="0" borderId="0" xfId="0" applyFont="1" applyAlignment="1" applyProtection="1">
      <alignment horizontal="right"/>
      <protection locked="0"/>
    </xf>
    <xf numFmtId="3" fontId="54" fillId="0" borderId="9" xfId="0" applyNumberFormat="1" applyFont="1" applyBorder="1" applyAlignment="1" applyProtection="1">
      <alignment horizontal="right"/>
      <protection locked="0"/>
    </xf>
    <xf numFmtId="3" fontId="54" fillId="0" borderId="14" xfId="0" applyNumberFormat="1" applyFont="1" applyBorder="1" applyProtection="1">
      <protection locked="0"/>
    </xf>
    <xf numFmtId="3" fontId="54" fillId="0" borderId="0" xfId="0" applyNumberFormat="1" applyFont="1" applyAlignment="1" applyProtection="1">
      <alignment horizontal="left"/>
      <protection locked="0"/>
    </xf>
    <xf numFmtId="0" fontId="47" fillId="0" borderId="2" xfId="0" applyFont="1" applyBorder="1" applyAlignment="1" applyProtection="1">
      <alignment horizontal="right"/>
      <protection locked="0"/>
    </xf>
    <xf numFmtId="164" fontId="54" fillId="0" borderId="10" xfId="0" applyNumberFormat="1" applyFont="1" applyBorder="1" applyAlignment="1" applyProtection="1">
      <alignment vertical="top"/>
      <protection locked="0"/>
    </xf>
    <xf numFmtId="1" fontId="54" fillId="0" borderId="9" xfId="0" applyNumberFormat="1" applyFont="1" applyBorder="1" applyProtection="1">
      <protection locked="0"/>
    </xf>
    <xf numFmtId="0" fontId="52" fillId="0" borderId="10" xfId="0" applyFont="1" applyBorder="1" applyAlignment="1" applyProtection="1">
      <alignment horizontal="center" wrapText="1"/>
      <protection locked="0"/>
    </xf>
    <xf numFmtId="3" fontId="47" fillId="0" borderId="14" xfId="0" applyNumberFormat="1" applyFont="1" applyBorder="1" applyProtection="1">
      <protection locked="0"/>
    </xf>
    <xf numFmtId="1" fontId="54" fillId="0" borderId="14" xfId="0" applyNumberFormat="1" applyFont="1" applyBorder="1" applyProtection="1">
      <protection locked="0"/>
    </xf>
    <xf numFmtId="164" fontId="54" fillId="0" borderId="15" xfId="0" applyNumberFormat="1" applyFont="1" applyBorder="1" applyAlignment="1" applyProtection="1">
      <alignment vertical="top"/>
      <protection locked="0"/>
    </xf>
    <xf numFmtId="1" fontId="54" fillId="0" borderId="0" xfId="0" applyNumberFormat="1" applyFont="1" applyAlignment="1" applyProtection="1">
      <alignment horizontal="left"/>
      <protection locked="0"/>
    </xf>
    <xf numFmtId="164" fontId="54" fillId="0" borderId="8" xfId="0" applyNumberFormat="1" applyFont="1" applyBorder="1" applyAlignment="1" applyProtection="1">
      <alignment vertical="top"/>
      <protection locked="0"/>
    </xf>
    <xf numFmtId="0" fontId="47" fillId="0" borderId="0" xfId="0" applyFont="1" applyAlignment="1" applyProtection="1">
      <alignment horizontal="left"/>
      <protection locked="0"/>
    </xf>
    <xf numFmtId="3" fontId="47" fillId="0" borderId="0" xfId="0" applyNumberFormat="1" applyFont="1" applyProtection="1">
      <protection locked="0"/>
    </xf>
    <xf numFmtId="0" fontId="54" fillId="0" borderId="15" xfId="0" applyFont="1" applyBorder="1" applyAlignment="1" applyProtection="1">
      <alignment horizontal="left" wrapText="1"/>
      <protection locked="0"/>
    </xf>
    <xf numFmtId="0" fontId="64" fillId="2" borderId="0" xfId="0" applyFont="1" applyFill="1"/>
    <xf numFmtId="164" fontId="65" fillId="0" borderId="5" xfId="0" applyNumberFormat="1" applyFont="1" applyBorder="1" applyProtection="1">
      <protection locked="0"/>
    </xf>
    <xf numFmtId="1" fontId="64" fillId="0" borderId="0" xfId="0" applyNumberFormat="1" applyFont="1" applyAlignment="1" applyProtection="1">
      <alignment horizontal="right"/>
      <protection locked="0"/>
    </xf>
    <xf numFmtId="164" fontId="47" fillId="0" borderId="0" xfId="0" applyNumberFormat="1" applyFont="1"/>
    <xf numFmtId="0" fontId="64" fillId="0" borderId="2" xfId="0" applyFont="1" applyBorder="1" applyAlignment="1" applyProtection="1">
      <alignment horizontal="right"/>
      <protection locked="0"/>
    </xf>
    <xf numFmtId="0" fontId="0" fillId="2" borderId="9" xfId="0" applyFill="1" applyBorder="1"/>
    <xf numFmtId="1" fontId="64" fillId="0" borderId="0" xfId="0" applyNumberFormat="1" applyFont="1" applyProtection="1">
      <protection locked="0"/>
    </xf>
    <xf numFmtId="0" fontId="54" fillId="0" borderId="5" xfId="0" applyFont="1" applyBorder="1" applyProtection="1">
      <protection locked="0"/>
    </xf>
    <xf numFmtId="164" fontId="65" fillId="2" borderId="0" xfId="0" applyNumberFormat="1" applyFont="1" applyFill="1" applyProtection="1">
      <protection locked="0"/>
    </xf>
    <xf numFmtId="164" fontId="64" fillId="0" borderId="12" xfId="0" applyNumberFormat="1" applyFont="1" applyBorder="1" applyProtection="1">
      <protection locked="0"/>
    </xf>
    <xf numFmtId="0" fontId="54" fillId="0" borderId="10" xfId="0" applyFont="1" applyBorder="1" applyProtection="1">
      <protection locked="0"/>
    </xf>
    <xf numFmtId="164" fontId="54" fillId="0" borderId="2" xfId="0" applyNumberFormat="1" applyFont="1" applyBorder="1" applyAlignment="1" applyProtection="1">
      <alignment vertical="top"/>
      <protection locked="0"/>
    </xf>
    <xf numFmtId="0" fontId="47" fillId="0" borderId="9" xfId="0" applyFont="1" applyBorder="1" applyAlignment="1" applyProtection="1">
      <alignment horizontal="center"/>
      <protection locked="0"/>
    </xf>
    <xf numFmtId="0" fontId="60" fillId="0" borderId="10" xfId="0" applyFont="1" applyBorder="1" applyProtection="1">
      <protection locked="0"/>
    </xf>
    <xf numFmtId="0" fontId="60" fillId="0" borderId="11" xfId="0" applyFont="1" applyBorder="1" applyProtection="1">
      <protection locked="0"/>
    </xf>
    <xf numFmtId="1" fontId="54" fillId="0" borderId="2" xfId="0" applyNumberFormat="1" applyFont="1" applyBorder="1" applyProtection="1">
      <protection locked="0"/>
    </xf>
    <xf numFmtId="1" fontId="54" fillId="0" borderId="8" xfId="0" applyNumberFormat="1" applyFont="1" applyBorder="1" applyProtection="1">
      <protection locked="0"/>
    </xf>
    <xf numFmtId="3" fontId="47" fillId="0" borderId="9" xfId="0" applyNumberFormat="1" applyFont="1" applyBorder="1" applyProtection="1">
      <protection locked="0"/>
    </xf>
    <xf numFmtId="1" fontId="47" fillId="0" borderId="14" xfId="0" applyNumberFormat="1" applyFont="1" applyBorder="1" applyProtection="1">
      <protection locked="0"/>
    </xf>
    <xf numFmtId="1" fontId="47" fillId="0" borderId="8" xfId="0" applyNumberFormat="1" applyFont="1" applyBorder="1" applyProtection="1">
      <protection locked="0"/>
    </xf>
    <xf numFmtId="0" fontId="60" fillId="0" borderId="0" xfId="0" applyFont="1" applyProtection="1">
      <protection locked="0"/>
    </xf>
    <xf numFmtId="1" fontId="47" fillId="0" borderId="10" xfId="0" applyNumberFormat="1" applyFont="1" applyBorder="1" applyProtection="1">
      <protection locked="0"/>
    </xf>
    <xf numFmtId="1" fontId="47" fillId="0" borderId="11" xfId="0" applyNumberFormat="1" applyFont="1" applyBorder="1" applyProtection="1">
      <protection locked="0"/>
    </xf>
    <xf numFmtId="3" fontId="54" fillId="0" borderId="15" xfId="0" applyNumberFormat="1" applyFont="1" applyBorder="1" applyProtection="1">
      <protection locked="0"/>
    </xf>
    <xf numFmtId="164" fontId="52" fillId="0" borderId="5" xfId="0" applyNumberFormat="1" applyFont="1" applyBorder="1" applyAlignment="1" applyProtection="1">
      <alignment vertical="top"/>
      <protection locked="0"/>
    </xf>
    <xf numFmtId="164" fontId="52" fillId="0" borderId="9" xfId="0" applyNumberFormat="1" applyFont="1" applyBorder="1" applyAlignment="1" applyProtection="1">
      <alignment vertical="top"/>
      <protection locked="0"/>
    </xf>
    <xf numFmtId="164" fontId="52" fillId="0" borderId="10" xfId="0" applyNumberFormat="1" applyFont="1" applyBorder="1" applyAlignment="1" applyProtection="1">
      <alignment vertical="top"/>
      <protection locked="0"/>
    </xf>
    <xf numFmtId="0" fontId="52" fillId="0" borderId="2" xfId="0" applyFont="1" applyBorder="1" applyProtection="1">
      <protection locked="0"/>
    </xf>
    <xf numFmtId="0" fontId="47" fillId="0" borderId="0" xfId="0" applyFont="1" applyAlignment="1">
      <alignment horizontal="left"/>
    </xf>
    <xf numFmtId="164" fontId="47" fillId="7" borderId="1" xfId="0" applyNumberFormat="1" applyFont="1" applyFill="1" applyBorder="1" applyProtection="1">
      <protection locked="0"/>
    </xf>
    <xf numFmtId="0" fontId="47" fillId="7" borderId="0" xfId="0" applyFont="1" applyFill="1" applyProtection="1">
      <protection locked="0"/>
    </xf>
    <xf numFmtId="3" fontId="63" fillId="0" borderId="0" xfId="0" applyNumberFormat="1" applyFont="1" applyAlignment="1">
      <alignment horizontal="center"/>
    </xf>
    <xf numFmtId="0" fontId="52" fillId="6" borderId="16" xfId="0" applyFont="1" applyFill="1" applyBorder="1" applyAlignment="1">
      <alignment horizontal="center" vertical="center"/>
    </xf>
    <xf numFmtId="0" fontId="54" fillId="0" borderId="17" xfId="0" applyFont="1" applyBorder="1" applyAlignment="1">
      <alignment horizontal="center" vertical="center"/>
    </xf>
    <xf numFmtId="3" fontId="47" fillId="0" borderId="18" xfId="0" applyNumberFormat="1" applyFont="1" applyBorder="1" applyAlignment="1">
      <alignment horizontal="justify" vertical="center"/>
    </xf>
    <xf numFmtId="3" fontId="47" fillId="0" borderId="19" xfId="0" applyNumberFormat="1" applyFont="1" applyBorder="1" applyAlignment="1">
      <alignment horizontal="center"/>
    </xf>
    <xf numFmtId="3" fontId="47" fillId="0" borderId="18" xfId="0" applyNumberFormat="1" applyFont="1" applyBorder="1" applyAlignment="1">
      <alignment horizontal="center" vertical="top" wrapText="1"/>
    </xf>
    <xf numFmtId="3" fontId="47" fillId="0" borderId="20" xfId="0" applyNumberFormat="1" applyFont="1" applyBorder="1" applyAlignment="1">
      <alignment horizontal="center" vertical="top" wrapText="1"/>
    </xf>
    <xf numFmtId="3" fontId="47" fillId="0" borderId="21" xfId="0" applyNumberFormat="1" applyFont="1" applyBorder="1" applyAlignment="1">
      <alignment horizontal="center" vertical="center"/>
    </xf>
    <xf numFmtId="3" fontId="47" fillId="0" borderId="21" xfId="0" applyNumberFormat="1" applyFont="1" applyBorder="1" applyAlignment="1">
      <alignment horizontal="center" vertical="top" wrapText="1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3" fontId="54" fillId="2" borderId="2" xfId="0" applyNumberFormat="1" applyFont="1" applyFill="1" applyBorder="1" applyAlignment="1" applyProtection="1">
      <alignment horizontal="center"/>
      <protection locked="0"/>
    </xf>
    <xf numFmtId="164" fontId="47" fillId="2" borderId="0" xfId="0" applyNumberFormat="1" applyFont="1" applyFill="1"/>
    <xf numFmtId="0" fontId="47" fillId="2" borderId="4" xfId="0" applyFont="1" applyFill="1" applyBorder="1" applyAlignment="1">
      <alignment horizontal="center"/>
    </xf>
    <xf numFmtId="0" fontId="47" fillId="2" borderId="3" xfId="0" applyFont="1" applyFill="1" applyBorder="1" applyAlignment="1">
      <alignment horizontal="center"/>
    </xf>
    <xf numFmtId="0" fontId="47" fillId="2" borderId="7" xfId="0" applyFont="1" applyFill="1" applyBorder="1" applyAlignment="1">
      <alignment horizontal="center"/>
    </xf>
    <xf numFmtId="0" fontId="48" fillId="2" borderId="0" xfId="0" applyFont="1" applyFill="1" applyAlignment="1">
      <alignment horizontal="center"/>
    </xf>
    <xf numFmtId="0" fontId="49" fillId="2" borderId="0" xfId="0" applyFont="1" applyFill="1" applyAlignment="1">
      <alignment horizontal="center"/>
    </xf>
    <xf numFmtId="0" fontId="50" fillId="2" borderId="0" xfId="0" applyFont="1" applyFill="1" applyAlignment="1">
      <alignment horizontal="center"/>
    </xf>
    <xf numFmtId="0" fontId="51" fillId="2" borderId="0" xfId="0" applyFont="1" applyFill="1" applyAlignment="1">
      <alignment horizontal="center" vertical="center"/>
    </xf>
    <xf numFmtId="0" fontId="52" fillId="2" borderId="0" xfId="0" applyFont="1" applyFill="1" applyAlignment="1">
      <alignment horizontal="center"/>
    </xf>
  </cellXfs>
  <cellStyles count="47">
    <cellStyle name="Normal" xfId="0" builtinId="0"/>
    <cellStyle name="Normal 10" xfId="9" xr:uid="{00000000-0005-0000-0000-000001000000}"/>
    <cellStyle name="Normal 11" xfId="10" xr:uid="{00000000-0005-0000-0000-000002000000}"/>
    <cellStyle name="Normal 12" xfId="11" xr:uid="{00000000-0005-0000-0000-000003000000}"/>
    <cellStyle name="Normal 13" xfId="12" xr:uid="{00000000-0005-0000-0000-000004000000}"/>
    <cellStyle name="Normal 14" xfId="13" xr:uid="{00000000-0005-0000-0000-000005000000}"/>
    <cellStyle name="Normal 15" xfId="14" xr:uid="{00000000-0005-0000-0000-000006000000}"/>
    <cellStyle name="Normal 16" xfId="15" xr:uid="{2F66D838-DFF1-4CE7-8EA2-DDD9F2E80290}"/>
    <cellStyle name="Normal 17" xfId="16" xr:uid="{C6602339-8B1E-4426-A6A9-6EA4A50E4AB3}"/>
    <cellStyle name="Normal 18" xfId="17" xr:uid="{FCF92AB3-EB4A-4D30-8BA6-2778A3401D1E}"/>
    <cellStyle name="Normal 19" xfId="18" xr:uid="{987A5E74-1DC5-415F-A54B-78C53ACDE1C6}"/>
    <cellStyle name="Normal 19 2" xfId="19" xr:uid="{88C932FA-4E36-45E5-8B8A-72FA667F8F41}"/>
    <cellStyle name="Normal 2" xfId="1" xr:uid="{00000000-0005-0000-0000-000007000000}"/>
    <cellStyle name="Normal 20" xfId="20" xr:uid="{E32B88E7-774C-4D7E-82D3-A87F8A733932}"/>
    <cellStyle name="Normal 21" xfId="21" xr:uid="{5CBFA43B-7ECF-4202-A395-556F258C611E}"/>
    <cellStyle name="Normal 22" xfId="22" xr:uid="{E608891E-DD57-4492-A3D3-130698967891}"/>
    <cellStyle name="Normal 23" xfId="23" xr:uid="{21F00EE8-7C0D-4F8A-BDEB-26729F792B79}"/>
    <cellStyle name="Normal 24" xfId="24" xr:uid="{76FD2337-3AD6-4F2F-9E89-A9ADD771DCDB}"/>
    <cellStyle name="Normal 25" xfId="25" xr:uid="{9070D862-371B-4CDB-93E7-478D336B0BE0}"/>
    <cellStyle name="Normal 25 2" xfId="28" xr:uid="{74B4D129-3DDA-454A-B998-F0AC20A5F35C}"/>
    <cellStyle name="Normal 26" xfId="26" xr:uid="{9139A7D1-C8E4-45CA-AEFF-08CD2DA49653}"/>
    <cellStyle name="Normal 27" xfId="27" xr:uid="{D108DB3A-F348-4404-B029-70B15A66219D}"/>
    <cellStyle name="Normal 28" xfId="29" xr:uid="{DCB80616-EC2C-42B6-86B5-3E6EE89115A9}"/>
    <cellStyle name="Normal 29" xfId="30" xr:uid="{B00C5098-C011-4E0C-943D-8EA5F08A28E9}"/>
    <cellStyle name="Normal 3" xfId="2" xr:uid="{00000000-0005-0000-0000-000008000000}"/>
    <cellStyle name="Normal 30" xfId="31" xr:uid="{F92862C4-A07E-4D6F-A1CD-45F3746C441D}"/>
    <cellStyle name="Normal 31" xfId="32" xr:uid="{A65CB2A0-832A-484E-9A4D-5F3B5610E514}"/>
    <cellStyle name="Normal 32" xfId="33" xr:uid="{194A329E-11F0-4817-9EB5-A556A8467BDE}"/>
    <cellStyle name="Normal 33" xfId="34" xr:uid="{785A4DA1-74B0-4B0D-B9C0-1001C52A2B1B}"/>
    <cellStyle name="Normal 34" xfId="35" xr:uid="{BB340B7C-6BC0-44EC-AC1A-135E7454CF70}"/>
    <cellStyle name="Normal 35" xfId="36" xr:uid="{400833F6-5758-42D2-9911-881F4F24B0C1}"/>
    <cellStyle name="Normal 36" xfId="37" xr:uid="{EB190204-7BE1-4CA7-AA81-53B68CD4017A}"/>
    <cellStyle name="Normal 37" xfId="38" xr:uid="{B67CF407-1E8D-4421-8472-CC6AA03D055B}"/>
    <cellStyle name="Normal 38" xfId="39" xr:uid="{67BAB9A5-BB06-4978-9CB0-73A868AE3F80}"/>
    <cellStyle name="Normal 39" xfId="40" xr:uid="{8C25C5B6-04AA-4B4F-8554-37B2B8265C4E}"/>
    <cellStyle name="Normal 4" xfId="3" xr:uid="{00000000-0005-0000-0000-000009000000}"/>
    <cellStyle name="Normal 40" xfId="41" xr:uid="{4371A14D-F02C-49CF-A575-1BB212300918}"/>
    <cellStyle name="Normal 41" xfId="42" xr:uid="{2A9132F8-C971-4654-A26E-CF15D906F79B}"/>
    <cellStyle name="Normal 42" xfId="43" xr:uid="{9D2E2D76-8BD1-49FC-9D9F-E45479D13854}"/>
    <cellStyle name="Normal 43" xfId="44" xr:uid="{B69B3435-60F4-480D-B8C5-E757654B272E}"/>
    <cellStyle name="Normal 44" xfId="45" xr:uid="{371FE881-7553-4A52-AD38-B8A81E09AD0D}"/>
    <cellStyle name="Normal 45" xfId="46" xr:uid="{12BE96DD-EDA7-4EBB-9790-80E95A76F95C}"/>
    <cellStyle name="Normal 5" xfId="4" xr:uid="{00000000-0005-0000-0000-00000A000000}"/>
    <cellStyle name="Normal 6" xfId="5" xr:uid="{00000000-0005-0000-0000-00000B000000}"/>
    <cellStyle name="Normal 7" xfId="6" xr:uid="{00000000-0005-0000-0000-00000C000000}"/>
    <cellStyle name="Normal 8" xfId="7" xr:uid="{00000000-0005-0000-0000-00000D000000}"/>
    <cellStyle name="Normal 9" xfId="8" xr:uid="{00000000-0005-0000-0000-00000E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I671"/>
  <sheetViews>
    <sheetView showGridLines="0" zoomScale="170" zoomScaleNormal="170" workbookViewId="0">
      <pane xSplit="1" ySplit="9" topLeftCell="B10" activePane="bottomRight" state="frozen"/>
      <selection pane="topRight" activeCell="C1" sqref="C1"/>
      <selection pane="bottomLeft" activeCell="A10" sqref="A10"/>
      <selection pane="bottomRight" activeCell="D16" sqref="D16"/>
    </sheetView>
  </sheetViews>
  <sheetFormatPr baseColWidth="10" defaultColWidth="10.85546875" defaultRowHeight="12.75" x14ac:dyDescent="0.2"/>
  <cols>
    <col min="1" max="1" width="2.7109375" style="5" customWidth="1"/>
    <col min="2" max="2" width="9" style="6" customWidth="1"/>
    <col min="3" max="3" width="6.42578125" style="5" customWidth="1"/>
    <col min="4" max="4" width="22.42578125" style="5" customWidth="1"/>
    <col min="5" max="5" width="5.85546875" style="5" customWidth="1"/>
    <col min="6" max="6" width="6.7109375" style="5" customWidth="1"/>
    <col min="7" max="7" width="6.5703125" style="5" customWidth="1"/>
    <col min="8" max="8" width="10.28515625" style="5" customWidth="1"/>
    <col min="9" max="9" width="7.7109375" style="5" customWidth="1"/>
    <col min="10" max="10" width="6.85546875" style="5" customWidth="1"/>
    <col min="11" max="11" width="7" style="5" customWidth="1"/>
    <col min="12" max="12" width="11.28515625" style="5" customWidth="1"/>
    <col min="13" max="13" width="7.85546875" style="5" customWidth="1"/>
    <col min="14" max="15" width="6.7109375" style="5" customWidth="1"/>
    <col min="16" max="16" width="8.85546875" style="5" customWidth="1"/>
    <col min="17" max="17" width="8.140625" style="5" customWidth="1"/>
    <col min="18" max="18" width="10.85546875" style="5"/>
    <col min="19" max="19" width="1" style="34" customWidth="1"/>
    <col min="20" max="1023" width="10.85546875" style="34"/>
  </cols>
  <sheetData>
    <row r="1" spans="2:18" ht="20.25" customHeight="1" x14ac:dyDescent="0.3">
      <c r="B1" s="312" t="s">
        <v>459</v>
      </c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</row>
    <row r="2" spans="2:18" ht="15" customHeight="1" x14ac:dyDescent="0.2">
      <c r="B2" s="313" t="s">
        <v>2</v>
      </c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</row>
    <row r="3" spans="2:18" ht="12.75" customHeight="1" x14ac:dyDescent="0.2">
      <c r="B3" s="314" t="s">
        <v>3</v>
      </c>
      <c r="C3" s="314"/>
      <c r="D3" s="314"/>
      <c r="E3" s="314"/>
      <c r="F3" s="314"/>
      <c r="G3" s="314"/>
      <c r="H3" s="314"/>
      <c r="I3" s="314"/>
      <c r="J3" s="314"/>
      <c r="K3" s="314"/>
      <c r="L3" s="314"/>
      <c r="M3" s="314"/>
      <c r="N3" s="314"/>
      <c r="O3" s="314"/>
      <c r="P3" s="314"/>
      <c r="Q3" s="314"/>
      <c r="R3" s="314"/>
    </row>
    <row r="4" spans="2:18" ht="12" customHeight="1" x14ac:dyDescent="0.2">
      <c r="B4" s="315" t="s">
        <v>472</v>
      </c>
      <c r="C4" s="315"/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</row>
    <row r="5" spans="2:18" ht="12" customHeight="1" x14ac:dyDescent="0.2">
      <c r="B5" s="316" t="s">
        <v>458</v>
      </c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6"/>
      <c r="Q5" s="316"/>
      <c r="R5" s="316"/>
    </row>
    <row r="6" spans="2:18" ht="11.25" customHeight="1" x14ac:dyDescent="0.2">
      <c r="C6" s="7"/>
      <c r="D6" s="7"/>
      <c r="E6" s="7"/>
      <c r="F6" s="7"/>
      <c r="G6" s="7"/>
      <c r="H6" s="7"/>
      <c r="I6" s="7"/>
      <c r="J6" s="7"/>
      <c r="K6" s="7"/>
      <c r="L6" s="307" t="s">
        <v>473</v>
      </c>
      <c r="M6" s="307"/>
      <c r="N6" s="307"/>
      <c r="O6" s="307"/>
      <c r="P6" s="307"/>
      <c r="Q6" s="307"/>
      <c r="R6" s="307"/>
    </row>
    <row r="7" spans="2:18" ht="12.75" customHeight="1" x14ac:dyDescent="0.2">
      <c r="B7" s="8" t="s">
        <v>5</v>
      </c>
      <c r="C7" s="9" t="s">
        <v>6</v>
      </c>
      <c r="D7" s="9"/>
      <c r="E7" s="309" t="s">
        <v>7</v>
      </c>
      <c r="F7" s="309"/>
      <c r="G7" s="9" t="s">
        <v>8</v>
      </c>
      <c r="H7" s="11" t="s">
        <v>397</v>
      </c>
      <c r="I7" s="9" t="s">
        <v>9</v>
      </c>
      <c r="J7" s="309" t="s">
        <v>10</v>
      </c>
      <c r="K7" s="309"/>
      <c r="L7" s="11" t="s">
        <v>397</v>
      </c>
      <c r="M7" s="9" t="s">
        <v>11</v>
      </c>
      <c r="N7" s="310" t="s">
        <v>12</v>
      </c>
      <c r="O7" s="310"/>
      <c r="P7" s="9" t="s">
        <v>13</v>
      </c>
      <c r="Q7" s="9" t="s">
        <v>14</v>
      </c>
      <c r="R7" s="12" t="s">
        <v>15</v>
      </c>
    </row>
    <row r="8" spans="2:18" ht="12.75" customHeight="1" x14ac:dyDescent="0.2">
      <c r="B8" s="13" t="s">
        <v>16</v>
      </c>
      <c r="C8" s="14" t="s">
        <v>17</v>
      </c>
      <c r="D8" s="14" t="s">
        <v>18</v>
      </c>
      <c r="E8" s="9" t="s">
        <v>19</v>
      </c>
      <c r="F8" s="9" t="s">
        <v>20</v>
      </c>
      <c r="G8" s="14" t="s">
        <v>21</v>
      </c>
      <c r="H8" s="15" t="s">
        <v>465</v>
      </c>
      <c r="I8" s="14" t="s">
        <v>22</v>
      </c>
      <c r="J8" s="9" t="s">
        <v>23</v>
      </c>
      <c r="K8" s="9" t="s">
        <v>24</v>
      </c>
      <c r="L8" s="15" t="s">
        <v>470</v>
      </c>
      <c r="M8" s="14" t="s">
        <v>25</v>
      </c>
      <c r="N8" s="311" t="s">
        <v>26</v>
      </c>
      <c r="O8" s="311"/>
      <c r="P8" s="14" t="s">
        <v>27</v>
      </c>
      <c r="Q8" s="17" t="s">
        <v>28</v>
      </c>
      <c r="R8" s="18" t="s">
        <v>474</v>
      </c>
    </row>
    <row r="9" spans="2:18" ht="12.75" customHeight="1" x14ac:dyDescent="0.2">
      <c r="B9" s="19" t="s">
        <v>0</v>
      </c>
      <c r="C9" s="16"/>
      <c r="D9" s="16"/>
      <c r="E9" s="20"/>
      <c r="F9" s="21"/>
      <c r="G9" s="16" t="s">
        <v>29</v>
      </c>
      <c r="H9" s="22"/>
      <c r="I9" s="16" t="s">
        <v>30</v>
      </c>
      <c r="J9" s="16"/>
      <c r="K9" s="16"/>
      <c r="L9" s="22"/>
      <c r="M9" s="23"/>
      <c r="N9" s="10" t="s">
        <v>31</v>
      </c>
      <c r="O9" s="10" t="s">
        <v>14</v>
      </c>
      <c r="P9" s="22"/>
      <c r="Q9" s="24" t="s">
        <v>32</v>
      </c>
      <c r="R9" s="25"/>
    </row>
    <row r="10" spans="2:18" ht="12.75" customHeight="1" x14ac:dyDescent="0.2">
      <c r="B10" s="6" t="s">
        <v>33</v>
      </c>
      <c r="E10" s="26"/>
      <c r="R10" s="26"/>
    </row>
    <row r="11" spans="2:18" ht="12.75" customHeight="1" x14ac:dyDescent="0.2">
      <c r="C11" s="27" t="s">
        <v>34</v>
      </c>
      <c r="D11" s="28"/>
    </row>
    <row r="12" spans="2:18" ht="12.75" customHeight="1" x14ac:dyDescent="0.2">
      <c r="B12" s="6" t="s">
        <v>35</v>
      </c>
      <c r="C12" s="5" t="s">
        <v>36</v>
      </c>
      <c r="E12" s="29"/>
      <c r="F12" s="29"/>
      <c r="Q12" s="34"/>
    </row>
    <row r="13" spans="2:18" ht="12.75" customHeight="1" x14ac:dyDescent="0.2">
      <c r="B13" s="30"/>
      <c r="C13" s="31"/>
      <c r="D13" s="31"/>
      <c r="E13" s="35"/>
      <c r="F13" s="35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243"/>
      <c r="R13" s="33"/>
    </row>
    <row r="14" spans="2:18" ht="12.75" customHeight="1" x14ac:dyDescent="0.2">
      <c r="B14" s="3">
        <v>120510</v>
      </c>
      <c r="C14" s="35">
        <v>11</v>
      </c>
      <c r="D14" s="35" t="s">
        <v>303</v>
      </c>
      <c r="E14" s="35">
        <v>243</v>
      </c>
      <c r="F14" s="35">
        <v>351</v>
      </c>
      <c r="G14" s="36">
        <f t="shared" ref="G14:G26" si="0">F14*0.666*24/72</f>
        <v>77.921999999999997</v>
      </c>
      <c r="H14" s="230">
        <v>55</v>
      </c>
      <c r="I14" s="32">
        <v>0</v>
      </c>
      <c r="J14" s="32">
        <v>0</v>
      </c>
      <c r="K14" s="32">
        <v>0</v>
      </c>
      <c r="L14" s="230">
        <v>55</v>
      </c>
      <c r="M14" s="32">
        <v>0</v>
      </c>
      <c r="N14" s="32"/>
      <c r="O14" s="32">
        <f t="shared" ref="O14:O26" si="1">ROUND((+G14*N14)/100,0)</f>
        <v>0</v>
      </c>
      <c r="P14" s="32">
        <f t="shared" ref="P14:P26" si="2">IF(M14&gt;O14,+M14-O14,0)</f>
        <v>0</v>
      </c>
      <c r="Q14" s="230">
        <v>60</v>
      </c>
      <c r="R14" s="37">
        <f t="shared" ref="R14:R26" si="3">Q14</f>
        <v>60</v>
      </c>
    </row>
    <row r="15" spans="2:18" ht="12.75" customHeight="1" x14ac:dyDescent="0.2">
      <c r="B15" s="3">
        <v>377102</v>
      </c>
      <c r="C15" s="35">
        <v>18</v>
      </c>
      <c r="D15" s="35" t="s">
        <v>341</v>
      </c>
      <c r="E15" s="35">
        <v>133</v>
      </c>
      <c r="F15" s="35">
        <v>175</v>
      </c>
      <c r="G15" s="36">
        <f t="shared" si="0"/>
        <v>38.85</v>
      </c>
      <c r="H15" s="230">
        <v>25</v>
      </c>
      <c r="I15" s="32">
        <v>0</v>
      </c>
      <c r="J15" s="32">
        <v>0</v>
      </c>
      <c r="K15" s="32">
        <v>0</v>
      </c>
      <c r="L15" s="230">
        <v>20</v>
      </c>
      <c r="M15" s="32">
        <v>0</v>
      </c>
      <c r="N15" s="32"/>
      <c r="O15" s="32">
        <f t="shared" si="1"/>
        <v>0</v>
      </c>
      <c r="P15" s="32">
        <f t="shared" si="2"/>
        <v>0</v>
      </c>
      <c r="Q15" s="230">
        <v>23</v>
      </c>
      <c r="R15" s="37">
        <f t="shared" si="3"/>
        <v>23</v>
      </c>
    </row>
    <row r="16" spans="2:18" ht="12.75" customHeight="1" x14ac:dyDescent="0.2">
      <c r="B16" s="3">
        <v>377105</v>
      </c>
      <c r="C16" s="35">
        <v>33</v>
      </c>
      <c r="D16" s="35" t="s">
        <v>342</v>
      </c>
      <c r="E16" s="35">
        <v>99</v>
      </c>
      <c r="F16" s="35">
        <v>126</v>
      </c>
      <c r="G16" s="36">
        <f t="shared" si="0"/>
        <v>27.972000000000005</v>
      </c>
      <c r="H16" s="230">
        <v>10</v>
      </c>
      <c r="I16" s="32">
        <v>0</v>
      </c>
      <c r="J16" s="32">
        <v>0</v>
      </c>
      <c r="K16" s="32">
        <v>0</v>
      </c>
      <c r="L16" s="230">
        <v>10</v>
      </c>
      <c r="M16" s="32">
        <v>0</v>
      </c>
      <c r="N16" s="32"/>
      <c r="O16" s="32">
        <f t="shared" si="1"/>
        <v>0</v>
      </c>
      <c r="P16" s="32">
        <f t="shared" si="2"/>
        <v>0</v>
      </c>
      <c r="Q16" s="230">
        <v>10</v>
      </c>
      <c r="R16" s="37">
        <f t="shared" si="3"/>
        <v>10</v>
      </c>
    </row>
    <row r="17" spans="2:18" ht="12.75" customHeight="1" x14ac:dyDescent="0.2">
      <c r="B17" s="1">
        <v>377107</v>
      </c>
      <c r="C17" s="35">
        <v>26</v>
      </c>
      <c r="D17" s="35" t="s">
        <v>343</v>
      </c>
      <c r="E17" s="35">
        <v>143</v>
      </c>
      <c r="F17" s="35">
        <v>176</v>
      </c>
      <c r="G17" s="36">
        <f t="shared" si="0"/>
        <v>39.072000000000003</v>
      </c>
      <c r="H17" s="230">
        <v>20</v>
      </c>
      <c r="I17" s="32">
        <v>0</v>
      </c>
      <c r="J17" s="32">
        <v>0</v>
      </c>
      <c r="K17" s="32">
        <v>0</v>
      </c>
      <c r="L17" s="230">
        <v>20</v>
      </c>
      <c r="M17" s="32">
        <v>0</v>
      </c>
      <c r="N17" s="32"/>
      <c r="O17" s="32">
        <f t="shared" si="1"/>
        <v>0</v>
      </c>
      <c r="P17" s="32">
        <f t="shared" si="2"/>
        <v>0</v>
      </c>
      <c r="Q17" s="230">
        <v>20</v>
      </c>
      <c r="R17" s="37">
        <f t="shared" si="3"/>
        <v>20</v>
      </c>
    </row>
    <row r="18" spans="2:18" ht="12.75" customHeight="1" x14ac:dyDescent="0.2">
      <c r="B18" s="1">
        <v>377112</v>
      </c>
      <c r="C18" s="35">
        <v>31</v>
      </c>
      <c r="D18" s="35" t="s">
        <v>400</v>
      </c>
      <c r="E18" s="35">
        <v>83</v>
      </c>
      <c r="F18" s="35">
        <v>124</v>
      </c>
      <c r="G18" s="36">
        <f t="shared" si="0"/>
        <v>27.528000000000002</v>
      </c>
      <c r="H18" s="230">
        <v>10</v>
      </c>
      <c r="I18" s="32">
        <v>0</v>
      </c>
      <c r="J18" s="32">
        <v>0</v>
      </c>
      <c r="K18" s="32">
        <v>0</v>
      </c>
      <c r="L18" s="230">
        <v>9</v>
      </c>
      <c r="M18" s="32">
        <v>0</v>
      </c>
      <c r="N18" s="32"/>
      <c r="O18" s="32">
        <f>ROUND((+G18*N18)/100,0)</f>
        <v>0</v>
      </c>
      <c r="P18" s="32">
        <f>IF(M18&gt;O18,+M18-O18,0)</f>
        <v>0</v>
      </c>
      <c r="Q18" s="230">
        <v>9</v>
      </c>
      <c r="R18" s="37">
        <f>Q18</f>
        <v>9</v>
      </c>
    </row>
    <row r="19" spans="2:18" ht="12.75" customHeight="1" x14ac:dyDescent="0.2">
      <c r="B19" s="1">
        <v>382103</v>
      </c>
      <c r="C19" s="35">
        <v>42</v>
      </c>
      <c r="D19" s="35" t="s">
        <v>344</v>
      </c>
      <c r="E19" s="35">
        <v>62</v>
      </c>
      <c r="F19" s="35">
        <v>71</v>
      </c>
      <c r="G19" s="36">
        <f t="shared" si="0"/>
        <v>15.762</v>
      </c>
      <c r="H19" s="230">
        <v>10</v>
      </c>
      <c r="I19" s="32">
        <v>0</v>
      </c>
      <c r="J19" s="32">
        <v>0</v>
      </c>
      <c r="K19" s="32">
        <v>0</v>
      </c>
      <c r="L19" s="230">
        <v>3</v>
      </c>
      <c r="M19" s="32">
        <v>0</v>
      </c>
      <c r="N19" s="32"/>
      <c r="O19" s="32">
        <f t="shared" si="1"/>
        <v>0</v>
      </c>
      <c r="P19" s="32">
        <f t="shared" si="2"/>
        <v>0</v>
      </c>
      <c r="Q19" s="230">
        <v>9</v>
      </c>
      <c r="R19" s="37">
        <f t="shared" si="3"/>
        <v>9</v>
      </c>
    </row>
    <row r="20" spans="2:18" ht="12.75" customHeight="1" x14ac:dyDescent="0.2">
      <c r="B20" s="1">
        <v>392101</v>
      </c>
      <c r="C20" s="35">
        <v>14</v>
      </c>
      <c r="D20" s="35" t="s">
        <v>346</v>
      </c>
      <c r="E20" s="35">
        <v>90</v>
      </c>
      <c r="F20" s="35">
        <v>101</v>
      </c>
      <c r="G20" s="36">
        <f t="shared" si="0"/>
        <v>22.422000000000001</v>
      </c>
      <c r="H20" s="230">
        <v>12</v>
      </c>
      <c r="I20" s="32">
        <v>0</v>
      </c>
      <c r="J20" s="32">
        <v>0</v>
      </c>
      <c r="K20" s="32">
        <v>0</v>
      </c>
      <c r="L20" s="230">
        <v>12</v>
      </c>
      <c r="M20" s="32">
        <v>0</v>
      </c>
      <c r="N20" s="32"/>
      <c r="O20" s="32">
        <f t="shared" si="1"/>
        <v>0</v>
      </c>
      <c r="P20" s="32">
        <f t="shared" si="2"/>
        <v>0</v>
      </c>
      <c r="Q20" s="230">
        <v>12</v>
      </c>
      <c r="R20" s="37">
        <f t="shared" si="3"/>
        <v>12</v>
      </c>
    </row>
    <row r="21" spans="2:18" ht="12.75" customHeight="1" x14ac:dyDescent="0.2">
      <c r="B21" s="1">
        <v>392102</v>
      </c>
      <c r="C21" s="35">
        <v>24</v>
      </c>
      <c r="D21" s="35" t="s">
        <v>347</v>
      </c>
      <c r="E21" s="35">
        <v>62</v>
      </c>
      <c r="F21" s="35">
        <v>77</v>
      </c>
      <c r="G21" s="36">
        <f t="shared" si="0"/>
        <v>17.094000000000001</v>
      </c>
      <c r="H21" s="230">
        <v>4</v>
      </c>
      <c r="I21" s="32">
        <v>0</v>
      </c>
      <c r="J21" s="32">
        <v>0</v>
      </c>
      <c r="K21" s="32">
        <v>0</v>
      </c>
      <c r="L21" s="230">
        <v>4</v>
      </c>
      <c r="M21" s="32">
        <v>0</v>
      </c>
      <c r="N21" s="38"/>
      <c r="O21" s="32">
        <f t="shared" si="1"/>
        <v>0</v>
      </c>
      <c r="P21" s="39">
        <f t="shared" si="2"/>
        <v>0</v>
      </c>
      <c r="Q21" s="230">
        <v>4</v>
      </c>
      <c r="R21" s="37">
        <f t="shared" si="3"/>
        <v>4</v>
      </c>
    </row>
    <row r="22" spans="2:18" ht="12.75" customHeight="1" x14ac:dyDescent="0.2">
      <c r="B22" s="1">
        <v>392110</v>
      </c>
      <c r="C22" s="35">
        <v>47</v>
      </c>
      <c r="D22" s="35" t="s">
        <v>348</v>
      </c>
      <c r="E22" s="35">
        <v>103</v>
      </c>
      <c r="F22" s="35">
        <v>139</v>
      </c>
      <c r="G22" s="36">
        <f t="shared" si="0"/>
        <v>30.857999999999997</v>
      </c>
      <c r="H22" s="265">
        <v>10</v>
      </c>
      <c r="I22" s="32">
        <v>0</v>
      </c>
      <c r="J22" s="32">
        <v>0</v>
      </c>
      <c r="K22" s="32">
        <v>0</v>
      </c>
      <c r="L22" s="265">
        <v>10</v>
      </c>
      <c r="M22" s="32">
        <v>0</v>
      </c>
      <c r="N22" s="38"/>
      <c r="O22" s="32">
        <f t="shared" si="1"/>
        <v>0</v>
      </c>
      <c r="P22" s="39">
        <f t="shared" si="2"/>
        <v>0</v>
      </c>
      <c r="Q22" s="265">
        <v>10</v>
      </c>
      <c r="R22" s="37">
        <f t="shared" si="3"/>
        <v>10</v>
      </c>
    </row>
    <row r="23" spans="2:18" ht="12.75" customHeight="1" x14ac:dyDescent="0.2">
      <c r="B23" s="1">
        <v>450101</v>
      </c>
      <c r="C23" s="35">
        <v>66</v>
      </c>
      <c r="D23" s="35" t="s">
        <v>360</v>
      </c>
      <c r="E23" s="35">
        <v>177</v>
      </c>
      <c r="F23" s="35">
        <v>323</v>
      </c>
      <c r="G23" s="36">
        <f t="shared" si="0"/>
        <v>71.706000000000003</v>
      </c>
      <c r="H23" s="265">
        <v>35</v>
      </c>
      <c r="I23" s="32">
        <v>0</v>
      </c>
      <c r="J23" s="32">
        <v>0</v>
      </c>
      <c r="K23" s="32">
        <v>0</v>
      </c>
      <c r="L23" s="265">
        <v>0</v>
      </c>
      <c r="M23" s="32">
        <v>0</v>
      </c>
      <c r="N23" s="38"/>
      <c r="O23" s="32">
        <f t="shared" si="1"/>
        <v>0</v>
      </c>
      <c r="P23" s="39">
        <f t="shared" si="2"/>
        <v>0</v>
      </c>
      <c r="Q23" s="265">
        <v>0</v>
      </c>
      <c r="R23" s="37">
        <f t="shared" si="3"/>
        <v>0</v>
      </c>
    </row>
    <row r="24" spans="2:18" ht="12.75" customHeight="1" x14ac:dyDescent="0.2">
      <c r="B24" s="1">
        <v>500102</v>
      </c>
      <c r="C24" s="35">
        <v>27</v>
      </c>
      <c r="D24" s="35" t="s">
        <v>367</v>
      </c>
      <c r="E24" s="35">
        <v>249</v>
      </c>
      <c r="F24" s="35">
        <v>404</v>
      </c>
      <c r="G24" s="36">
        <f t="shared" si="0"/>
        <v>89.688000000000002</v>
      </c>
      <c r="H24" s="230">
        <v>40</v>
      </c>
      <c r="I24" s="32">
        <v>0</v>
      </c>
      <c r="J24" s="32">
        <v>0</v>
      </c>
      <c r="K24" s="32">
        <v>0</v>
      </c>
      <c r="L24" s="230">
        <v>40</v>
      </c>
      <c r="M24" s="32">
        <v>0</v>
      </c>
      <c r="N24" s="38"/>
      <c r="O24" s="32">
        <f>ROUND((+G24*N24)/100,0)</f>
        <v>0</v>
      </c>
      <c r="P24" s="39">
        <f>IF(M24&gt;O24,+M24-O24,0)</f>
        <v>0</v>
      </c>
      <c r="Q24" s="230">
        <v>4</v>
      </c>
      <c r="R24" s="37">
        <f>Q24</f>
        <v>4</v>
      </c>
    </row>
    <row r="25" spans="2:18" ht="12.75" customHeight="1" x14ac:dyDescent="0.2">
      <c r="B25" s="1">
        <v>500103</v>
      </c>
      <c r="C25" s="35">
        <v>25</v>
      </c>
      <c r="D25" s="35" t="s">
        <v>398</v>
      </c>
      <c r="E25" s="35">
        <v>104</v>
      </c>
      <c r="F25" s="35">
        <v>138</v>
      </c>
      <c r="G25" s="36">
        <f t="shared" si="0"/>
        <v>30.635999999999999</v>
      </c>
      <c r="H25" s="230">
        <v>7</v>
      </c>
      <c r="I25" s="32">
        <v>0</v>
      </c>
      <c r="J25" s="32">
        <v>0</v>
      </c>
      <c r="K25" s="32">
        <v>0</v>
      </c>
      <c r="L25" s="230">
        <v>6</v>
      </c>
      <c r="M25" s="32">
        <v>0</v>
      </c>
      <c r="N25" s="38"/>
      <c r="O25" s="32">
        <f>ROUND((+G25*N25)/100,0)</f>
        <v>0</v>
      </c>
      <c r="P25" s="39">
        <f>IF(M25&gt;O25,+M25-O25,0)</f>
        <v>0</v>
      </c>
      <c r="Q25" s="230">
        <v>6</v>
      </c>
      <c r="R25" s="37">
        <f>Q25</f>
        <v>6</v>
      </c>
    </row>
    <row r="26" spans="2:18" ht="12.75" customHeight="1" x14ac:dyDescent="0.2">
      <c r="B26" s="1">
        <v>500104</v>
      </c>
      <c r="C26" s="35">
        <v>41</v>
      </c>
      <c r="D26" s="35" t="s">
        <v>399</v>
      </c>
      <c r="E26" s="35">
        <v>134</v>
      </c>
      <c r="F26" s="35">
        <v>201</v>
      </c>
      <c r="G26" s="36">
        <f t="shared" si="0"/>
        <v>44.622000000000007</v>
      </c>
      <c r="H26" s="230">
        <v>23</v>
      </c>
      <c r="I26" s="32">
        <v>0</v>
      </c>
      <c r="J26" s="32">
        <v>0</v>
      </c>
      <c r="K26" s="32">
        <v>0</v>
      </c>
      <c r="L26" s="230">
        <v>22</v>
      </c>
      <c r="M26" s="32">
        <v>0</v>
      </c>
      <c r="N26" s="38"/>
      <c r="O26" s="32">
        <f t="shared" si="1"/>
        <v>0</v>
      </c>
      <c r="P26" s="39">
        <f t="shared" si="2"/>
        <v>0</v>
      </c>
      <c r="Q26" s="230">
        <v>22</v>
      </c>
      <c r="R26" s="37">
        <f t="shared" si="3"/>
        <v>22</v>
      </c>
    </row>
    <row r="27" spans="2:18" ht="12.75" customHeight="1" x14ac:dyDescent="0.2">
      <c r="B27" s="40"/>
      <c r="C27" s="41"/>
      <c r="D27" s="41"/>
      <c r="E27" s="42"/>
      <c r="F27" s="42"/>
      <c r="G27" s="43"/>
      <c r="I27" s="42"/>
      <c r="J27" s="42"/>
      <c r="K27" s="42"/>
      <c r="M27" s="42"/>
      <c r="N27" s="44"/>
      <c r="O27" s="42"/>
      <c r="P27" s="42"/>
      <c r="Q27" s="244"/>
      <c r="R27" s="45"/>
    </row>
    <row r="28" spans="2:18" ht="12.75" customHeight="1" x14ac:dyDescent="0.2">
      <c r="B28" s="46" t="s">
        <v>37</v>
      </c>
      <c r="C28" s="47"/>
      <c r="D28" s="47">
        <f>COUNTA(B14:B26)</f>
        <v>13</v>
      </c>
      <c r="E28" s="48">
        <f t="shared" ref="E28:R28" si="4">SUM(E14:E26)</f>
        <v>1682</v>
      </c>
      <c r="F28" s="48">
        <f t="shared" si="4"/>
        <v>2406</v>
      </c>
      <c r="G28" s="49">
        <f t="shared" si="4"/>
        <v>534.13200000000006</v>
      </c>
      <c r="H28" s="49">
        <f t="shared" si="4"/>
        <v>261</v>
      </c>
      <c r="I28" s="49">
        <f t="shared" si="4"/>
        <v>0</v>
      </c>
      <c r="J28" s="49">
        <f t="shared" si="4"/>
        <v>0</v>
      </c>
      <c r="K28" s="49">
        <f t="shared" si="4"/>
        <v>0</v>
      </c>
      <c r="L28" s="49">
        <f t="shared" si="4"/>
        <v>211</v>
      </c>
      <c r="M28" s="49">
        <f t="shared" si="4"/>
        <v>0</v>
      </c>
      <c r="N28" s="49">
        <f t="shared" si="4"/>
        <v>0</v>
      </c>
      <c r="O28" s="49">
        <f t="shared" si="4"/>
        <v>0</v>
      </c>
      <c r="P28" s="49">
        <f t="shared" si="4"/>
        <v>0</v>
      </c>
      <c r="Q28" s="245">
        <f t="shared" si="4"/>
        <v>189</v>
      </c>
      <c r="R28" s="49">
        <f t="shared" si="4"/>
        <v>189</v>
      </c>
    </row>
    <row r="29" spans="2:18" s="34" customFormat="1" ht="12.75" customHeight="1" x14ac:dyDescent="0.2">
      <c r="B29" s="50" t="s">
        <v>487</v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2"/>
      <c r="O29" s="52"/>
      <c r="P29" s="52"/>
      <c r="Q29" s="78"/>
      <c r="R29" s="53"/>
    </row>
    <row r="30" spans="2:18" ht="12.75" customHeight="1" x14ac:dyDescent="0.2">
      <c r="B30" s="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37"/>
      <c r="N30" s="56"/>
      <c r="O30" s="56"/>
      <c r="P30" s="56"/>
      <c r="Q30" s="247" t="s">
        <v>39</v>
      </c>
      <c r="R30" s="57">
        <f>R28+R29</f>
        <v>189</v>
      </c>
    </row>
    <row r="31" spans="2:18" ht="12.75" customHeight="1" x14ac:dyDescent="0.2">
      <c r="B31" s="241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9"/>
      <c r="N31" s="56"/>
      <c r="O31" s="56"/>
      <c r="P31" s="56"/>
      <c r="Q31" s="104"/>
      <c r="R31" s="59"/>
    </row>
    <row r="32" spans="2:18" ht="12.75" customHeight="1" x14ac:dyDescent="0.2">
      <c r="B32" s="60"/>
      <c r="C32" s="32"/>
      <c r="D32" s="61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5"/>
      <c r="R32" s="62"/>
    </row>
    <row r="33" spans="2:18" ht="12.75" customHeight="1" x14ac:dyDescent="0.2">
      <c r="B33" s="63" t="s">
        <v>33</v>
      </c>
      <c r="C33" s="32"/>
      <c r="D33" s="61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5"/>
      <c r="R33" s="62"/>
    </row>
    <row r="34" spans="2:18" ht="12.75" customHeight="1" x14ac:dyDescent="0.2">
      <c r="B34" s="63"/>
      <c r="C34" s="64" t="s">
        <v>40</v>
      </c>
      <c r="D34" s="65"/>
      <c r="E34" s="32"/>
      <c r="F34" s="32"/>
      <c r="G34" s="32"/>
      <c r="H34" s="32"/>
      <c r="I34" s="32"/>
      <c r="J34" s="66"/>
      <c r="K34" s="66"/>
      <c r="L34" s="32"/>
      <c r="M34" s="32"/>
      <c r="N34" s="32"/>
      <c r="O34" s="32"/>
      <c r="P34" s="32"/>
      <c r="Q34" s="35"/>
      <c r="R34" s="32"/>
    </row>
    <row r="35" spans="2:18" ht="12.75" customHeight="1" x14ac:dyDescent="0.2">
      <c r="B35" s="63"/>
      <c r="C35" s="32"/>
      <c r="D35" s="32"/>
      <c r="E35" s="41"/>
      <c r="F35" s="41"/>
      <c r="G35" s="32"/>
      <c r="H35" s="61"/>
      <c r="I35" s="32"/>
      <c r="J35" s="66"/>
      <c r="K35" s="66"/>
      <c r="L35" s="61"/>
      <c r="M35" s="32"/>
      <c r="N35" s="32"/>
      <c r="O35" s="32"/>
      <c r="P35" s="32"/>
      <c r="Q35" s="35"/>
      <c r="R35" s="61"/>
    </row>
    <row r="36" spans="2:18" ht="12.75" customHeight="1" x14ac:dyDescent="0.2">
      <c r="B36" s="30"/>
      <c r="C36" s="31"/>
      <c r="D36" s="31"/>
      <c r="E36" s="32"/>
      <c r="F36" s="32"/>
      <c r="G36" s="67"/>
      <c r="H36" s="31"/>
      <c r="I36" s="31"/>
      <c r="J36" s="68"/>
      <c r="K36" s="68"/>
      <c r="L36" s="31"/>
      <c r="M36" s="31"/>
      <c r="N36" s="31"/>
      <c r="O36" s="31"/>
      <c r="P36" s="31"/>
      <c r="Q36" s="77"/>
      <c r="R36" s="69"/>
    </row>
    <row r="37" spans="2:18" ht="12.75" customHeight="1" x14ac:dyDescent="0.2">
      <c r="B37" s="1">
        <v>18101</v>
      </c>
      <c r="C37" s="35">
        <v>4</v>
      </c>
      <c r="D37" s="35" t="s">
        <v>42</v>
      </c>
      <c r="E37" s="35">
        <v>70</v>
      </c>
      <c r="F37" s="35">
        <v>140</v>
      </c>
      <c r="G37" s="36">
        <f>F37*0.666*24/72</f>
        <v>31.080000000000002</v>
      </c>
      <c r="H37" s="71">
        <v>18</v>
      </c>
      <c r="I37" s="70">
        <v>0</v>
      </c>
      <c r="J37" s="70">
        <v>0</v>
      </c>
      <c r="K37" s="70">
        <v>0</v>
      </c>
      <c r="L37" s="71">
        <v>15</v>
      </c>
      <c r="M37" s="32">
        <v>0</v>
      </c>
      <c r="N37" s="70"/>
      <c r="O37" s="39">
        <f>ROUND((+G37*N37)/100,0)</f>
        <v>0</v>
      </c>
      <c r="P37" s="70">
        <f>IF(M37&gt;O37,+M37-O37,0)</f>
        <v>0</v>
      </c>
      <c r="Q37" s="71">
        <v>20</v>
      </c>
      <c r="R37" s="72">
        <f>Q37</f>
        <v>20</v>
      </c>
    </row>
    <row r="38" spans="2:18" ht="12.75" customHeight="1" x14ac:dyDescent="0.2">
      <c r="B38" s="1">
        <v>151101</v>
      </c>
      <c r="C38" s="35">
        <v>6</v>
      </c>
      <c r="D38" s="35" t="s">
        <v>41</v>
      </c>
      <c r="E38" s="35">
        <v>36</v>
      </c>
      <c r="F38" s="35">
        <v>52</v>
      </c>
      <c r="G38" s="36">
        <f>F38*0.666*24/72</f>
        <v>11.544000000000002</v>
      </c>
      <c r="H38" s="71">
        <v>8</v>
      </c>
      <c r="I38" s="70">
        <v>0</v>
      </c>
      <c r="J38" s="70">
        <v>0</v>
      </c>
      <c r="K38" s="70">
        <v>0</v>
      </c>
      <c r="L38" s="71">
        <v>8</v>
      </c>
      <c r="M38" s="32">
        <v>0</v>
      </c>
      <c r="N38" s="70"/>
      <c r="O38" s="39">
        <f>ROUND((+G38*N38)/100,0)</f>
        <v>0</v>
      </c>
      <c r="P38" s="70">
        <f>IF(M38&gt;O38,+M38-O38,0)</f>
        <v>0</v>
      </c>
      <c r="Q38" s="71">
        <v>8</v>
      </c>
      <c r="R38" s="72">
        <f>Q38</f>
        <v>8</v>
      </c>
    </row>
    <row r="39" spans="2:18" ht="12.75" customHeight="1" x14ac:dyDescent="0.2">
      <c r="B39" s="1">
        <v>176102</v>
      </c>
      <c r="C39" s="35">
        <v>9</v>
      </c>
      <c r="D39" s="35" t="s">
        <v>43</v>
      </c>
      <c r="E39" s="35">
        <v>203</v>
      </c>
      <c r="F39" s="35">
        <v>300</v>
      </c>
      <c r="G39" s="36">
        <f t="shared" ref="G39:G45" si="5">F39*0.666*24/72</f>
        <v>66.600000000000009</v>
      </c>
      <c r="H39" s="35">
        <v>51</v>
      </c>
      <c r="I39" s="70">
        <v>0</v>
      </c>
      <c r="J39" s="70">
        <v>0</v>
      </c>
      <c r="K39" s="70">
        <v>0</v>
      </c>
      <c r="L39" s="35">
        <v>52</v>
      </c>
      <c r="M39" s="35">
        <v>0</v>
      </c>
      <c r="N39" s="35"/>
      <c r="O39" s="39">
        <f t="shared" ref="O39:O45" si="6">ROUND((+G39*N39)/100,0)</f>
        <v>0</v>
      </c>
      <c r="P39" s="35">
        <f t="shared" ref="P39:P44" si="7">IF(M39&gt;O39,+M39-O39,0)</f>
        <v>0</v>
      </c>
      <c r="Q39" s="35">
        <v>53</v>
      </c>
      <c r="R39" s="73">
        <f t="shared" ref="R39:R45" si="8">Q39</f>
        <v>53</v>
      </c>
    </row>
    <row r="40" spans="2:18" ht="12.75" customHeight="1" x14ac:dyDescent="0.2">
      <c r="B40" s="1">
        <v>176103</v>
      </c>
      <c r="C40" s="35">
        <v>23</v>
      </c>
      <c r="D40" s="35" t="s">
        <v>283</v>
      </c>
      <c r="E40" s="35">
        <v>60</v>
      </c>
      <c r="F40" s="35">
        <v>95</v>
      </c>
      <c r="G40" s="36">
        <f t="shared" si="5"/>
        <v>21.09</v>
      </c>
      <c r="H40" s="35">
        <v>22</v>
      </c>
      <c r="I40" s="70">
        <v>0</v>
      </c>
      <c r="J40" s="70">
        <v>0</v>
      </c>
      <c r="K40" s="70">
        <v>0</v>
      </c>
      <c r="L40" s="35">
        <v>21</v>
      </c>
      <c r="M40" s="35">
        <v>0</v>
      </c>
      <c r="N40" s="35"/>
      <c r="O40" s="39">
        <f>ROUND((+G40*N40)/100,0)</f>
        <v>0</v>
      </c>
      <c r="P40" s="35">
        <f>IF(M40&gt;O40,+M40-O40,0)</f>
        <v>0</v>
      </c>
      <c r="Q40" s="35">
        <v>14</v>
      </c>
      <c r="R40" s="73">
        <f>Q40</f>
        <v>14</v>
      </c>
    </row>
    <row r="41" spans="2:18" s="34" customFormat="1" ht="12.75" customHeight="1" x14ac:dyDescent="0.2">
      <c r="B41" s="1">
        <v>270102</v>
      </c>
      <c r="C41" s="35">
        <v>17</v>
      </c>
      <c r="D41" s="35" t="s">
        <v>44</v>
      </c>
      <c r="E41" s="35">
        <v>55</v>
      </c>
      <c r="F41" s="35">
        <v>72</v>
      </c>
      <c r="G41" s="36">
        <f t="shared" si="5"/>
        <v>15.984000000000002</v>
      </c>
      <c r="H41" s="71">
        <v>7</v>
      </c>
      <c r="I41" s="70">
        <v>0</v>
      </c>
      <c r="J41" s="70">
        <v>0</v>
      </c>
      <c r="K41" s="70">
        <v>0</v>
      </c>
      <c r="L41" s="71">
        <v>12</v>
      </c>
      <c r="M41" s="32">
        <v>0</v>
      </c>
      <c r="N41" s="70"/>
      <c r="O41" s="39">
        <f t="shared" si="6"/>
        <v>0</v>
      </c>
      <c r="P41" s="70">
        <f t="shared" si="7"/>
        <v>0</v>
      </c>
      <c r="Q41" s="71">
        <v>5</v>
      </c>
      <c r="R41" s="72">
        <f t="shared" si="8"/>
        <v>5</v>
      </c>
    </row>
    <row r="42" spans="2:18" ht="12.75" customHeight="1" x14ac:dyDescent="0.2">
      <c r="B42" s="1">
        <v>321101</v>
      </c>
      <c r="C42" s="35">
        <v>15</v>
      </c>
      <c r="D42" s="35" t="s">
        <v>45</v>
      </c>
      <c r="E42" s="35">
        <v>67</v>
      </c>
      <c r="F42" s="35">
        <v>101</v>
      </c>
      <c r="G42" s="36">
        <f t="shared" si="5"/>
        <v>22.422000000000001</v>
      </c>
      <c r="H42" s="71">
        <v>15</v>
      </c>
      <c r="I42" s="70">
        <v>0</v>
      </c>
      <c r="J42" s="70">
        <v>0</v>
      </c>
      <c r="K42" s="70">
        <v>0</v>
      </c>
      <c r="L42" s="71">
        <v>16</v>
      </c>
      <c r="M42" s="32">
        <v>0</v>
      </c>
      <c r="N42" s="70"/>
      <c r="O42" s="39">
        <f t="shared" si="6"/>
        <v>0</v>
      </c>
      <c r="P42" s="70">
        <f t="shared" si="7"/>
        <v>0</v>
      </c>
      <c r="Q42" s="71">
        <v>15</v>
      </c>
      <c r="R42" s="72">
        <f t="shared" si="8"/>
        <v>15</v>
      </c>
    </row>
    <row r="43" spans="2:18" s="34" customFormat="1" ht="12.75" customHeight="1" x14ac:dyDescent="0.2">
      <c r="B43" s="1">
        <v>416101</v>
      </c>
      <c r="C43" s="35">
        <v>12</v>
      </c>
      <c r="D43" s="35" t="s">
        <v>46</v>
      </c>
      <c r="E43" s="35">
        <v>47</v>
      </c>
      <c r="F43" s="35">
        <v>60</v>
      </c>
      <c r="G43" s="36">
        <f t="shared" si="5"/>
        <v>13.32</v>
      </c>
      <c r="H43" s="71">
        <v>13</v>
      </c>
      <c r="I43" s="70">
        <v>0</v>
      </c>
      <c r="J43" s="70">
        <v>0</v>
      </c>
      <c r="K43" s="70">
        <v>0</v>
      </c>
      <c r="L43" s="71">
        <v>13</v>
      </c>
      <c r="M43" s="32">
        <v>0</v>
      </c>
      <c r="N43" s="70"/>
      <c r="O43" s="39">
        <f t="shared" si="6"/>
        <v>0</v>
      </c>
      <c r="P43" s="70">
        <f t="shared" si="7"/>
        <v>0</v>
      </c>
      <c r="Q43" s="71">
        <v>11</v>
      </c>
      <c r="R43" s="72">
        <f t="shared" si="8"/>
        <v>11</v>
      </c>
    </row>
    <row r="44" spans="2:18" ht="12.75" customHeight="1" x14ac:dyDescent="0.2">
      <c r="B44" s="2">
        <v>451101</v>
      </c>
      <c r="C44" s="32">
        <v>16</v>
      </c>
      <c r="D44" s="32" t="s">
        <v>47</v>
      </c>
      <c r="E44" s="35">
        <v>40</v>
      </c>
      <c r="F44" s="35">
        <v>51</v>
      </c>
      <c r="G44" s="36">
        <f t="shared" si="5"/>
        <v>11.321999999999999</v>
      </c>
      <c r="H44" s="71">
        <v>3</v>
      </c>
      <c r="I44" s="70">
        <v>0</v>
      </c>
      <c r="J44" s="70">
        <v>0</v>
      </c>
      <c r="K44" s="70">
        <v>0</v>
      </c>
      <c r="L44" s="71">
        <v>8</v>
      </c>
      <c r="M44" s="32">
        <v>0</v>
      </c>
      <c r="N44" s="70"/>
      <c r="O44" s="39">
        <f t="shared" si="6"/>
        <v>0</v>
      </c>
      <c r="P44" s="70">
        <f t="shared" si="7"/>
        <v>0</v>
      </c>
      <c r="Q44" s="71">
        <v>3</v>
      </c>
      <c r="R44" s="72">
        <f t="shared" si="8"/>
        <v>3</v>
      </c>
    </row>
    <row r="45" spans="2:18" s="34" customFormat="1" ht="12.75" customHeight="1" x14ac:dyDescent="0.2">
      <c r="B45" s="1">
        <v>464101</v>
      </c>
      <c r="C45" s="35">
        <v>5</v>
      </c>
      <c r="D45" s="35" t="s">
        <v>48</v>
      </c>
      <c r="E45" s="35">
        <v>94</v>
      </c>
      <c r="F45" s="35">
        <v>159</v>
      </c>
      <c r="G45" s="36">
        <f t="shared" si="5"/>
        <v>35.298000000000002</v>
      </c>
      <c r="H45" s="71">
        <v>27</v>
      </c>
      <c r="I45" s="70">
        <v>0</v>
      </c>
      <c r="J45" s="70">
        <v>0</v>
      </c>
      <c r="K45" s="70">
        <v>0</v>
      </c>
      <c r="L45" s="71">
        <v>21</v>
      </c>
      <c r="M45" s="32">
        <v>0</v>
      </c>
      <c r="N45" s="70"/>
      <c r="O45" s="39">
        <f t="shared" si="6"/>
        <v>0</v>
      </c>
      <c r="P45" s="70">
        <v>0</v>
      </c>
      <c r="Q45" s="71">
        <v>21</v>
      </c>
      <c r="R45" s="72">
        <f t="shared" si="8"/>
        <v>21</v>
      </c>
    </row>
    <row r="46" spans="2:18" ht="12.75" customHeight="1" x14ac:dyDescent="0.2">
      <c r="B46" s="40"/>
      <c r="C46" s="41"/>
      <c r="D46" s="41"/>
      <c r="E46" s="42"/>
      <c r="F46" s="42"/>
      <c r="G46" s="74"/>
      <c r="H46" s="42"/>
      <c r="I46" s="39"/>
      <c r="J46" s="39"/>
      <c r="K46" s="39"/>
      <c r="L46" s="71"/>
      <c r="M46" s="39"/>
      <c r="N46" s="42"/>
      <c r="O46" s="42"/>
      <c r="P46" s="42"/>
      <c r="Q46" s="244"/>
      <c r="R46" s="75"/>
    </row>
    <row r="47" spans="2:18" ht="12.75" customHeight="1" x14ac:dyDescent="0.2">
      <c r="B47" s="30" t="s">
        <v>37</v>
      </c>
      <c r="C47" s="31"/>
      <c r="D47" s="31">
        <f>COUNTA(B37:B45)</f>
        <v>9</v>
      </c>
      <c r="E47" s="48">
        <f t="shared" ref="E47:R47" si="9">SUM(E37:E45)</f>
        <v>672</v>
      </c>
      <c r="F47" s="48">
        <f t="shared" si="9"/>
        <v>1030</v>
      </c>
      <c r="G47" s="76">
        <f t="shared" si="9"/>
        <v>228.66000000000003</v>
      </c>
      <c r="H47" s="76">
        <f t="shared" si="9"/>
        <v>164</v>
      </c>
      <c r="I47" s="76">
        <f t="shared" si="9"/>
        <v>0</v>
      </c>
      <c r="J47" s="76">
        <f t="shared" si="9"/>
        <v>0</v>
      </c>
      <c r="K47" s="76">
        <f t="shared" si="9"/>
        <v>0</v>
      </c>
      <c r="L47" s="76">
        <f t="shared" si="9"/>
        <v>166</v>
      </c>
      <c r="M47" s="76">
        <f t="shared" si="9"/>
        <v>0</v>
      </c>
      <c r="N47" s="76">
        <f t="shared" si="9"/>
        <v>0</v>
      </c>
      <c r="O47" s="76">
        <f t="shared" si="9"/>
        <v>0</v>
      </c>
      <c r="P47" s="76">
        <f t="shared" si="9"/>
        <v>0</v>
      </c>
      <c r="Q47" s="248">
        <f t="shared" si="9"/>
        <v>150</v>
      </c>
      <c r="R47" s="76">
        <f t="shared" si="9"/>
        <v>150</v>
      </c>
    </row>
    <row r="48" spans="2:18" s="34" customFormat="1" ht="23.25" customHeight="1" x14ac:dyDescent="0.2">
      <c r="B48" s="50" t="s">
        <v>492</v>
      </c>
      <c r="C48" s="51"/>
      <c r="D48" s="77"/>
      <c r="E48" s="51"/>
      <c r="F48" s="51"/>
      <c r="G48" s="51"/>
      <c r="H48" s="51"/>
      <c r="I48" s="51"/>
      <c r="J48" s="51"/>
      <c r="K48" s="51"/>
      <c r="L48" s="51"/>
      <c r="M48" s="51"/>
      <c r="N48" s="52"/>
      <c r="O48" s="52"/>
      <c r="P48" s="52"/>
      <c r="Q48" s="246"/>
      <c r="R48" s="78"/>
    </row>
    <row r="49" spans="2:18" ht="12.75" customHeight="1" x14ac:dyDescent="0.2">
      <c r="B49" s="79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5"/>
      <c r="N49" s="56"/>
      <c r="O49" s="56"/>
      <c r="P49" s="56"/>
      <c r="Q49" s="247" t="s">
        <v>39</v>
      </c>
      <c r="R49" s="57">
        <f>R47+R48</f>
        <v>150</v>
      </c>
    </row>
    <row r="50" spans="2:18" ht="12.75" customHeight="1" x14ac:dyDescent="0.2">
      <c r="B50" s="80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104"/>
      <c r="R50" s="59"/>
    </row>
    <row r="51" spans="2:18" ht="12.75" customHeight="1" x14ac:dyDescent="0.2">
      <c r="B51" s="80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104"/>
      <c r="R51" s="59"/>
    </row>
    <row r="52" spans="2:18" ht="12.75" customHeight="1" x14ac:dyDescent="0.2">
      <c r="B52" s="63" t="s">
        <v>33</v>
      </c>
      <c r="C52" s="32"/>
      <c r="D52" s="32"/>
      <c r="E52" s="32"/>
      <c r="F52" s="32"/>
      <c r="G52" s="32"/>
      <c r="H52" s="81"/>
      <c r="I52" s="32"/>
      <c r="J52" s="66"/>
      <c r="K52" s="66"/>
      <c r="L52" s="81"/>
      <c r="M52" s="32"/>
      <c r="N52" s="32"/>
      <c r="O52" s="32"/>
      <c r="P52" s="32"/>
      <c r="Q52" s="35"/>
      <c r="R52" s="62"/>
    </row>
    <row r="53" spans="2:18" ht="12.75" customHeight="1" x14ac:dyDescent="0.2">
      <c r="B53" s="63"/>
      <c r="C53" s="64" t="s">
        <v>49</v>
      </c>
      <c r="D53" s="65"/>
      <c r="E53" s="65"/>
      <c r="F53" s="65"/>
      <c r="G53" s="32"/>
      <c r="H53" s="61"/>
      <c r="I53" s="32"/>
      <c r="J53" s="66"/>
      <c r="K53" s="66"/>
      <c r="L53" s="61"/>
      <c r="M53" s="32"/>
      <c r="N53" s="32"/>
      <c r="O53" s="32"/>
      <c r="P53" s="32"/>
      <c r="Q53" s="35"/>
      <c r="R53" s="61"/>
    </row>
    <row r="54" spans="2:18" ht="12.75" customHeight="1" x14ac:dyDescent="0.2">
      <c r="B54" s="63"/>
      <c r="C54" s="32"/>
      <c r="D54" s="32"/>
      <c r="E54" s="41"/>
      <c r="F54" s="41"/>
      <c r="G54" s="32"/>
      <c r="H54" s="61"/>
      <c r="I54" s="32"/>
      <c r="J54" s="66"/>
      <c r="K54" s="66"/>
      <c r="L54" s="61"/>
      <c r="M54" s="32"/>
      <c r="N54" s="32"/>
      <c r="O54" s="32"/>
      <c r="P54" s="32"/>
      <c r="Q54" s="35"/>
      <c r="R54" s="61"/>
    </row>
    <row r="55" spans="2:18" ht="12.75" customHeight="1" x14ac:dyDescent="0.2">
      <c r="B55" s="30"/>
      <c r="C55" s="31"/>
      <c r="D55" s="31"/>
      <c r="E55" s="32"/>
      <c r="F55" s="32"/>
      <c r="G55" s="31"/>
      <c r="H55" s="82"/>
      <c r="I55" s="31"/>
      <c r="J55" s="68"/>
      <c r="K55" s="68"/>
      <c r="L55" s="82"/>
      <c r="M55" s="31"/>
      <c r="N55" s="31"/>
      <c r="O55" s="31"/>
      <c r="P55" s="31"/>
      <c r="Q55" s="77"/>
      <c r="R55" s="83"/>
    </row>
    <row r="56" spans="2:18" ht="12.75" customHeight="1" x14ac:dyDescent="0.2">
      <c r="B56" s="1">
        <v>37101</v>
      </c>
      <c r="C56" s="35">
        <v>19</v>
      </c>
      <c r="D56" s="35" t="s">
        <v>50</v>
      </c>
      <c r="E56" s="35">
        <v>69</v>
      </c>
      <c r="F56" s="35">
        <v>142</v>
      </c>
      <c r="G56" s="36">
        <f>F56*0.666*24/72</f>
        <v>31.524000000000001</v>
      </c>
      <c r="H56" s="71">
        <v>0</v>
      </c>
      <c r="I56" s="32">
        <v>0</v>
      </c>
      <c r="J56" s="66">
        <v>0</v>
      </c>
      <c r="K56" s="66">
        <v>0</v>
      </c>
      <c r="L56" s="71">
        <v>21</v>
      </c>
      <c r="M56" s="32">
        <v>0</v>
      </c>
      <c r="N56" s="70"/>
      <c r="O56" s="39">
        <f t="shared" ref="O56" si="10">ROUND((+G56*N56)/100,0)</f>
        <v>0</v>
      </c>
      <c r="P56" s="32">
        <f>IF(M56&gt;O56,+M56-O56,0)</f>
        <v>0</v>
      </c>
      <c r="Q56" s="71">
        <v>21</v>
      </c>
      <c r="R56" s="37">
        <f>+Q56</f>
        <v>21</v>
      </c>
    </row>
    <row r="57" spans="2:18" ht="12.75" customHeight="1" x14ac:dyDescent="0.2">
      <c r="B57" s="1">
        <v>120477</v>
      </c>
      <c r="C57" s="35">
        <v>3</v>
      </c>
      <c r="D57" s="35" t="s">
        <v>51</v>
      </c>
      <c r="E57" s="35">
        <v>224</v>
      </c>
      <c r="F57" s="35">
        <v>442</v>
      </c>
      <c r="G57" s="36">
        <f>F57*0.666*24/72</f>
        <v>98.123999999999995</v>
      </c>
      <c r="H57" s="35">
        <v>70</v>
      </c>
      <c r="I57" s="32">
        <v>0</v>
      </c>
      <c r="J57" s="66">
        <v>0</v>
      </c>
      <c r="K57" s="66">
        <v>0</v>
      </c>
      <c r="L57" s="35">
        <v>74</v>
      </c>
      <c r="M57" s="32">
        <v>0</v>
      </c>
      <c r="N57" s="32"/>
      <c r="O57" s="32">
        <f>ROUND((+G57*N57)/100,0)</f>
        <v>0</v>
      </c>
      <c r="P57" s="32">
        <f>IF(M57&gt;O57,+M57-O57,0)</f>
        <v>0</v>
      </c>
      <c r="Q57" s="35">
        <v>78</v>
      </c>
      <c r="R57" s="37">
        <f>+Q57</f>
        <v>78</v>
      </c>
    </row>
    <row r="58" spans="2:18" ht="12.75" customHeight="1" x14ac:dyDescent="0.2">
      <c r="B58" s="1">
        <v>240104</v>
      </c>
      <c r="C58" s="35">
        <v>26</v>
      </c>
      <c r="D58" s="35" t="s">
        <v>52</v>
      </c>
      <c r="E58" s="35">
        <v>62</v>
      </c>
      <c r="F58" s="35">
        <v>67</v>
      </c>
      <c r="G58" s="36">
        <f>F58*0.666*24/72</f>
        <v>14.873999999999999</v>
      </c>
      <c r="H58" s="35">
        <v>6</v>
      </c>
      <c r="I58" s="35">
        <v>0</v>
      </c>
      <c r="J58" s="84">
        <v>0</v>
      </c>
      <c r="K58" s="84">
        <v>0</v>
      </c>
      <c r="L58" s="35">
        <v>8</v>
      </c>
      <c r="M58" s="32">
        <v>0</v>
      </c>
      <c r="N58" s="35"/>
      <c r="O58" s="70">
        <f>ROUND((+G58*N58)/100,0)</f>
        <v>0</v>
      </c>
      <c r="P58" s="70">
        <f>IF(M58&gt;O58,+M58-O58,0)</f>
        <v>0</v>
      </c>
      <c r="Q58" s="35">
        <v>5</v>
      </c>
      <c r="R58" s="85">
        <f>Q58</f>
        <v>5</v>
      </c>
    </row>
    <row r="59" spans="2:18" ht="12.75" customHeight="1" x14ac:dyDescent="0.2">
      <c r="B59" s="1">
        <v>392109</v>
      </c>
      <c r="C59" s="35">
        <v>23</v>
      </c>
      <c r="D59" s="35" t="s">
        <v>53</v>
      </c>
      <c r="E59" s="35">
        <v>64</v>
      </c>
      <c r="F59" s="35">
        <v>89</v>
      </c>
      <c r="G59" s="36">
        <f>F59*0.666*24/72</f>
        <v>19.757999999999999</v>
      </c>
      <c r="H59" s="35">
        <v>13</v>
      </c>
      <c r="I59" s="35">
        <v>0</v>
      </c>
      <c r="J59" s="84">
        <v>0</v>
      </c>
      <c r="K59" s="84">
        <v>0</v>
      </c>
      <c r="L59" s="35">
        <v>0</v>
      </c>
      <c r="M59" s="32">
        <v>0</v>
      </c>
      <c r="N59" s="35"/>
      <c r="O59" s="70">
        <f>ROUND((+G59*N59)/100,0)</f>
        <v>0</v>
      </c>
      <c r="P59" s="70">
        <f>IF(M59&gt;O59,+M59-O59,0)</f>
        <v>0</v>
      </c>
      <c r="Q59" s="35">
        <v>14</v>
      </c>
      <c r="R59" s="85">
        <f>Q59</f>
        <v>14</v>
      </c>
    </row>
    <row r="60" spans="2:18" ht="12.75" customHeight="1" x14ac:dyDescent="0.2">
      <c r="B60" s="40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244"/>
      <c r="R60" s="86"/>
    </row>
    <row r="61" spans="2:18" ht="12.75" customHeight="1" x14ac:dyDescent="0.2">
      <c r="B61" s="46" t="s">
        <v>37</v>
      </c>
      <c r="C61" s="47"/>
      <c r="D61" s="47">
        <f>COUNTA(B56:B59)</f>
        <v>4</v>
      </c>
      <c r="E61" s="87">
        <f t="shared" ref="E61:R61" si="11">SUM(E56:E59)</f>
        <v>419</v>
      </c>
      <c r="F61" s="87">
        <f t="shared" si="11"/>
        <v>740</v>
      </c>
      <c r="G61" s="88">
        <f t="shared" si="11"/>
        <v>164.28</v>
      </c>
      <c r="H61" s="88">
        <f t="shared" si="11"/>
        <v>89</v>
      </c>
      <c r="I61" s="88">
        <f t="shared" si="11"/>
        <v>0</v>
      </c>
      <c r="J61" s="88">
        <f t="shared" si="11"/>
        <v>0</v>
      </c>
      <c r="K61" s="88">
        <f t="shared" si="11"/>
        <v>0</v>
      </c>
      <c r="L61" s="88">
        <f t="shared" si="11"/>
        <v>103</v>
      </c>
      <c r="M61" s="88">
        <f t="shared" si="11"/>
        <v>0</v>
      </c>
      <c r="N61" s="88">
        <f t="shared" si="11"/>
        <v>0</v>
      </c>
      <c r="O61" s="88">
        <f t="shared" si="11"/>
        <v>0</v>
      </c>
      <c r="P61" s="88">
        <f t="shared" si="11"/>
        <v>0</v>
      </c>
      <c r="Q61" s="249">
        <f t="shared" si="11"/>
        <v>118</v>
      </c>
      <c r="R61" s="88">
        <f t="shared" si="11"/>
        <v>118</v>
      </c>
    </row>
    <row r="62" spans="2:18" ht="12.75" customHeight="1" x14ac:dyDescent="0.2">
      <c r="B62" s="89" t="s">
        <v>489</v>
      </c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1"/>
      <c r="O62" s="91"/>
      <c r="P62" s="91"/>
      <c r="Q62" s="246"/>
      <c r="R62" s="92"/>
    </row>
    <row r="63" spans="2:18" ht="12.75" customHeight="1" x14ac:dyDescent="0.2">
      <c r="B63" s="212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5"/>
      <c r="N63" s="56"/>
      <c r="O63" s="56"/>
      <c r="P63" s="56"/>
      <c r="Q63" s="247" t="s">
        <v>39</v>
      </c>
      <c r="R63" s="57">
        <f>R61+R62</f>
        <v>118</v>
      </c>
    </row>
    <row r="64" spans="2:18" ht="12.75" customHeight="1" x14ac:dyDescent="0.2">
      <c r="B64" s="80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250"/>
      <c r="R64" s="59"/>
    </row>
    <row r="65" spans="2:18" ht="12.75" customHeight="1" x14ac:dyDescent="0.2">
      <c r="B65" s="80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104"/>
      <c r="R65" s="59"/>
    </row>
    <row r="66" spans="2:18" ht="12.75" customHeight="1" x14ac:dyDescent="0.2">
      <c r="B66" s="63" t="s">
        <v>33</v>
      </c>
      <c r="C66" s="32"/>
      <c r="D66" s="6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5"/>
      <c r="R66" s="32"/>
    </row>
    <row r="67" spans="2:18" ht="12.75" customHeight="1" x14ac:dyDescent="0.2">
      <c r="B67" s="63"/>
      <c r="C67" s="64" t="s">
        <v>54</v>
      </c>
      <c r="D67" s="65"/>
      <c r="E67" s="32"/>
      <c r="F67" s="32"/>
      <c r="G67" s="32"/>
      <c r="H67" s="32"/>
      <c r="I67" s="32"/>
      <c r="J67" s="66"/>
      <c r="K67" s="66"/>
      <c r="L67" s="32"/>
      <c r="M67" s="32"/>
      <c r="N67" s="32"/>
      <c r="O67" s="32"/>
      <c r="P67" s="32"/>
      <c r="Q67" s="35"/>
      <c r="R67" s="32"/>
    </row>
    <row r="68" spans="2:18" ht="12.75" customHeight="1" x14ac:dyDescent="0.2">
      <c r="B68" s="63"/>
      <c r="C68" s="32"/>
      <c r="D68" s="32"/>
      <c r="E68" s="41"/>
      <c r="F68" s="41"/>
      <c r="G68" s="32"/>
      <c r="H68" s="61"/>
      <c r="I68" s="32"/>
      <c r="J68" s="66"/>
      <c r="K68" s="66"/>
      <c r="L68" s="61"/>
      <c r="M68" s="32"/>
      <c r="N68" s="32"/>
      <c r="O68" s="32"/>
      <c r="P68" s="32"/>
      <c r="Q68" s="35"/>
      <c r="R68" s="61"/>
    </row>
    <row r="69" spans="2:18" ht="12.75" customHeight="1" x14ac:dyDescent="0.2">
      <c r="B69" s="30"/>
      <c r="C69" s="31"/>
      <c r="D69" s="31"/>
      <c r="E69" s="32"/>
      <c r="F69" s="32"/>
      <c r="G69" s="31"/>
      <c r="H69" s="82"/>
      <c r="I69" s="31"/>
      <c r="J69" s="68"/>
      <c r="K69" s="68"/>
      <c r="L69" s="82"/>
      <c r="M69" s="31"/>
      <c r="N69" s="31"/>
      <c r="O69" s="31"/>
      <c r="P69" s="31"/>
      <c r="Q69" s="77"/>
      <c r="R69" s="83"/>
    </row>
    <row r="70" spans="2:18" ht="12.75" customHeight="1" x14ac:dyDescent="0.2">
      <c r="B70" s="2">
        <v>160102</v>
      </c>
      <c r="C70" s="32">
        <v>10</v>
      </c>
      <c r="D70" s="32" t="s">
        <v>55</v>
      </c>
      <c r="E70" s="35">
        <v>155</v>
      </c>
      <c r="F70" s="35">
        <v>250</v>
      </c>
      <c r="G70" s="36">
        <f t="shared" ref="G70:G76" si="12">F70*0.666*24/72</f>
        <v>55.5</v>
      </c>
      <c r="H70" s="35">
        <v>40</v>
      </c>
      <c r="I70" s="32">
        <v>0</v>
      </c>
      <c r="J70" s="66">
        <v>0</v>
      </c>
      <c r="K70" s="66">
        <v>0</v>
      </c>
      <c r="L70" s="35">
        <v>40</v>
      </c>
      <c r="M70" s="39">
        <v>0</v>
      </c>
      <c r="N70" s="32"/>
      <c r="O70" s="39">
        <f t="shared" ref="O70:O76" si="13">ROUND((+G70*N70)/100,0)</f>
        <v>0</v>
      </c>
      <c r="P70" s="32">
        <f>IF(M70&gt;O70,+M70-O70,0)</f>
        <v>0</v>
      </c>
      <c r="Q70" s="35">
        <v>40</v>
      </c>
      <c r="R70" s="75">
        <f t="shared" ref="R70:R76" si="14">Q70</f>
        <v>40</v>
      </c>
    </row>
    <row r="71" spans="2:18" ht="12.75" customHeight="1" x14ac:dyDescent="0.2">
      <c r="B71" s="2">
        <v>181101</v>
      </c>
      <c r="C71" s="32">
        <v>53</v>
      </c>
      <c r="D71" s="32" t="s">
        <v>56</v>
      </c>
      <c r="E71" s="35">
        <v>65</v>
      </c>
      <c r="F71" s="35">
        <v>116</v>
      </c>
      <c r="G71" s="36">
        <f t="shared" si="12"/>
        <v>25.751999999999999</v>
      </c>
      <c r="H71" s="35">
        <v>23</v>
      </c>
      <c r="I71" s="32">
        <v>0</v>
      </c>
      <c r="J71" s="66">
        <v>0</v>
      </c>
      <c r="K71" s="66">
        <v>0</v>
      </c>
      <c r="L71" s="35">
        <v>24</v>
      </c>
      <c r="M71" s="32">
        <v>0</v>
      </c>
      <c r="N71" s="32"/>
      <c r="O71" s="32">
        <f t="shared" si="13"/>
        <v>0</v>
      </c>
      <c r="P71" s="32">
        <f>IF(M71&gt;O71,+M71-O71,0)</f>
        <v>0</v>
      </c>
      <c r="Q71" s="35">
        <v>23</v>
      </c>
      <c r="R71" s="37">
        <f t="shared" si="14"/>
        <v>23</v>
      </c>
    </row>
    <row r="72" spans="2:18" ht="12.75" customHeight="1" x14ac:dyDescent="0.2">
      <c r="B72" s="2">
        <v>373101</v>
      </c>
      <c r="C72" s="32">
        <v>17</v>
      </c>
      <c r="D72" s="32" t="s">
        <v>340</v>
      </c>
      <c r="E72" s="35">
        <v>104</v>
      </c>
      <c r="F72" s="35">
        <v>164</v>
      </c>
      <c r="G72" s="36">
        <f t="shared" si="12"/>
        <v>36.408000000000001</v>
      </c>
      <c r="H72" s="35">
        <v>33</v>
      </c>
      <c r="I72" s="32">
        <v>0</v>
      </c>
      <c r="J72" s="66">
        <v>0</v>
      </c>
      <c r="K72" s="66">
        <v>0</v>
      </c>
      <c r="L72" s="35">
        <v>35</v>
      </c>
      <c r="M72" s="39">
        <v>0</v>
      </c>
      <c r="N72" s="32"/>
      <c r="O72" s="39">
        <f t="shared" si="13"/>
        <v>0</v>
      </c>
      <c r="P72" s="39">
        <v>0</v>
      </c>
      <c r="Q72" s="35">
        <v>35</v>
      </c>
      <c r="R72" s="75">
        <f t="shared" si="14"/>
        <v>35</v>
      </c>
    </row>
    <row r="73" spans="2:18" ht="12.75" customHeight="1" x14ac:dyDescent="0.2">
      <c r="B73" s="2">
        <v>455102</v>
      </c>
      <c r="C73" s="32">
        <v>43</v>
      </c>
      <c r="D73" s="32" t="s">
        <v>57</v>
      </c>
      <c r="E73" s="35">
        <v>160</v>
      </c>
      <c r="F73" s="35">
        <v>260</v>
      </c>
      <c r="G73" s="36">
        <f t="shared" si="12"/>
        <v>57.72</v>
      </c>
      <c r="H73" s="35">
        <v>40</v>
      </c>
      <c r="I73" s="32">
        <v>0</v>
      </c>
      <c r="J73" s="66">
        <v>0</v>
      </c>
      <c r="K73" s="66">
        <v>0</v>
      </c>
      <c r="L73" s="35">
        <v>45</v>
      </c>
      <c r="M73" s="32">
        <v>0</v>
      </c>
      <c r="N73" s="32"/>
      <c r="O73" s="32">
        <f t="shared" si="13"/>
        <v>0</v>
      </c>
      <c r="P73" s="32">
        <f>IF(M73&gt;O73,+M73-O73,0)</f>
        <v>0</v>
      </c>
      <c r="Q73" s="35">
        <v>45</v>
      </c>
      <c r="R73" s="37">
        <f t="shared" si="14"/>
        <v>45</v>
      </c>
    </row>
    <row r="74" spans="2:18" ht="12.75" customHeight="1" x14ac:dyDescent="0.2">
      <c r="B74" s="2">
        <v>456102</v>
      </c>
      <c r="C74" s="32">
        <v>3</v>
      </c>
      <c r="D74" s="32" t="s">
        <v>58</v>
      </c>
      <c r="E74" s="35">
        <v>115</v>
      </c>
      <c r="F74" s="35">
        <v>199</v>
      </c>
      <c r="G74" s="36">
        <f t="shared" si="12"/>
        <v>44.178000000000011</v>
      </c>
      <c r="H74" s="35">
        <v>14</v>
      </c>
      <c r="I74" s="32">
        <v>0</v>
      </c>
      <c r="J74" s="66">
        <v>0</v>
      </c>
      <c r="K74" s="66">
        <v>0</v>
      </c>
      <c r="L74" s="35">
        <v>25</v>
      </c>
      <c r="M74" s="32">
        <v>0</v>
      </c>
      <c r="N74" s="32"/>
      <c r="O74" s="32">
        <f t="shared" si="13"/>
        <v>0</v>
      </c>
      <c r="P74" s="32">
        <f>IF(M74&gt;O74,+M74-O74,0)</f>
        <v>0</v>
      </c>
      <c r="Q74" s="35">
        <v>26</v>
      </c>
      <c r="R74" s="37">
        <f t="shared" si="14"/>
        <v>26</v>
      </c>
    </row>
    <row r="75" spans="2:18" ht="12.75" customHeight="1" x14ac:dyDescent="0.2">
      <c r="B75" s="1">
        <v>456103</v>
      </c>
      <c r="C75" s="35">
        <v>65</v>
      </c>
      <c r="D75" s="35" t="s">
        <v>447</v>
      </c>
      <c r="E75" s="35">
        <v>77</v>
      </c>
      <c r="F75" s="35">
        <v>127</v>
      </c>
      <c r="G75" s="36">
        <f t="shared" ref="G75" si="15">F75*0.666*24/72</f>
        <v>28.194000000000003</v>
      </c>
      <c r="H75" s="35">
        <v>9</v>
      </c>
      <c r="I75" s="32">
        <v>0</v>
      </c>
      <c r="J75" s="66">
        <v>0</v>
      </c>
      <c r="K75" s="66">
        <v>0</v>
      </c>
      <c r="L75" s="35">
        <v>5</v>
      </c>
      <c r="M75" s="32">
        <v>0</v>
      </c>
      <c r="N75" s="32"/>
      <c r="O75" s="32">
        <f t="shared" ref="O75" si="16">ROUND((+G75*N75)/100,0)</f>
        <v>0</v>
      </c>
      <c r="P75" s="32">
        <f>IF(M75&gt;O75,+M75-O75,0)</f>
        <v>0</v>
      </c>
      <c r="Q75" s="35">
        <v>8</v>
      </c>
      <c r="R75" s="37">
        <f t="shared" ref="R75" si="17">Q75</f>
        <v>8</v>
      </c>
    </row>
    <row r="76" spans="2:18" ht="12.75" customHeight="1" x14ac:dyDescent="0.2">
      <c r="B76" s="1">
        <v>524101</v>
      </c>
      <c r="C76" s="35">
        <v>20</v>
      </c>
      <c r="D76" s="35" t="s">
        <v>59</v>
      </c>
      <c r="E76" s="35">
        <v>73</v>
      </c>
      <c r="F76" s="35">
        <v>91</v>
      </c>
      <c r="G76" s="36">
        <f t="shared" si="12"/>
        <v>20.202000000000002</v>
      </c>
      <c r="H76" s="230">
        <v>10</v>
      </c>
      <c r="I76" s="32">
        <v>0</v>
      </c>
      <c r="J76" s="66">
        <v>0</v>
      </c>
      <c r="K76" s="66">
        <v>0</v>
      </c>
      <c r="L76" s="230">
        <v>11</v>
      </c>
      <c r="M76" s="39">
        <v>0</v>
      </c>
      <c r="N76" s="32"/>
      <c r="O76" s="32">
        <f t="shared" si="13"/>
        <v>0</v>
      </c>
      <c r="P76" s="32">
        <f>IF(M76&gt;O76,+M76-O76,0)</f>
        <v>0</v>
      </c>
      <c r="Q76" s="230">
        <v>10</v>
      </c>
      <c r="R76" s="37">
        <f t="shared" si="14"/>
        <v>10</v>
      </c>
    </row>
    <row r="77" spans="2:18" ht="12.75" customHeight="1" x14ac:dyDescent="0.2">
      <c r="B77" s="40"/>
      <c r="C77" s="41"/>
      <c r="D77" s="41"/>
      <c r="E77" s="41"/>
      <c r="F77" s="41"/>
      <c r="G77" s="93"/>
      <c r="H77" s="41"/>
      <c r="I77" s="41"/>
      <c r="J77" s="94"/>
      <c r="K77" s="94"/>
      <c r="L77" s="42"/>
      <c r="M77" s="41"/>
      <c r="N77" s="41"/>
      <c r="O77" s="41"/>
      <c r="Q77" s="251"/>
      <c r="R77" s="95"/>
    </row>
    <row r="78" spans="2:18" ht="12.75" customHeight="1" x14ac:dyDescent="0.2">
      <c r="B78" s="46" t="s">
        <v>37</v>
      </c>
      <c r="C78" s="47"/>
      <c r="D78" s="47">
        <f>COUNTA(B70:B76)</f>
        <v>7</v>
      </c>
      <c r="E78" s="87">
        <f t="shared" ref="E78:R78" si="18">SUM(E70:E76)</f>
        <v>749</v>
      </c>
      <c r="F78" s="87">
        <f t="shared" si="18"/>
        <v>1207</v>
      </c>
      <c r="G78" s="88">
        <f t="shared" si="18"/>
        <v>267.95400000000001</v>
      </c>
      <c r="H78" s="88">
        <f t="shared" si="18"/>
        <v>169</v>
      </c>
      <c r="I78" s="88">
        <f t="shared" si="18"/>
        <v>0</v>
      </c>
      <c r="J78" s="88">
        <f t="shared" si="18"/>
        <v>0</v>
      </c>
      <c r="K78" s="88">
        <f t="shared" si="18"/>
        <v>0</v>
      </c>
      <c r="L78" s="88">
        <f>SUM(L70:L76)</f>
        <v>185</v>
      </c>
      <c r="M78" s="88">
        <f t="shared" si="18"/>
        <v>0</v>
      </c>
      <c r="N78" s="88">
        <f t="shared" si="18"/>
        <v>0</v>
      </c>
      <c r="O78" s="88">
        <f t="shared" si="18"/>
        <v>0</v>
      </c>
      <c r="P78" s="88">
        <f t="shared" si="18"/>
        <v>0</v>
      </c>
      <c r="Q78" s="249">
        <f>SUM(Q70:Q76)</f>
        <v>187</v>
      </c>
      <c r="R78" s="88">
        <f t="shared" si="18"/>
        <v>187</v>
      </c>
    </row>
    <row r="79" spans="2:18" ht="12.75" customHeight="1" x14ac:dyDescent="0.2">
      <c r="B79" s="89" t="s">
        <v>83</v>
      </c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1"/>
      <c r="O79" s="91"/>
      <c r="P79" s="91"/>
      <c r="Q79" s="246"/>
      <c r="R79" s="92"/>
    </row>
    <row r="80" spans="2:18" ht="12.75" customHeight="1" x14ac:dyDescent="0.2">
      <c r="B80" s="40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5"/>
      <c r="N80" s="56"/>
      <c r="O80" s="56"/>
      <c r="P80" s="56"/>
      <c r="Q80" s="247" t="s">
        <v>39</v>
      </c>
      <c r="R80" s="96">
        <f>R78+R79</f>
        <v>187</v>
      </c>
    </row>
    <row r="81" spans="2:18" ht="12.75" customHeight="1" x14ac:dyDescent="0.2">
      <c r="B81" s="80"/>
      <c r="C81" s="56"/>
      <c r="D81" s="56"/>
      <c r="E81" s="56" t="s">
        <v>0</v>
      </c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104"/>
      <c r="R81" s="59"/>
    </row>
    <row r="82" spans="2:18" ht="12.75" customHeight="1" x14ac:dyDescent="0.2">
      <c r="B82" s="80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104"/>
      <c r="R82" s="59"/>
    </row>
    <row r="83" spans="2:18" ht="12.75" customHeight="1" x14ac:dyDescent="0.2">
      <c r="B83" s="63" t="s">
        <v>33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5"/>
      <c r="R83" s="32"/>
    </row>
    <row r="84" spans="2:18" ht="12.75" customHeight="1" x14ac:dyDescent="0.2">
      <c r="B84" s="63"/>
      <c r="C84" s="64" t="s">
        <v>60</v>
      </c>
      <c r="D84" s="65"/>
      <c r="E84" s="65"/>
      <c r="F84" s="32"/>
      <c r="G84" s="32"/>
      <c r="H84" s="61"/>
      <c r="I84" s="32"/>
      <c r="J84" s="66"/>
      <c r="K84" s="66"/>
      <c r="L84" s="61"/>
      <c r="M84" s="32"/>
      <c r="N84" s="32"/>
      <c r="O84" s="32"/>
      <c r="P84" s="32"/>
      <c r="Q84" s="35"/>
      <c r="R84" s="61"/>
    </row>
    <row r="85" spans="2:18" ht="12.75" customHeight="1" x14ac:dyDescent="0.2">
      <c r="B85" s="63"/>
      <c r="C85" s="32"/>
      <c r="D85" s="32"/>
      <c r="E85" s="41"/>
      <c r="F85" s="41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5"/>
      <c r="R85" s="32"/>
    </row>
    <row r="86" spans="2:18" ht="12.75" customHeight="1" x14ac:dyDescent="0.2">
      <c r="B86" s="30"/>
      <c r="C86" s="31"/>
      <c r="D86" s="31"/>
      <c r="E86" s="32"/>
      <c r="F86" s="32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77"/>
      <c r="R86" s="33"/>
    </row>
    <row r="87" spans="2:18" ht="12.75" customHeight="1" x14ac:dyDescent="0.2">
      <c r="B87" s="1">
        <v>11102</v>
      </c>
      <c r="C87" s="35">
        <v>16</v>
      </c>
      <c r="D87" s="35" t="s">
        <v>290</v>
      </c>
      <c r="E87" s="35">
        <v>87</v>
      </c>
      <c r="F87" s="35">
        <v>134</v>
      </c>
      <c r="G87" s="36">
        <f t="shared" ref="G87:G103" si="19">F87*0.666*24/72</f>
        <v>29.747999999999998</v>
      </c>
      <c r="H87" s="230">
        <v>20</v>
      </c>
      <c r="I87" s="35">
        <v>0</v>
      </c>
      <c r="J87" s="35">
        <v>0</v>
      </c>
      <c r="K87" s="35">
        <v>0</v>
      </c>
      <c r="L87" s="230">
        <v>20</v>
      </c>
      <c r="M87" s="35">
        <v>0</v>
      </c>
      <c r="N87" s="35"/>
      <c r="O87" s="70">
        <f t="shared" ref="O87:O101" si="20">ROUND((+G87*N87)/100,0)</f>
        <v>0</v>
      </c>
      <c r="P87" s="70">
        <v>0</v>
      </c>
      <c r="Q87" s="230">
        <v>20</v>
      </c>
      <c r="R87" s="85">
        <f t="shared" ref="R87:R103" si="21">Q87</f>
        <v>20</v>
      </c>
    </row>
    <row r="88" spans="2:18" ht="12.75" customHeight="1" x14ac:dyDescent="0.2">
      <c r="B88" s="1">
        <v>32102</v>
      </c>
      <c r="C88" s="35">
        <v>14</v>
      </c>
      <c r="D88" s="35" t="s">
        <v>293</v>
      </c>
      <c r="E88" s="35">
        <v>63</v>
      </c>
      <c r="F88" s="35">
        <v>101</v>
      </c>
      <c r="G88" s="36">
        <f t="shared" si="19"/>
        <v>22.422000000000001</v>
      </c>
      <c r="H88" s="230">
        <v>16</v>
      </c>
      <c r="I88" s="35">
        <v>0</v>
      </c>
      <c r="J88" s="35">
        <v>0</v>
      </c>
      <c r="K88" s="35">
        <v>0</v>
      </c>
      <c r="L88" s="230">
        <v>16</v>
      </c>
      <c r="M88" s="35">
        <v>0</v>
      </c>
      <c r="N88" s="35"/>
      <c r="O88" s="70">
        <f t="shared" si="20"/>
        <v>0</v>
      </c>
      <c r="P88" s="70">
        <f>IF(M88&gt;O88,+M88-O88,0)</f>
        <v>0</v>
      </c>
      <c r="Q88" s="230">
        <v>16</v>
      </c>
      <c r="R88" s="85">
        <f t="shared" si="21"/>
        <v>16</v>
      </c>
    </row>
    <row r="89" spans="2:18" ht="12.75" customHeight="1" x14ac:dyDescent="0.2">
      <c r="B89" s="1">
        <v>99101</v>
      </c>
      <c r="C89" s="35">
        <v>29</v>
      </c>
      <c r="D89" s="35" t="s">
        <v>300</v>
      </c>
      <c r="E89" s="35">
        <v>40</v>
      </c>
      <c r="F89" s="35">
        <v>57</v>
      </c>
      <c r="G89" s="36">
        <f t="shared" si="19"/>
        <v>12.654000000000002</v>
      </c>
      <c r="H89" s="230">
        <v>5</v>
      </c>
      <c r="I89" s="35">
        <v>0</v>
      </c>
      <c r="J89" s="70">
        <v>0</v>
      </c>
      <c r="K89" s="70">
        <v>0</v>
      </c>
      <c r="L89" s="230">
        <v>8</v>
      </c>
      <c r="M89" s="35">
        <v>0</v>
      </c>
      <c r="N89" s="35"/>
      <c r="O89" s="70">
        <f t="shared" si="20"/>
        <v>0</v>
      </c>
      <c r="P89" s="70">
        <f>IF(M89&gt;O89,+M89-O89,0)</f>
        <v>0</v>
      </c>
      <c r="Q89" s="230">
        <v>8</v>
      </c>
      <c r="R89" s="85">
        <f t="shared" si="21"/>
        <v>8</v>
      </c>
    </row>
    <row r="90" spans="2:18" ht="12.75" customHeight="1" x14ac:dyDescent="0.2">
      <c r="B90" s="1">
        <v>120309</v>
      </c>
      <c r="C90" s="35">
        <v>9</v>
      </c>
      <c r="D90" s="35" t="s">
        <v>301</v>
      </c>
      <c r="E90" s="35">
        <v>239</v>
      </c>
      <c r="F90" s="35">
        <v>421</v>
      </c>
      <c r="G90" s="36">
        <f t="shared" si="19"/>
        <v>93.462000000000018</v>
      </c>
      <c r="H90" s="230">
        <v>50</v>
      </c>
      <c r="I90" s="35">
        <v>0</v>
      </c>
      <c r="J90" s="35">
        <v>0</v>
      </c>
      <c r="K90" s="35">
        <v>0</v>
      </c>
      <c r="L90" s="230">
        <v>60</v>
      </c>
      <c r="M90" s="35">
        <v>0</v>
      </c>
      <c r="N90" s="35"/>
      <c r="O90" s="70">
        <f t="shared" si="20"/>
        <v>0</v>
      </c>
      <c r="P90" s="35">
        <f>IF(M90&gt;O90,+M90-O90,0)</f>
        <v>0</v>
      </c>
      <c r="Q90" s="230">
        <v>39</v>
      </c>
      <c r="R90" s="97">
        <f t="shared" si="21"/>
        <v>39</v>
      </c>
    </row>
    <row r="91" spans="2:18" ht="12.75" customHeight="1" x14ac:dyDescent="0.2">
      <c r="B91" s="1">
        <v>120509</v>
      </c>
      <c r="C91" s="35">
        <v>12</v>
      </c>
      <c r="D91" s="35" t="s">
        <v>302</v>
      </c>
      <c r="E91" s="35">
        <v>87</v>
      </c>
      <c r="F91" s="35">
        <v>137</v>
      </c>
      <c r="G91" s="36">
        <f t="shared" si="19"/>
        <v>30.414000000000001</v>
      </c>
      <c r="H91" s="230">
        <v>18</v>
      </c>
      <c r="I91" s="35">
        <v>0</v>
      </c>
      <c r="J91" s="35">
        <v>0</v>
      </c>
      <c r="K91" s="35">
        <v>0</v>
      </c>
      <c r="L91" s="230">
        <v>17</v>
      </c>
      <c r="M91" s="35">
        <v>0</v>
      </c>
      <c r="N91" s="35"/>
      <c r="O91" s="70">
        <f t="shared" si="20"/>
        <v>0</v>
      </c>
      <c r="P91" s="70">
        <v>0</v>
      </c>
      <c r="Q91" s="230">
        <v>17</v>
      </c>
      <c r="R91" s="85">
        <f t="shared" si="21"/>
        <v>17</v>
      </c>
    </row>
    <row r="92" spans="2:18" ht="12.75" customHeight="1" x14ac:dyDescent="0.2">
      <c r="B92" s="1">
        <v>152101</v>
      </c>
      <c r="C92" s="35">
        <v>19</v>
      </c>
      <c r="D92" s="35" t="s">
        <v>313</v>
      </c>
      <c r="E92" s="35">
        <v>64</v>
      </c>
      <c r="F92" s="35">
        <v>103</v>
      </c>
      <c r="G92" s="36">
        <f t="shared" si="19"/>
        <v>22.866</v>
      </c>
      <c r="H92" s="230">
        <v>10</v>
      </c>
      <c r="I92" s="35">
        <v>0</v>
      </c>
      <c r="J92" s="35">
        <v>0</v>
      </c>
      <c r="K92" s="35">
        <v>0</v>
      </c>
      <c r="L92" s="230">
        <v>9</v>
      </c>
      <c r="M92" s="35">
        <v>0</v>
      </c>
      <c r="N92" s="35"/>
      <c r="O92" s="70">
        <f t="shared" si="20"/>
        <v>0</v>
      </c>
      <c r="P92" s="70">
        <f t="shared" ref="P92:P100" si="22">IF(M92&gt;O92,+M92-O92,0)</f>
        <v>0</v>
      </c>
      <c r="Q92" s="230">
        <v>11</v>
      </c>
      <c r="R92" s="85">
        <f t="shared" si="21"/>
        <v>11</v>
      </c>
    </row>
    <row r="93" spans="2:18" ht="12.75" customHeight="1" x14ac:dyDescent="0.2">
      <c r="B93" s="1">
        <v>183103</v>
      </c>
      <c r="C93" s="35">
        <v>85</v>
      </c>
      <c r="D93" s="35" t="s">
        <v>321</v>
      </c>
      <c r="E93" s="35">
        <v>46</v>
      </c>
      <c r="F93" s="35">
        <v>75</v>
      </c>
      <c r="G93" s="36">
        <f t="shared" si="19"/>
        <v>16.650000000000002</v>
      </c>
      <c r="H93" s="230">
        <v>12</v>
      </c>
      <c r="I93" s="35">
        <v>0</v>
      </c>
      <c r="J93" s="35">
        <v>0</v>
      </c>
      <c r="K93" s="35">
        <v>0</v>
      </c>
      <c r="L93" s="230">
        <v>13</v>
      </c>
      <c r="M93" s="35">
        <v>0</v>
      </c>
      <c r="N93" s="35"/>
      <c r="O93" s="70">
        <f>ROUND((+G93*N93)/100,0)</f>
        <v>0</v>
      </c>
      <c r="P93" s="70">
        <f>IF(M93&gt;O93,+M93-O93,0)</f>
        <v>0</v>
      </c>
      <c r="Q93" s="230">
        <v>13</v>
      </c>
      <c r="R93" s="85">
        <f t="shared" si="21"/>
        <v>13</v>
      </c>
    </row>
    <row r="94" spans="2:18" ht="12.75" customHeight="1" x14ac:dyDescent="0.2">
      <c r="B94" s="1">
        <v>245102</v>
      </c>
      <c r="C94" s="35">
        <v>11</v>
      </c>
      <c r="D94" s="35" t="s">
        <v>330</v>
      </c>
      <c r="E94" s="35">
        <v>63</v>
      </c>
      <c r="F94" s="35">
        <v>98</v>
      </c>
      <c r="G94" s="36">
        <f t="shared" si="19"/>
        <v>21.756</v>
      </c>
      <c r="H94" s="230">
        <v>11</v>
      </c>
      <c r="I94" s="35">
        <v>0</v>
      </c>
      <c r="J94" s="35">
        <v>0</v>
      </c>
      <c r="K94" s="35">
        <v>0</v>
      </c>
      <c r="L94" s="230">
        <v>2</v>
      </c>
      <c r="M94" s="35">
        <v>0</v>
      </c>
      <c r="N94" s="35"/>
      <c r="O94" s="70">
        <f t="shared" si="20"/>
        <v>0</v>
      </c>
      <c r="P94" s="35">
        <f t="shared" si="22"/>
        <v>0</v>
      </c>
      <c r="Q94" s="230">
        <v>11</v>
      </c>
      <c r="R94" s="97">
        <f t="shared" si="21"/>
        <v>11</v>
      </c>
    </row>
    <row r="95" spans="2:18" ht="12.75" customHeight="1" x14ac:dyDescent="0.2">
      <c r="B95" s="1">
        <v>259103</v>
      </c>
      <c r="C95" s="35">
        <v>69</v>
      </c>
      <c r="D95" s="35" t="s">
        <v>332</v>
      </c>
      <c r="E95" s="35">
        <v>59</v>
      </c>
      <c r="F95" s="35">
        <v>97</v>
      </c>
      <c r="G95" s="36">
        <f t="shared" si="19"/>
        <v>21.534000000000002</v>
      </c>
      <c r="H95" s="230">
        <v>5</v>
      </c>
      <c r="I95" s="35">
        <v>0</v>
      </c>
      <c r="J95" s="35">
        <v>0</v>
      </c>
      <c r="K95" s="35">
        <v>0</v>
      </c>
      <c r="L95" s="230">
        <v>9</v>
      </c>
      <c r="M95" s="35">
        <v>0</v>
      </c>
      <c r="N95" s="35"/>
      <c r="O95" s="70">
        <f t="shared" si="20"/>
        <v>0</v>
      </c>
      <c r="P95" s="70">
        <f t="shared" si="22"/>
        <v>0</v>
      </c>
      <c r="Q95" s="230">
        <v>8</v>
      </c>
      <c r="R95" s="85">
        <f t="shared" si="21"/>
        <v>8</v>
      </c>
    </row>
    <row r="96" spans="2:18" ht="12.75" customHeight="1" x14ac:dyDescent="0.2">
      <c r="B96" s="1">
        <v>261103</v>
      </c>
      <c r="C96" s="35">
        <v>13</v>
      </c>
      <c r="D96" s="35" t="s">
        <v>333</v>
      </c>
      <c r="E96" s="35">
        <v>102</v>
      </c>
      <c r="F96" s="35">
        <v>154</v>
      </c>
      <c r="G96" s="36">
        <f t="shared" si="19"/>
        <v>34.188000000000002</v>
      </c>
      <c r="H96" s="230">
        <v>2</v>
      </c>
      <c r="I96" s="35">
        <v>0</v>
      </c>
      <c r="J96" s="70">
        <v>0</v>
      </c>
      <c r="K96" s="70">
        <v>0</v>
      </c>
      <c r="L96" s="230">
        <v>16</v>
      </c>
      <c r="M96" s="35">
        <v>0</v>
      </c>
      <c r="N96" s="35"/>
      <c r="O96" s="70">
        <f t="shared" si="20"/>
        <v>0</v>
      </c>
      <c r="P96" s="70">
        <f t="shared" si="22"/>
        <v>0</v>
      </c>
      <c r="Q96" s="230">
        <v>15</v>
      </c>
      <c r="R96" s="85">
        <f t="shared" si="21"/>
        <v>15</v>
      </c>
    </row>
    <row r="97" spans="2:18" ht="12.75" customHeight="1" x14ac:dyDescent="0.2">
      <c r="B97" s="1">
        <v>261107</v>
      </c>
      <c r="C97" s="35">
        <v>71</v>
      </c>
      <c r="D97" s="35" t="s">
        <v>411</v>
      </c>
      <c r="E97" s="35">
        <v>54</v>
      </c>
      <c r="F97" s="35">
        <v>93</v>
      </c>
      <c r="G97" s="36">
        <f t="shared" si="19"/>
        <v>20.646000000000001</v>
      </c>
      <c r="H97" s="230">
        <v>8</v>
      </c>
      <c r="I97" s="35">
        <v>0</v>
      </c>
      <c r="J97" s="70">
        <v>0</v>
      </c>
      <c r="K97" s="70">
        <v>0</v>
      </c>
      <c r="L97" s="230">
        <v>9</v>
      </c>
      <c r="M97" s="35">
        <v>0</v>
      </c>
      <c r="N97" s="35"/>
      <c r="O97" s="70">
        <f>ROUND((+G97*N97)/100,0)</f>
        <v>0</v>
      </c>
      <c r="P97" s="70">
        <f>IF(M97&gt;O97,+M97-O97,0)</f>
        <v>0</v>
      </c>
      <c r="Q97" s="230">
        <v>10</v>
      </c>
      <c r="R97" s="85">
        <f>Q97</f>
        <v>10</v>
      </c>
    </row>
    <row r="98" spans="2:18" ht="12.75" customHeight="1" x14ac:dyDescent="0.2">
      <c r="B98" s="1">
        <v>261108</v>
      </c>
      <c r="C98" s="35">
        <v>50</v>
      </c>
      <c r="D98" s="35" t="s">
        <v>418</v>
      </c>
      <c r="E98" s="35">
        <v>63</v>
      </c>
      <c r="F98" s="35">
        <v>103</v>
      </c>
      <c r="G98" s="36">
        <f t="shared" si="19"/>
        <v>22.866</v>
      </c>
      <c r="H98" s="230">
        <v>8</v>
      </c>
      <c r="I98" s="35">
        <v>0</v>
      </c>
      <c r="J98" s="70">
        <v>0</v>
      </c>
      <c r="K98" s="70">
        <v>0</v>
      </c>
      <c r="L98" s="230">
        <v>9</v>
      </c>
      <c r="M98" s="35">
        <v>0</v>
      </c>
      <c r="N98" s="35"/>
      <c r="O98" s="70">
        <f>ROUND((+G98*N98)/100,0)</f>
        <v>0</v>
      </c>
      <c r="P98" s="70">
        <f>IF(M98&gt;O98,+M98-O98,0)</f>
        <v>0</v>
      </c>
      <c r="Q98" s="230">
        <v>12</v>
      </c>
      <c r="R98" s="85">
        <f>Q98</f>
        <v>12</v>
      </c>
    </row>
    <row r="99" spans="2:18" ht="12.75" customHeight="1" x14ac:dyDescent="0.2">
      <c r="B99" s="1">
        <v>352102</v>
      </c>
      <c r="C99" s="35">
        <v>58</v>
      </c>
      <c r="D99" s="35" t="s">
        <v>339</v>
      </c>
      <c r="E99" s="35">
        <v>40</v>
      </c>
      <c r="F99" s="35">
        <v>65</v>
      </c>
      <c r="G99" s="36">
        <f t="shared" si="19"/>
        <v>14.43</v>
      </c>
      <c r="H99" s="230">
        <v>6</v>
      </c>
      <c r="I99" s="35">
        <v>0</v>
      </c>
      <c r="J99" s="35">
        <v>0</v>
      </c>
      <c r="K99" s="35">
        <v>0</v>
      </c>
      <c r="L99" s="230">
        <v>7</v>
      </c>
      <c r="M99" s="35">
        <v>0</v>
      </c>
      <c r="N99" s="35"/>
      <c r="O99" s="70">
        <f t="shared" si="20"/>
        <v>0</v>
      </c>
      <c r="P99" s="70">
        <f t="shared" si="22"/>
        <v>0</v>
      </c>
      <c r="Q99" s="230">
        <v>7</v>
      </c>
      <c r="R99" s="85">
        <f t="shared" si="21"/>
        <v>7</v>
      </c>
    </row>
    <row r="100" spans="2:18" s="34" customFormat="1" ht="12.75" customHeight="1" x14ac:dyDescent="0.2">
      <c r="B100" s="1">
        <v>484102</v>
      </c>
      <c r="C100" s="35">
        <v>2</v>
      </c>
      <c r="D100" s="35" t="s">
        <v>364</v>
      </c>
      <c r="E100" s="35">
        <v>119</v>
      </c>
      <c r="F100" s="35">
        <v>167</v>
      </c>
      <c r="G100" s="36">
        <f t="shared" si="19"/>
        <v>37.074000000000005</v>
      </c>
      <c r="H100" s="230">
        <v>25</v>
      </c>
      <c r="I100" s="35">
        <v>0</v>
      </c>
      <c r="J100" s="35">
        <v>0</v>
      </c>
      <c r="K100" s="35">
        <v>0</v>
      </c>
      <c r="L100" s="230">
        <v>25</v>
      </c>
      <c r="M100" s="35">
        <v>0</v>
      </c>
      <c r="N100" s="35"/>
      <c r="O100" s="70">
        <f t="shared" si="20"/>
        <v>0</v>
      </c>
      <c r="P100" s="35">
        <f t="shared" si="22"/>
        <v>0</v>
      </c>
      <c r="Q100" s="230">
        <v>25</v>
      </c>
      <c r="R100" s="97">
        <f t="shared" si="21"/>
        <v>25</v>
      </c>
    </row>
    <row r="101" spans="2:18" s="34" customFormat="1" ht="12.75" customHeight="1" x14ac:dyDescent="0.2">
      <c r="B101" s="1">
        <v>501103</v>
      </c>
      <c r="C101" s="35">
        <v>7</v>
      </c>
      <c r="D101" s="35" t="s">
        <v>368</v>
      </c>
      <c r="E101" s="35">
        <v>45</v>
      </c>
      <c r="F101" s="35">
        <v>65</v>
      </c>
      <c r="G101" s="36">
        <f t="shared" si="19"/>
        <v>14.43</v>
      </c>
      <c r="H101" s="230">
        <v>10</v>
      </c>
      <c r="I101" s="35">
        <v>0</v>
      </c>
      <c r="J101" s="35">
        <v>0</v>
      </c>
      <c r="K101" s="35">
        <v>0</v>
      </c>
      <c r="L101" s="230">
        <v>10</v>
      </c>
      <c r="M101" s="35">
        <v>0</v>
      </c>
      <c r="N101" s="35"/>
      <c r="O101" s="70">
        <f t="shared" si="20"/>
        <v>0</v>
      </c>
      <c r="P101" s="35">
        <v>0</v>
      </c>
      <c r="Q101" s="230">
        <v>2</v>
      </c>
      <c r="R101" s="97">
        <f t="shared" si="21"/>
        <v>2</v>
      </c>
    </row>
    <row r="102" spans="2:18" s="34" customFormat="1" ht="12.75" customHeight="1" x14ac:dyDescent="0.2">
      <c r="B102" s="1">
        <v>529102</v>
      </c>
      <c r="C102" s="35">
        <v>35</v>
      </c>
      <c r="D102" s="35" t="s">
        <v>375</v>
      </c>
      <c r="E102" s="35">
        <v>63</v>
      </c>
      <c r="F102" s="35">
        <v>115</v>
      </c>
      <c r="G102" s="36">
        <f t="shared" si="19"/>
        <v>25.53</v>
      </c>
      <c r="H102" s="230">
        <v>9</v>
      </c>
      <c r="I102" s="35">
        <v>0</v>
      </c>
      <c r="J102" s="35">
        <v>0</v>
      </c>
      <c r="K102" s="35">
        <v>0</v>
      </c>
      <c r="L102" s="230">
        <v>10</v>
      </c>
      <c r="M102" s="35">
        <v>0</v>
      </c>
      <c r="N102" s="35"/>
      <c r="O102" s="70">
        <f>ROUND((+G102*N102)/100,0)</f>
        <v>0</v>
      </c>
      <c r="P102" s="35">
        <v>0</v>
      </c>
      <c r="Q102" s="230">
        <v>10</v>
      </c>
      <c r="R102" s="97">
        <f t="shared" si="21"/>
        <v>10</v>
      </c>
    </row>
    <row r="103" spans="2:18" s="34" customFormat="1" ht="12.75" customHeight="1" x14ac:dyDescent="0.2">
      <c r="B103" s="1">
        <v>567101</v>
      </c>
      <c r="C103" s="35">
        <v>18</v>
      </c>
      <c r="D103" s="35" t="s">
        <v>381</v>
      </c>
      <c r="E103" s="35">
        <v>244</v>
      </c>
      <c r="F103" s="35">
        <v>381</v>
      </c>
      <c r="G103" s="36">
        <f t="shared" si="19"/>
        <v>84.582000000000008</v>
      </c>
      <c r="H103" s="230">
        <v>50</v>
      </c>
      <c r="I103" s="35">
        <v>0</v>
      </c>
      <c r="J103" s="70">
        <v>0</v>
      </c>
      <c r="K103" s="70">
        <v>0</v>
      </c>
      <c r="L103" s="230">
        <v>55</v>
      </c>
      <c r="M103" s="35">
        <v>0</v>
      </c>
      <c r="N103" s="35"/>
      <c r="O103" s="70">
        <f>ROUND((+G103*N103)/100,0)</f>
        <v>0</v>
      </c>
      <c r="P103" s="70">
        <f>IF(M103&gt;O103,+M103-O103,0)</f>
        <v>0</v>
      </c>
      <c r="Q103" s="230">
        <v>57</v>
      </c>
      <c r="R103" s="85">
        <f t="shared" si="21"/>
        <v>57</v>
      </c>
    </row>
    <row r="104" spans="2:18" s="34" customFormat="1" ht="12.75" customHeight="1" x14ac:dyDescent="0.2">
      <c r="B104" s="40"/>
      <c r="C104" s="41"/>
      <c r="D104" s="41"/>
      <c r="E104" s="98"/>
      <c r="F104" s="41"/>
      <c r="G104" s="93"/>
      <c r="H104" s="41"/>
      <c r="I104" s="41"/>
      <c r="J104" s="99"/>
      <c r="K104" s="99"/>
      <c r="L104" s="42"/>
      <c r="M104" s="41"/>
      <c r="N104" s="41"/>
      <c r="O104" s="41"/>
      <c r="P104" s="5"/>
      <c r="Q104" s="267"/>
      <c r="R104" s="86"/>
    </row>
    <row r="105" spans="2:18" ht="12.75" customHeight="1" x14ac:dyDescent="0.2">
      <c r="B105" s="46" t="s">
        <v>37</v>
      </c>
      <c r="C105" s="47"/>
      <c r="D105" s="47">
        <f>COUNTA(B87:B103)</f>
        <v>17</v>
      </c>
      <c r="E105" s="100">
        <f t="shared" ref="E105:R105" si="23">SUM(E87:E103)</f>
        <v>1478</v>
      </c>
      <c r="F105" s="100">
        <f t="shared" si="23"/>
        <v>2366</v>
      </c>
      <c r="G105" s="88">
        <f t="shared" si="23"/>
        <v>525.25199999999995</v>
      </c>
      <c r="H105" s="88">
        <f t="shared" si="23"/>
        <v>265</v>
      </c>
      <c r="I105" s="88">
        <f t="shared" si="23"/>
        <v>0</v>
      </c>
      <c r="J105" s="88">
        <f t="shared" si="23"/>
        <v>0</v>
      </c>
      <c r="K105" s="88">
        <f t="shared" si="23"/>
        <v>0</v>
      </c>
      <c r="L105" s="88">
        <f t="shared" si="23"/>
        <v>295</v>
      </c>
      <c r="M105" s="88">
        <f t="shared" si="23"/>
        <v>0</v>
      </c>
      <c r="N105" s="88">
        <f t="shared" si="23"/>
        <v>0</v>
      </c>
      <c r="O105" s="88">
        <f t="shared" si="23"/>
        <v>0</v>
      </c>
      <c r="P105" s="88">
        <f t="shared" si="23"/>
        <v>0</v>
      </c>
      <c r="Q105" s="249">
        <f t="shared" si="23"/>
        <v>281</v>
      </c>
      <c r="R105" s="88">
        <f t="shared" si="23"/>
        <v>281</v>
      </c>
    </row>
    <row r="106" spans="2:18" ht="15.75" customHeight="1" x14ac:dyDescent="0.2">
      <c r="B106" s="224" t="s">
        <v>490</v>
      </c>
      <c r="C106" s="101"/>
      <c r="D106" s="102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78"/>
    </row>
    <row r="107" spans="2:18" x14ac:dyDescent="0.2">
      <c r="B107" s="103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104"/>
      <c r="O107" s="104"/>
      <c r="P107" s="104"/>
      <c r="Q107" s="247" t="s">
        <v>39</v>
      </c>
      <c r="R107" s="96">
        <f>R105+R106</f>
        <v>281</v>
      </c>
    </row>
    <row r="108" spans="2:18" ht="12.75" customHeight="1" x14ac:dyDescent="0.2">
      <c r="B108" s="105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6"/>
    </row>
    <row r="109" spans="2:18" ht="12.75" customHeight="1" x14ac:dyDescent="0.2">
      <c r="B109" s="80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104"/>
      <c r="R109" s="59"/>
    </row>
    <row r="110" spans="2:18" s="34" customFormat="1" ht="15.75" customHeight="1" x14ac:dyDescent="0.2">
      <c r="B110" s="63" t="s">
        <v>33</v>
      </c>
      <c r="C110" s="107"/>
      <c r="D110" s="32"/>
      <c r="E110" s="32"/>
      <c r="F110" s="32"/>
      <c r="G110" s="32"/>
      <c r="H110" s="61"/>
      <c r="I110" s="32"/>
      <c r="J110" s="32"/>
      <c r="K110" s="32"/>
      <c r="L110" s="61"/>
      <c r="M110" s="32"/>
      <c r="N110" s="32"/>
      <c r="O110" s="32"/>
      <c r="P110" s="32"/>
      <c r="Q110" s="35"/>
      <c r="R110" s="61"/>
    </row>
    <row r="111" spans="2:18" s="34" customFormat="1" ht="12.75" customHeight="1" x14ac:dyDescent="0.2">
      <c r="B111" s="63"/>
      <c r="C111" s="64" t="s">
        <v>61</v>
      </c>
      <c r="D111" s="108"/>
      <c r="E111" s="32"/>
      <c r="F111" s="32"/>
      <c r="G111" s="32"/>
      <c r="H111" s="32"/>
      <c r="I111" s="32"/>
      <c r="J111" s="66"/>
      <c r="K111" s="66"/>
      <c r="L111" s="32"/>
      <c r="M111" s="32"/>
      <c r="N111" s="32"/>
      <c r="O111" s="32"/>
      <c r="P111" s="32"/>
      <c r="Q111" s="35"/>
      <c r="R111" s="32"/>
    </row>
    <row r="112" spans="2:18" s="34" customFormat="1" ht="12.75" customHeight="1" x14ac:dyDescent="0.2">
      <c r="B112" s="63"/>
      <c r="C112" s="32"/>
      <c r="D112" s="32"/>
      <c r="E112" s="41"/>
      <c r="F112" s="41"/>
      <c r="G112" s="32"/>
      <c r="H112" s="32"/>
      <c r="I112" s="32"/>
      <c r="J112" s="66"/>
      <c r="K112" s="66"/>
      <c r="L112" s="32"/>
      <c r="M112" s="32"/>
      <c r="N112" s="32"/>
      <c r="O112" s="32"/>
      <c r="P112" s="32"/>
      <c r="Q112" s="35"/>
      <c r="R112" s="32"/>
    </row>
    <row r="113" spans="2:18" ht="12.75" customHeight="1" x14ac:dyDescent="0.2">
      <c r="B113" s="30"/>
      <c r="C113" s="31"/>
      <c r="D113" s="31"/>
      <c r="E113" s="32"/>
      <c r="F113" s="32"/>
      <c r="G113" s="31"/>
      <c r="H113" s="31"/>
      <c r="I113" s="31"/>
      <c r="J113" s="68"/>
      <c r="K113" s="68"/>
      <c r="L113" s="31"/>
      <c r="M113" s="31"/>
      <c r="N113" s="31"/>
      <c r="O113" s="31"/>
      <c r="P113" s="31"/>
      <c r="Q113" s="77"/>
      <c r="R113" s="33"/>
    </row>
    <row r="114" spans="2:18" ht="12.75" customHeight="1" x14ac:dyDescent="0.2">
      <c r="B114" s="1">
        <v>50101</v>
      </c>
      <c r="C114" s="35">
        <v>12</v>
      </c>
      <c r="D114" s="35" t="s">
        <v>62</v>
      </c>
      <c r="E114" s="35">
        <v>74</v>
      </c>
      <c r="F114" s="35">
        <v>124</v>
      </c>
      <c r="G114" s="36">
        <f t="shared" ref="G114:G126" si="24">F114*0.666*24/72</f>
        <v>27.528000000000002</v>
      </c>
      <c r="H114" s="230">
        <v>14</v>
      </c>
      <c r="I114" s="35">
        <v>0</v>
      </c>
      <c r="J114" s="84">
        <v>0</v>
      </c>
      <c r="K114" s="84">
        <v>0</v>
      </c>
      <c r="L114" s="230">
        <v>19</v>
      </c>
      <c r="M114" s="35">
        <v>0</v>
      </c>
      <c r="N114" s="35"/>
      <c r="O114" s="70">
        <f t="shared" ref="O114:O126" si="25">ROUND((+G114*N114)/100,0)</f>
        <v>0</v>
      </c>
      <c r="P114" s="70">
        <f t="shared" ref="P114:P126" si="26">IF(M114&gt;O114,+M114-O114,0)</f>
        <v>0</v>
      </c>
      <c r="Q114" s="230">
        <v>10</v>
      </c>
      <c r="R114" s="85">
        <f t="shared" ref="R114:R126" si="27">Q114</f>
        <v>10</v>
      </c>
    </row>
    <row r="115" spans="2:18" ht="12.75" customHeight="1" x14ac:dyDescent="0.2">
      <c r="B115" s="1">
        <v>105103</v>
      </c>
      <c r="C115" s="35">
        <v>107</v>
      </c>
      <c r="D115" s="35" t="s">
        <v>63</v>
      </c>
      <c r="E115" s="35">
        <v>126</v>
      </c>
      <c r="F115" s="35">
        <v>213</v>
      </c>
      <c r="G115" s="36">
        <f t="shared" si="24"/>
        <v>47.286000000000001</v>
      </c>
      <c r="H115" s="230">
        <v>35</v>
      </c>
      <c r="I115" s="35">
        <v>0</v>
      </c>
      <c r="J115" s="84">
        <v>0</v>
      </c>
      <c r="K115" s="84">
        <v>0</v>
      </c>
      <c r="L115" s="230">
        <v>36</v>
      </c>
      <c r="M115" s="35">
        <v>0</v>
      </c>
      <c r="N115" s="35"/>
      <c r="O115" s="70">
        <f t="shared" si="25"/>
        <v>0</v>
      </c>
      <c r="P115" s="70">
        <f t="shared" si="26"/>
        <v>0</v>
      </c>
      <c r="Q115" s="230">
        <v>37</v>
      </c>
      <c r="R115" s="85">
        <f t="shared" si="27"/>
        <v>37</v>
      </c>
    </row>
    <row r="116" spans="2:18" ht="12.75" customHeight="1" x14ac:dyDescent="0.2">
      <c r="B116" s="1">
        <v>105104</v>
      </c>
      <c r="C116" s="35">
        <v>40</v>
      </c>
      <c r="D116" s="35" t="s">
        <v>64</v>
      </c>
      <c r="E116" s="35">
        <v>85</v>
      </c>
      <c r="F116" s="35">
        <v>116</v>
      </c>
      <c r="G116" s="36">
        <f t="shared" si="24"/>
        <v>25.751999999999999</v>
      </c>
      <c r="H116" s="230">
        <v>20</v>
      </c>
      <c r="I116" s="35">
        <v>0</v>
      </c>
      <c r="J116" s="84">
        <v>0</v>
      </c>
      <c r="K116" s="84">
        <v>0</v>
      </c>
      <c r="L116" s="230">
        <v>21</v>
      </c>
      <c r="M116" s="35">
        <v>0</v>
      </c>
      <c r="N116" s="35"/>
      <c r="O116" s="70">
        <f t="shared" si="25"/>
        <v>0</v>
      </c>
      <c r="P116" s="70">
        <f t="shared" si="26"/>
        <v>0</v>
      </c>
      <c r="Q116" s="230">
        <v>15</v>
      </c>
      <c r="R116" s="85">
        <f t="shared" si="27"/>
        <v>15</v>
      </c>
    </row>
    <row r="117" spans="2:18" ht="12.75" customHeight="1" x14ac:dyDescent="0.2">
      <c r="B117" s="1">
        <v>110102</v>
      </c>
      <c r="C117" s="35">
        <v>19</v>
      </c>
      <c r="D117" s="35" t="s">
        <v>65</v>
      </c>
      <c r="E117" s="35">
        <v>82</v>
      </c>
      <c r="F117" s="35">
        <v>102</v>
      </c>
      <c r="G117" s="36">
        <f t="shared" si="24"/>
        <v>22.643999999999998</v>
      </c>
      <c r="H117" s="230">
        <v>9</v>
      </c>
      <c r="I117" s="35">
        <v>0</v>
      </c>
      <c r="J117" s="84">
        <v>0</v>
      </c>
      <c r="K117" s="84">
        <v>0</v>
      </c>
      <c r="L117" s="230">
        <v>10</v>
      </c>
      <c r="M117" s="35">
        <v>0</v>
      </c>
      <c r="N117" s="35"/>
      <c r="O117" s="70">
        <f t="shared" si="25"/>
        <v>0</v>
      </c>
      <c r="P117" s="70">
        <f t="shared" si="26"/>
        <v>0</v>
      </c>
      <c r="Q117" s="230">
        <v>11</v>
      </c>
      <c r="R117" s="85">
        <f t="shared" si="27"/>
        <v>11</v>
      </c>
    </row>
    <row r="118" spans="2:18" ht="12.75" customHeight="1" x14ac:dyDescent="0.2">
      <c r="B118" s="1">
        <v>119101</v>
      </c>
      <c r="C118" s="35">
        <v>23</v>
      </c>
      <c r="D118" s="35" t="s">
        <v>66</v>
      </c>
      <c r="E118" s="35">
        <v>71</v>
      </c>
      <c r="F118" s="35">
        <v>89</v>
      </c>
      <c r="G118" s="36">
        <f t="shared" si="24"/>
        <v>19.757999999999999</v>
      </c>
      <c r="H118" s="230">
        <v>11</v>
      </c>
      <c r="I118" s="35">
        <v>0</v>
      </c>
      <c r="J118" s="84">
        <v>0</v>
      </c>
      <c r="K118" s="84">
        <v>0</v>
      </c>
      <c r="L118" s="230">
        <v>11</v>
      </c>
      <c r="M118" s="35">
        <v>0</v>
      </c>
      <c r="N118" s="35"/>
      <c r="O118" s="70">
        <f t="shared" si="25"/>
        <v>0</v>
      </c>
      <c r="P118" s="35">
        <f t="shared" si="26"/>
        <v>0</v>
      </c>
      <c r="Q118" s="230">
        <v>12</v>
      </c>
      <c r="R118" s="97">
        <f t="shared" si="27"/>
        <v>12</v>
      </c>
    </row>
    <row r="119" spans="2:18" ht="12.75" customHeight="1" x14ac:dyDescent="0.2">
      <c r="B119" s="1">
        <v>127102</v>
      </c>
      <c r="C119" s="35">
        <v>22</v>
      </c>
      <c r="D119" s="35" t="s">
        <v>67</v>
      </c>
      <c r="E119" s="35">
        <v>55</v>
      </c>
      <c r="F119" s="35">
        <v>61</v>
      </c>
      <c r="G119" s="36">
        <f t="shared" si="24"/>
        <v>13.542000000000002</v>
      </c>
      <c r="H119" s="230">
        <v>4</v>
      </c>
      <c r="I119" s="35">
        <v>0</v>
      </c>
      <c r="J119" s="84">
        <v>0</v>
      </c>
      <c r="K119" s="84">
        <v>0</v>
      </c>
      <c r="L119" s="230">
        <v>4</v>
      </c>
      <c r="M119" s="35">
        <v>0</v>
      </c>
      <c r="N119" s="35"/>
      <c r="O119" s="70">
        <f t="shared" si="25"/>
        <v>0</v>
      </c>
      <c r="P119" s="35">
        <f t="shared" si="26"/>
        <v>0</v>
      </c>
      <c r="Q119" s="230">
        <v>2</v>
      </c>
      <c r="R119" s="97">
        <f t="shared" si="27"/>
        <v>2</v>
      </c>
    </row>
    <row r="120" spans="2:18" ht="12.75" customHeight="1" x14ac:dyDescent="0.2">
      <c r="B120" s="1">
        <v>127103</v>
      </c>
      <c r="C120" s="35">
        <v>104</v>
      </c>
      <c r="D120" s="35" t="s">
        <v>452</v>
      </c>
      <c r="E120" s="35">
        <v>83</v>
      </c>
      <c r="F120" s="35">
        <v>119</v>
      </c>
      <c r="G120" s="36">
        <f t="shared" ref="G120" si="28">F120*0.666*24/72</f>
        <v>26.417999999999999</v>
      </c>
      <c r="H120" s="230">
        <v>15</v>
      </c>
      <c r="I120" s="35">
        <v>0</v>
      </c>
      <c r="J120" s="84">
        <v>0</v>
      </c>
      <c r="K120" s="84">
        <v>0</v>
      </c>
      <c r="L120" s="230">
        <v>15</v>
      </c>
      <c r="M120" s="35">
        <v>0</v>
      </c>
      <c r="N120" s="35"/>
      <c r="O120" s="70">
        <f t="shared" ref="O120" si="29">ROUND((+G120*N120)/100,0)</f>
        <v>0</v>
      </c>
      <c r="P120" s="35">
        <f t="shared" ref="P120" si="30">IF(M120&gt;O120,+M120-O120,0)</f>
        <v>0</v>
      </c>
      <c r="Q120" s="230">
        <v>18</v>
      </c>
      <c r="R120" s="97">
        <f t="shared" ref="R120" si="31">Q120</f>
        <v>18</v>
      </c>
    </row>
    <row r="121" spans="2:18" ht="12.75" customHeight="1" x14ac:dyDescent="0.2">
      <c r="B121" s="1">
        <v>208101</v>
      </c>
      <c r="C121" s="35">
        <v>34</v>
      </c>
      <c r="D121" s="35" t="s">
        <v>68</v>
      </c>
      <c r="E121" s="35">
        <v>216</v>
      </c>
      <c r="F121" s="35">
        <v>306</v>
      </c>
      <c r="G121" s="36">
        <f t="shared" si="24"/>
        <v>67.932000000000002</v>
      </c>
      <c r="H121" s="230">
        <v>35</v>
      </c>
      <c r="I121" s="35">
        <v>0</v>
      </c>
      <c r="J121" s="84">
        <v>0</v>
      </c>
      <c r="K121" s="84">
        <v>0</v>
      </c>
      <c r="L121" s="230">
        <v>45</v>
      </c>
      <c r="M121" s="35">
        <v>0</v>
      </c>
      <c r="N121" s="35"/>
      <c r="O121" s="70">
        <f t="shared" si="25"/>
        <v>0</v>
      </c>
      <c r="P121" s="35">
        <f t="shared" si="26"/>
        <v>0</v>
      </c>
      <c r="Q121" s="230">
        <v>47</v>
      </c>
      <c r="R121" s="97">
        <f t="shared" si="27"/>
        <v>47</v>
      </c>
    </row>
    <row r="122" spans="2:18" ht="12.75" customHeight="1" x14ac:dyDescent="0.2">
      <c r="B122" s="1">
        <v>210108</v>
      </c>
      <c r="C122" s="35">
        <v>63</v>
      </c>
      <c r="D122" s="35" t="s">
        <v>406</v>
      </c>
      <c r="E122" s="35">
        <v>95</v>
      </c>
      <c r="F122" s="35">
        <v>108</v>
      </c>
      <c r="G122" s="36">
        <f t="shared" si="24"/>
        <v>23.975999999999999</v>
      </c>
      <c r="H122" s="230">
        <v>10</v>
      </c>
      <c r="I122" s="35">
        <v>0</v>
      </c>
      <c r="J122" s="84">
        <v>0</v>
      </c>
      <c r="K122" s="84">
        <v>0</v>
      </c>
      <c r="L122" s="230">
        <v>10</v>
      </c>
      <c r="M122" s="35">
        <v>0</v>
      </c>
      <c r="N122" s="35"/>
      <c r="O122" s="70">
        <f>ROUND((+G122*N122)/100,0)</f>
        <v>0</v>
      </c>
      <c r="P122" s="35">
        <f>IF(M122&gt;O122,+M122-O122,0)</f>
        <v>0</v>
      </c>
      <c r="Q122" s="230">
        <v>11</v>
      </c>
      <c r="R122" s="97">
        <f>Q122</f>
        <v>11</v>
      </c>
    </row>
    <row r="123" spans="2:18" ht="12.75" customHeight="1" x14ac:dyDescent="0.2">
      <c r="B123" s="1">
        <v>210109</v>
      </c>
      <c r="C123" s="35">
        <v>96</v>
      </c>
      <c r="D123" s="35" t="s">
        <v>456</v>
      </c>
      <c r="E123" s="35">
        <v>124</v>
      </c>
      <c r="F123" s="35">
        <v>149</v>
      </c>
      <c r="G123" s="36">
        <f t="shared" ref="G123" si="32">F123*0.666*24/72</f>
        <v>33.078000000000003</v>
      </c>
      <c r="H123" s="230">
        <v>32</v>
      </c>
      <c r="I123" s="35">
        <v>0</v>
      </c>
      <c r="J123" s="84">
        <v>0</v>
      </c>
      <c r="K123" s="84">
        <v>0</v>
      </c>
      <c r="L123" s="230">
        <v>33</v>
      </c>
      <c r="M123" s="35">
        <v>0</v>
      </c>
      <c r="N123" s="35"/>
      <c r="O123" s="70">
        <f>ROUND((+G123*N123)/100,0)</f>
        <v>0</v>
      </c>
      <c r="P123" s="35">
        <f>IF(M123&gt;O123,+M123-O123,0)</f>
        <v>0</v>
      </c>
      <c r="Q123" s="230">
        <v>32</v>
      </c>
      <c r="R123" s="97">
        <f>Q123</f>
        <v>32</v>
      </c>
    </row>
    <row r="124" spans="2:18" ht="12.75" customHeight="1" x14ac:dyDescent="0.2">
      <c r="B124" s="1">
        <v>218102</v>
      </c>
      <c r="C124" s="35">
        <v>28</v>
      </c>
      <c r="D124" s="35" t="s">
        <v>69</v>
      </c>
      <c r="E124" s="35">
        <v>40</v>
      </c>
      <c r="F124" s="35">
        <v>52</v>
      </c>
      <c r="G124" s="36">
        <f t="shared" si="24"/>
        <v>11.544000000000002</v>
      </c>
      <c r="H124" s="230">
        <v>6</v>
      </c>
      <c r="I124" s="35">
        <v>0</v>
      </c>
      <c r="J124" s="84">
        <v>0</v>
      </c>
      <c r="K124" s="84">
        <v>0</v>
      </c>
      <c r="L124" s="230">
        <v>6</v>
      </c>
      <c r="M124" s="35">
        <v>0</v>
      </c>
      <c r="N124" s="35"/>
      <c r="O124" s="70">
        <f t="shared" si="25"/>
        <v>0</v>
      </c>
      <c r="P124" s="35">
        <f t="shared" si="26"/>
        <v>0</v>
      </c>
      <c r="Q124" s="230">
        <v>6</v>
      </c>
      <c r="R124" s="97">
        <f t="shared" si="27"/>
        <v>6</v>
      </c>
    </row>
    <row r="125" spans="2:18" ht="12.75" customHeight="1" x14ac:dyDescent="0.2">
      <c r="B125" s="1">
        <v>252101</v>
      </c>
      <c r="C125" s="35">
        <v>20</v>
      </c>
      <c r="D125" s="35" t="s">
        <v>70</v>
      </c>
      <c r="E125" s="35">
        <v>36</v>
      </c>
      <c r="F125" s="35">
        <v>50</v>
      </c>
      <c r="G125" s="36">
        <f>F125*0.666*24/72</f>
        <v>11.100000000000001</v>
      </c>
      <c r="H125" s="230">
        <v>4</v>
      </c>
      <c r="I125" s="35">
        <v>0</v>
      </c>
      <c r="J125" s="84">
        <v>0</v>
      </c>
      <c r="K125" s="84">
        <v>0</v>
      </c>
      <c r="L125" s="230">
        <v>4</v>
      </c>
      <c r="M125" s="35">
        <v>0</v>
      </c>
      <c r="N125" s="35"/>
      <c r="O125" s="70">
        <f>ROUND((+G125*N125)/100,0)</f>
        <v>0</v>
      </c>
      <c r="P125" s="70">
        <f>IF(M125&gt;O125,+M125-O125,0)</f>
        <v>0</v>
      </c>
      <c r="Q125" s="230">
        <v>4</v>
      </c>
      <c r="R125" s="85">
        <f>Q125</f>
        <v>4</v>
      </c>
    </row>
    <row r="126" spans="2:18" ht="12.75" customHeight="1" x14ac:dyDescent="0.2">
      <c r="B126" s="1">
        <v>430102</v>
      </c>
      <c r="C126" s="35">
        <v>43</v>
      </c>
      <c r="D126" s="35" t="s">
        <v>443</v>
      </c>
      <c r="E126" s="35">
        <v>41</v>
      </c>
      <c r="F126" s="35">
        <v>52</v>
      </c>
      <c r="G126" s="36">
        <f t="shared" si="24"/>
        <v>11.544000000000002</v>
      </c>
      <c r="H126" s="230">
        <v>9</v>
      </c>
      <c r="I126" s="35">
        <v>0</v>
      </c>
      <c r="J126" s="84">
        <v>0</v>
      </c>
      <c r="K126" s="84">
        <v>0</v>
      </c>
      <c r="L126" s="230">
        <v>0</v>
      </c>
      <c r="M126" s="35">
        <v>0</v>
      </c>
      <c r="N126" s="35"/>
      <c r="O126" s="70">
        <f t="shared" si="25"/>
        <v>0</v>
      </c>
      <c r="P126" s="70">
        <f t="shared" si="26"/>
        <v>0</v>
      </c>
      <c r="Q126" s="230">
        <v>9</v>
      </c>
      <c r="R126" s="85">
        <f t="shared" si="27"/>
        <v>9</v>
      </c>
    </row>
    <row r="127" spans="2:18" ht="12.75" customHeight="1" x14ac:dyDescent="0.2">
      <c r="B127" s="40"/>
      <c r="C127" s="41"/>
      <c r="D127" s="41"/>
      <c r="E127" s="41"/>
      <c r="F127" s="41"/>
      <c r="G127" s="93"/>
      <c r="H127" s="41"/>
      <c r="I127" s="41"/>
      <c r="J127" s="99"/>
      <c r="K127" s="99"/>
      <c r="L127" s="251"/>
      <c r="M127" s="41"/>
      <c r="N127" s="41"/>
      <c r="O127" s="41"/>
      <c r="Q127" s="251"/>
      <c r="R127" s="95"/>
    </row>
    <row r="128" spans="2:18" s="34" customFormat="1" ht="12.75" customHeight="1" x14ac:dyDescent="0.2">
      <c r="B128" s="46" t="s">
        <v>37</v>
      </c>
      <c r="C128" s="47"/>
      <c r="D128" s="47">
        <f>COUNTA(B114:B126)</f>
        <v>13</v>
      </c>
      <c r="E128" s="87">
        <f t="shared" ref="E128:R128" si="33">SUM(E114:E126)</f>
        <v>1128</v>
      </c>
      <c r="F128" s="87">
        <f t="shared" si="33"/>
        <v>1541</v>
      </c>
      <c r="G128" s="88">
        <f t="shared" si="33"/>
        <v>342.10199999999998</v>
      </c>
      <c r="H128" s="88">
        <f t="shared" si="33"/>
        <v>204</v>
      </c>
      <c r="I128" s="88">
        <f t="shared" si="33"/>
        <v>0</v>
      </c>
      <c r="J128" s="88">
        <f t="shared" si="33"/>
        <v>0</v>
      </c>
      <c r="K128" s="88">
        <f t="shared" si="33"/>
        <v>0</v>
      </c>
      <c r="L128" s="88">
        <f t="shared" si="33"/>
        <v>214</v>
      </c>
      <c r="M128" s="88">
        <f t="shared" si="33"/>
        <v>0</v>
      </c>
      <c r="N128" s="88">
        <f t="shared" si="33"/>
        <v>0</v>
      </c>
      <c r="O128" s="88">
        <f t="shared" si="33"/>
        <v>0</v>
      </c>
      <c r="P128" s="88">
        <f t="shared" si="33"/>
        <v>0</v>
      </c>
      <c r="Q128" s="249">
        <f t="shared" si="33"/>
        <v>214</v>
      </c>
      <c r="R128" s="88">
        <f t="shared" si="33"/>
        <v>214</v>
      </c>
    </row>
    <row r="129" spans="2:18" ht="16.5" customHeight="1" x14ac:dyDescent="0.2">
      <c r="B129" s="109" t="s">
        <v>486</v>
      </c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246">
        <v>0</v>
      </c>
      <c r="R129" s="92"/>
    </row>
    <row r="130" spans="2:18" ht="12.75" customHeight="1" x14ac:dyDescent="0.2">
      <c r="B130" s="110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5"/>
      <c r="N130" s="111"/>
      <c r="O130" s="111"/>
      <c r="P130" s="111"/>
      <c r="Q130" s="247" t="s">
        <v>39</v>
      </c>
      <c r="R130" s="96">
        <f>+R128+R129</f>
        <v>214</v>
      </c>
    </row>
    <row r="131" spans="2:18" ht="12.75" customHeight="1" x14ac:dyDescent="0.2">
      <c r="B131" s="80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104"/>
      <c r="R131" s="59"/>
    </row>
    <row r="132" spans="2:18" ht="12.75" customHeight="1" x14ac:dyDescent="0.2">
      <c r="B132" s="80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104"/>
      <c r="R132" s="59"/>
    </row>
    <row r="133" spans="2:18" ht="18" customHeight="1" x14ac:dyDescent="0.2">
      <c r="B133" s="63" t="s">
        <v>33</v>
      </c>
      <c r="C133" s="32"/>
      <c r="D133" s="32"/>
      <c r="E133" s="32"/>
      <c r="F133" s="32"/>
      <c r="G133" s="32"/>
      <c r="H133" s="61"/>
      <c r="I133" s="32"/>
      <c r="J133" s="32"/>
      <c r="K133" s="32"/>
      <c r="L133" s="61"/>
      <c r="M133" s="32"/>
      <c r="N133" s="32"/>
      <c r="O133" s="32"/>
      <c r="P133" s="32"/>
      <c r="Q133" s="261"/>
      <c r="R133" s="59"/>
    </row>
    <row r="134" spans="2:18" ht="12.75" customHeight="1" x14ac:dyDescent="0.2">
      <c r="B134" s="63"/>
      <c r="C134" s="64" t="s">
        <v>71</v>
      </c>
      <c r="D134" s="65"/>
      <c r="E134" s="65"/>
      <c r="F134" s="32"/>
      <c r="G134" s="32"/>
      <c r="H134" s="32"/>
      <c r="I134" s="32"/>
      <c r="J134" s="66"/>
      <c r="K134" s="66"/>
      <c r="L134" s="32"/>
      <c r="M134" s="32"/>
      <c r="N134" s="32"/>
      <c r="O134" s="32"/>
      <c r="P134" s="32"/>
      <c r="Q134" s="35"/>
      <c r="R134" s="32"/>
    </row>
    <row r="135" spans="2:18" ht="12.75" customHeight="1" x14ac:dyDescent="0.2">
      <c r="B135" s="63"/>
      <c r="C135" s="32"/>
      <c r="D135" s="32"/>
      <c r="E135" s="41"/>
      <c r="F135" s="41"/>
      <c r="G135" s="32"/>
      <c r="H135" s="32"/>
      <c r="I135" s="32"/>
      <c r="J135" s="66"/>
      <c r="K135" s="66"/>
      <c r="L135" s="32"/>
      <c r="M135" s="32"/>
      <c r="N135" s="32"/>
      <c r="O135" s="32"/>
      <c r="P135" s="32"/>
      <c r="Q135" s="35"/>
      <c r="R135" s="32"/>
    </row>
    <row r="136" spans="2:18" ht="12.75" customHeight="1" x14ac:dyDescent="0.2">
      <c r="B136" s="30"/>
      <c r="C136" s="31"/>
      <c r="D136" s="31"/>
      <c r="E136" s="32"/>
      <c r="F136" s="32"/>
      <c r="G136" s="31"/>
      <c r="H136" s="31"/>
      <c r="I136" s="31"/>
      <c r="J136" s="68"/>
      <c r="K136" s="68"/>
      <c r="L136" s="31"/>
      <c r="M136" s="31"/>
      <c r="N136" s="31"/>
      <c r="O136" s="31"/>
      <c r="P136" s="31"/>
      <c r="Q136" s="77"/>
      <c r="R136" s="33"/>
    </row>
    <row r="137" spans="2:18" ht="12.75" customHeight="1" x14ac:dyDescent="0.2">
      <c r="B137" s="1">
        <v>16106</v>
      </c>
      <c r="C137" s="35">
        <v>22</v>
      </c>
      <c r="D137" s="35" t="s">
        <v>72</v>
      </c>
      <c r="E137" s="35">
        <v>93</v>
      </c>
      <c r="F137" s="35">
        <v>135</v>
      </c>
      <c r="G137" s="36">
        <f t="shared" ref="G137:G148" si="34">F137*0.666*24/72</f>
        <v>29.970000000000002</v>
      </c>
      <c r="H137" s="35">
        <v>16</v>
      </c>
      <c r="I137" s="32">
        <v>0</v>
      </c>
      <c r="J137" s="66">
        <v>0</v>
      </c>
      <c r="K137" s="66">
        <v>0</v>
      </c>
      <c r="L137" s="35">
        <v>16</v>
      </c>
      <c r="M137" s="32">
        <v>0</v>
      </c>
      <c r="N137" s="35"/>
      <c r="O137" s="35">
        <f t="shared" ref="O137:O148" si="35">ROUND((+G137*N137)/100,0)</f>
        <v>0</v>
      </c>
      <c r="P137" s="32">
        <v>0</v>
      </c>
      <c r="Q137" s="35">
        <v>16</v>
      </c>
      <c r="R137" s="85">
        <f t="shared" ref="R137:R148" si="36">Q137</f>
        <v>16</v>
      </c>
    </row>
    <row r="138" spans="2:18" ht="12.75" customHeight="1" x14ac:dyDescent="0.2">
      <c r="B138" s="1">
        <v>16108</v>
      </c>
      <c r="C138" s="35">
        <v>21</v>
      </c>
      <c r="D138" s="35" t="s">
        <v>73</v>
      </c>
      <c r="E138" s="35">
        <v>26</v>
      </c>
      <c r="F138" s="35">
        <v>37</v>
      </c>
      <c r="G138" s="36">
        <f t="shared" si="34"/>
        <v>8.2140000000000022</v>
      </c>
      <c r="H138" s="35">
        <v>4</v>
      </c>
      <c r="I138" s="32">
        <v>0</v>
      </c>
      <c r="J138" s="66">
        <v>0</v>
      </c>
      <c r="K138" s="66">
        <v>0</v>
      </c>
      <c r="L138" s="35">
        <v>4</v>
      </c>
      <c r="M138" s="32">
        <v>0</v>
      </c>
      <c r="N138" s="35"/>
      <c r="O138" s="35">
        <f t="shared" si="35"/>
        <v>0</v>
      </c>
      <c r="P138" s="32">
        <v>0</v>
      </c>
      <c r="Q138" s="35">
        <v>4</v>
      </c>
      <c r="R138" s="85">
        <f t="shared" si="36"/>
        <v>4</v>
      </c>
    </row>
    <row r="139" spans="2:18" ht="12.75" customHeight="1" x14ac:dyDescent="0.2">
      <c r="B139" s="1">
        <v>65101</v>
      </c>
      <c r="C139" s="35">
        <v>111</v>
      </c>
      <c r="D139" s="35" t="s">
        <v>74</v>
      </c>
      <c r="E139" s="35">
        <v>53</v>
      </c>
      <c r="F139" s="35">
        <v>82</v>
      </c>
      <c r="G139" s="36">
        <f t="shared" si="34"/>
        <v>18.204000000000001</v>
      </c>
      <c r="H139" s="35">
        <v>16</v>
      </c>
      <c r="I139" s="32">
        <v>0</v>
      </c>
      <c r="J139" s="66">
        <v>0</v>
      </c>
      <c r="K139" s="66">
        <v>0</v>
      </c>
      <c r="L139" s="35">
        <v>16</v>
      </c>
      <c r="M139" s="32">
        <v>0</v>
      </c>
      <c r="N139" s="35"/>
      <c r="O139" s="35">
        <f t="shared" si="35"/>
        <v>0</v>
      </c>
      <c r="P139" s="32">
        <v>0</v>
      </c>
      <c r="Q139" s="35">
        <v>16</v>
      </c>
      <c r="R139" s="85">
        <f t="shared" si="36"/>
        <v>16</v>
      </c>
    </row>
    <row r="140" spans="2:18" ht="12.75" customHeight="1" x14ac:dyDescent="0.2">
      <c r="B140" s="2">
        <v>120099</v>
      </c>
      <c r="C140" s="32">
        <v>51</v>
      </c>
      <c r="D140" s="32" t="s">
        <v>75</v>
      </c>
      <c r="E140" s="35">
        <v>196</v>
      </c>
      <c r="F140" s="35">
        <v>396</v>
      </c>
      <c r="G140" s="36">
        <f t="shared" si="34"/>
        <v>87.911999999999992</v>
      </c>
      <c r="H140" s="35">
        <v>70</v>
      </c>
      <c r="I140" s="32">
        <v>0</v>
      </c>
      <c r="J140" s="66">
        <v>0</v>
      </c>
      <c r="K140" s="66">
        <v>0</v>
      </c>
      <c r="L140" s="35">
        <v>70</v>
      </c>
      <c r="M140" s="32">
        <v>0</v>
      </c>
      <c r="N140" s="32"/>
      <c r="O140" s="35">
        <f t="shared" si="35"/>
        <v>0</v>
      </c>
      <c r="P140" s="32">
        <v>0</v>
      </c>
      <c r="Q140" s="35">
        <v>70</v>
      </c>
      <c r="R140" s="37">
        <f t="shared" si="36"/>
        <v>70</v>
      </c>
    </row>
    <row r="141" spans="2:18" ht="12.75" customHeight="1" x14ac:dyDescent="0.2">
      <c r="B141" s="2">
        <v>120172</v>
      </c>
      <c r="C141" s="32">
        <v>12</v>
      </c>
      <c r="D141" s="32" t="s">
        <v>76</v>
      </c>
      <c r="E141" s="35">
        <v>146</v>
      </c>
      <c r="F141" s="35">
        <v>224</v>
      </c>
      <c r="G141" s="36">
        <f t="shared" si="34"/>
        <v>49.728000000000002</v>
      </c>
      <c r="H141" s="35">
        <v>37</v>
      </c>
      <c r="I141" s="32">
        <v>0</v>
      </c>
      <c r="J141" s="66">
        <v>0</v>
      </c>
      <c r="K141" s="66">
        <v>0</v>
      </c>
      <c r="L141" s="35">
        <v>40</v>
      </c>
      <c r="M141" s="32">
        <v>0</v>
      </c>
      <c r="N141" s="35"/>
      <c r="O141" s="35">
        <f t="shared" si="35"/>
        <v>0</v>
      </c>
      <c r="P141" s="32">
        <v>0</v>
      </c>
      <c r="Q141" s="35">
        <v>36</v>
      </c>
      <c r="R141" s="85">
        <f t="shared" si="36"/>
        <v>36</v>
      </c>
    </row>
    <row r="142" spans="2:18" ht="12.75" customHeight="1" x14ac:dyDescent="0.2">
      <c r="B142" s="2">
        <v>120354</v>
      </c>
      <c r="C142" s="32">
        <v>10</v>
      </c>
      <c r="D142" s="32" t="s">
        <v>77</v>
      </c>
      <c r="E142" s="35">
        <v>217</v>
      </c>
      <c r="F142" s="35">
        <v>373</v>
      </c>
      <c r="G142" s="36">
        <f t="shared" si="34"/>
        <v>82.805999999999997</v>
      </c>
      <c r="H142" s="35">
        <v>48</v>
      </c>
      <c r="I142" s="32">
        <v>0</v>
      </c>
      <c r="J142" s="66">
        <v>0</v>
      </c>
      <c r="K142" s="66">
        <v>0</v>
      </c>
      <c r="L142" s="35">
        <v>32</v>
      </c>
      <c r="M142" s="32">
        <v>0</v>
      </c>
      <c r="N142" s="32"/>
      <c r="O142" s="35">
        <f t="shared" si="35"/>
        <v>0</v>
      </c>
      <c r="P142" s="32">
        <v>0</v>
      </c>
      <c r="Q142" s="35">
        <v>47</v>
      </c>
      <c r="R142" s="37">
        <f t="shared" si="36"/>
        <v>47</v>
      </c>
    </row>
    <row r="143" spans="2:18" ht="12.75" customHeight="1" x14ac:dyDescent="0.2">
      <c r="B143" s="2">
        <v>230102</v>
      </c>
      <c r="C143" s="32">
        <v>30</v>
      </c>
      <c r="D143" s="32" t="s">
        <v>78</v>
      </c>
      <c r="E143" s="35">
        <v>52</v>
      </c>
      <c r="F143" s="35">
        <v>111</v>
      </c>
      <c r="G143" s="36">
        <f t="shared" si="34"/>
        <v>24.642000000000003</v>
      </c>
      <c r="H143" s="35">
        <v>11</v>
      </c>
      <c r="I143" s="32">
        <v>0</v>
      </c>
      <c r="J143" s="66">
        <v>0</v>
      </c>
      <c r="K143" s="66">
        <v>0</v>
      </c>
      <c r="L143" s="35">
        <v>11</v>
      </c>
      <c r="M143" s="32">
        <v>0</v>
      </c>
      <c r="N143" s="35"/>
      <c r="O143" s="35">
        <f t="shared" si="35"/>
        <v>0</v>
      </c>
      <c r="P143" s="32">
        <v>0</v>
      </c>
      <c r="Q143" s="35">
        <v>10</v>
      </c>
      <c r="R143" s="85">
        <f t="shared" si="36"/>
        <v>10</v>
      </c>
    </row>
    <row r="144" spans="2:18" ht="12.75" customHeight="1" x14ac:dyDescent="0.2">
      <c r="B144" s="2">
        <v>242104</v>
      </c>
      <c r="C144" s="32">
        <v>7</v>
      </c>
      <c r="D144" s="32" t="s">
        <v>79</v>
      </c>
      <c r="E144" s="35">
        <v>159</v>
      </c>
      <c r="F144" s="35">
        <v>252</v>
      </c>
      <c r="G144" s="36">
        <f t="shared" si="34"/>
        <v>55.94400000000001</v>
      </c>
      <c r="H144" s="35">
        <v>20</v>
      </c>
      <c r="I144" s="32">
        <v>0</v>
      </c>
      <c r="J144" s="66">
        <v>0</v>
      </c>
      <c r="K144" s="66">
        <v>0</v>
      </c>
      <c r="L144" s="35">
        <v>20</v>
      </c>
      <c r="M144" s="32">
        <v>0</v>
      </c>
      <c r="N144" s="35"/>
      <c r="O144" s="35">
        <f t="shared" si="35"/>
        <v>0</v>
      </c>
      <c r="P144" s="32">
        <v>0</v>
      </c>
      <c r="Q144" s="35">
        <v>20</v>
      </c>
      <c r="R144" s="85">
        <f t="shared" si="36"/>
        <v>20</v>
      </c>
    </row>
    <row r="145" spans="2:18" ht="12.75" customHeight="1" x14ac:dyDescent="0.2">
      <c r="B145" s="1">
        <v>242105</v>
      </c>
      <c r="C145" s="35">
        <v>61</v>
      </c>
      <c r="D145" s="35" t="s">
        <v>155</v>
      </c>
      <c r="E145" s="35">
        <v>16</v>
      </c>
      <c r="F145" s="35">
        <v>20</v>
      </c>
      <c r="G145" s="36">
        <f t="shared" si="34"/>
        <v>4.4400000000000004</v>
      </c>
      <c r="H145" s="35">
        <v>2</v>
      </c>
      <c r="I145" s="32">
        <v>0</v>
      </c>
      <c r="J145" s="66">
        <v>0</v>
      </c>
      <c r="K145" s="66">
        <v>0</v>
      </c>
      <c r="L145" s="35">
        <v>2</v>
      </c>
      <c r="M145" s="32">
        <v>0</v>
      </c>
      <c r="N145" s="35"/>
      <c r="O145" s="35">
        <f t="shared" si="35"/>
        <v>0</v>
      </c>
      <c r="P145" s="32">
        <v>0</v>
      </c>
      <c r="Q145" s="35">
        <v>2</v>
      </c>
      <c r="R145" s="85">
        <f t="shared" si="36"/>
        <v>2</v>
      </c>
    </row>
    <row r="146" spans="2:18" ht="12.75" customHeight="1" x14ac:dyDescent="0.2">
      <c r="B146" s="1">
        <v>242106</v>
      </c>
      <c r="C146" s="35">
        <v>67</v>
      </c>
      <c r="D146" s="35" t="s">
        <v>80</v>
      </c>
      <c r="E146" s="35">
        <v>27</v>
      </c>
      <c r="F146" s="35">
        <v>52</v>
      </c>
      <c r="G146" s="36">
        <f t="shared" si="34"/>
        <v>11.544000000000002</v>
      </c>
      <c r="H146" s="35">
        <v>4</v>
      </c>
      <c r="I146" s="32">
        <v>0</v>
      </c>
      <c r="J146" s="66">
        <v>0</v>
      </c>
      <c r="K146" s="66">
        <v>0</v>
      </c>
      <c r="L146" s="35">
        <v>4</v>
      </c>
      <c r="M146" s="32">
        <v>0</v>
      </c>
      <c r="N146" s="35"/>
      <c r="O146" s="35">
        <f t="shared" si="35"/>
        <v>0</v>
      </c>
      <c r="P146" s="32">
        <v>0</v>
      </c>
      <c r="Q146" s="35">
        <v>4</v>
      </c>
      <c r="R146" s="85">
        <f t="shared" si="36"/>
        <v>4</v>
      </c>
    </row>
    <row r="147" spans="2:18" s="34" customFormat="1" ht="12.75" customHeight="1" x14ac:dyDescent="0.2">
      <c r="B147" s="1">
        <v>461101</v>
      </c>
      <c r="C147" s="35">
        <v>11</v>
      </c>
      <c r="D147" s="35" t="s">
        <v>81</v>
      </c>
      <c r="E147" s="35">
        <v>40</v>
      </c>
      <c r="F147" s="35">
        <v>67</v>
      </c>
      <c r="G147" s="36">
        <f t="shared" si="34"/>
        <v>14.873999999999999</v>
      </c>
      <c r="H147" s="35">
        <v>11</v>
      </c>
      <c r="I147" s="32">
        <v>0</v>
      </c>
      <c r="J147" s="66">
        <v>0</v>
      </c>
      <c r="K147" s="66">
        <v>0</v>
      </c>
      <c r="L147" s="35">
        <v>11</v>
      </c>
      <c r="M147" s="32">
        <v>0</v>
      </c>
      <c r="N147" s="35"/>
      <c r="O147" s="35">
        <f t="shared" si="35"/>
        <v>0</v>
      </c>
      <c r="P147" s="32">
        <v>0</v>
      </c>
      <c r="Q147" s="35">
        <v>11</v>
      </c>
      <c r="R147" s="85">
        <f t="shared" si="36"/>
        <v>11</v>
      </c>
    </row>
    <row r="148" spans="2:18" s="34" customFormat="1" ht="12.75" customHeight="1" x14ac:dyDescent="0.2">
      <c r="B148" s="1">
        <v>528101</v>
      </c>
      <c r="C148" s="35">
        <v>74</v>
      </c>
      <c r="D148" s="35" t="s">
        <v>82</v>
      </c>
      <c r="E148" s="35">
        <v>43</v>
      </c>
      <c r="F148" s="35">
        <v>64</v>
      </c>
      <c r="G148" s="36">
        <f t="shared" si="34"/>
        <v>14.208000000000002</v>
      </c>
      <c r="H148" s="35">
        <v>7</v>
      </c>
      <c r="I148" s="32">
        <v>0</v>
      </c>
      <c r="J148" s="66">
        <v>0</v>
      </c>
      <c r="K148" s="66">
        <v>0</v>
      </c>
      <c r="L148" s="35">
        <v>5</v>
      </c>
      <c r="M148" s="32">
        <v>0</v>
      </c>
      <c r="N148" s="35"/>
      <c r="O148" s="35">
        <f t="shared" si="35"/>
        <v>0</v>
      </c>
      <c r="P148" s="32">
        <v>0</v>
      </c>
      <c r="Q148" s="35">
        <v>5</v>
      </c>
      <c r="R148" s="85">
        <f t="shared" si="36"/>
        <v>5</v>
      </c>
    </row>
    <row r="149" spans="2:18" s="34" customFormat="1" ht="12.75" customHeight="1" x14ac:dyDescent="0.2">
      <c r="B149" s="40"/>
      <c r="C149" s="41"/>
      <c r="D149" s="41"/>
      <c r="E149" s="41"/>
      <c r="F149" s="41"/>
      <c r="G149" s="93"/>
      <c r="H149" s="41"/>
      <c r="I149" s="41"/>
      <c r="J149" s="99"/>
      <c r="K149" s="99"/>
      <c r="L149" s="41"/>
      <c r="M149" s="41"/>
      <c r="N149" s="41"/>
      <c r="O149" s="41"/>
      <c r="P149" s="41"/>
      <c r="Q149" s="251"/>
      <c r="R149" s="95"/>
    </row>
    <row r="150" spans="2:18" s="34" customFormat="1" ht="12.75" customHeight="1" x14ac:dyDescent="0.2">
      <c r="B150" s="46" t="s">
        <v>37</v>
      </c>
      <c r="C150" s="47"/>
      <c r="D150" s="47">
        <f>COUNTA(B137:B148)</f>
        <v>12</v>
      </c>
      <c r="E150" s="87">
        <f t="shared" ref="E150:R150" si="37">SUM(E137:E148)</f>
        <v>1068</v>
      </c>
      <c r="F150" s="87">
        <f t="shared" si="37"/>
        <v>1813</v>
      </c>
      <c r="G150" s="88">
        <f t="shared" si="37"/>
        <v>402.48600000000005</v>
      </c>
      <c r="H150" s="88">
        <f t="shared" si="37"/>
        <v>246</v>
      </c>
      <c r="I150" s="88">
        <f t="shared" si="37"/>
        <v>0</v>
      </c>
      <c r="J150" s="88">
        <f t="shared" si="37"/>
        <v>0</v>
      </c>
      <c r="K150" s="88">
        <f t="shared" si="37"/>
        <v>0</v>
      </c>
      <c r="L150" s="88">
        <f t="shared" si="37"/>
        <v>231</v>
      </c>
      <c r="M150" s="88">
        <f t="shared" si="37"/>
        <v>0</v>
      </c>
      <c r="N150" s="88">
        <f t="shared" si="37"/>
        <v>0</v>
      </c>
      <c r="O150" s="88">
        <f t="shared" si="37"/>
        <v>0</v>
      </c>
      <c r="P150" s="88">
        <f t="shared" si="37"/>
        <v>0</v>
      </c>
      <c r="Q150" s="249">
        <f t="shared" si="37"/>
        <v>241</v>
      </c>
      <c r="R150" s="88">
        <f t="shared" si="37"/>
        <v>241</v>
      </c>
    </row>
    <row r="151" spans="2:18" s="34" customFormat="1" ht="19.5" customHeight="1" x14ac:dyDescent="0.2">
      <c r="B151" s="109" t="s">
        <v>491</v>
      </c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252"/>
      <c r="R151" s="53"/>
    </row>
    <row r="152" spans="2:18" ht="12.75" customHeight="1" x14ac:dyDescent="0.2">
      <c r="B152" s="271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37"/>
      <c r="N152" s="111"/>
      <c r="O152" s="111"/>
      <c r="P152" s="111"/>
      <c r="Q152" s="169" t="s">
        <v>39</v>
      </c>
      <c r="R152" s="96">
        <f>+R150+R151</f>
        <v>241</v>
      </c>
    </row>
    <row r="153" spans="2:18" ht="12.75" customHeight="1" x14ac:dyDescent="0.2">
      <c r="B153" s="242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136"/>
      <c r="N153" s="56"/>
      <c r="O153" s="56"/>
      <c r="P153" s="56"/>
      <c r="Q153" s="104"/>
      <c r="R153" s="59"/>
    </row>
    <row r="154" spans="2:18" ht="12.75" customHeight="1" x14ac:dyDescent="0.2">
      <c r="B154" s="21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9"/>
      <c r="N154" s="56"/>
      <c r="O154" s="56"/>
      <c r="P154" s="56"/>
      <c r="Q154" s="104"/>
      <c r="R154" s="59"/>
    </row>
    <row r="155" spans="2:18" ht="12.75" customHeight="1" x14ac:dyDescent="0.2">
      <c r="B155" s="80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104"/>
      <c r="R155" s="59"/>
    </row>
    <row r="156" spans="2:18" s="34" customFormat="1" ht="12.75" customHeight="1" x14ac:dyDescent="0.2">
      <c r="B156" s="63" t="s">
        <v>33</v>
      </c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5"/>
      <c r="R156" s="32"/>
    </row>
    <row r="157" spans="2:18" ht="12.75" customHeight="1" x14ac:dyDescent="0.2">
      <c r="B157" s="63"/>
      <c r="C157" s="64" t="s">
        <v>84</v>
      </c>
      <c r="D157" s="65"/>
      <c r="E157" s="32"/>
      <c r="F157" s="32"/>
      <c r="G157" s="32"/>
      <c r="H157" s="32"/>
      <c r="I157" s="32"/>
      <c r="J157" s="66"/>
      <c r="K157" s="66"/>
      <c r="L157" s="32"/>
      <c r="M157" s="32"/>
      <c r="N157" s="32"/>
      <c r="O157" s="32"/>
      <c r="P157" s="32"/>
      <c r="Q157" s="35"/>
      <c r="R157" s="32"/>
    </row>
    <row r="158" spans="2:18" ht="12.75" customHeight="1" x14ac:dyDescent="0.2">
      <c r="B158" s="63"/>
      <c r="C158" s="107"/>
      <c r="D158" s="32"/>
      <c r="E158" s="41"/>
      <c r="F158" s="41"/>
      <c r="G158" s="32"/>
      <c r="H158" s="32"/>
      <c r="I158" s="32"/>
      <c r="J158" s="66"/>
      <c r="K158" s="66"/>
      <c r="L158" s="32"/>
      <c r="M158" s="32"/>
      <c r="N158" s="32"/>
      <c r="O158" s="32"/>
      <c r="P158" s="32"/>
      <c r="Q158" s="35"/>
      <c r="R158" s="32"/>
    </row>
    <row r="159" spans="2:18" ht="12.75" customHeight="1" x14ac:dyDescent="0.2">
      <c r="B159" s="30"/>
      <c r="C159" s="112"/>
      <c r="D159" s="31"/>
      <c r="E159" s="32"/>
      <c r="F159" s="32"/>
      <c r="G159" s="31"/>
      <c r="H159" s="31"/>
      <c r="I159" s="31"/>
      <c r="J159" s="68"/>
      <c r="K159" s="68"/>
      <c r="L159" s="31"/>
      <c r="M159" s="31"/>
      <c r="N159" s="31"/>
      <c r="O159" s="31"/>
      <c r="P159" s="31"/>
      <c r="Q159" s="77"/>
      <c r="R159" s="33"/>
    </row>
    <row r="160" spans="2:18" ht="12.75" customHeight="1" x14ac:dyDescent="0.2">
      <c r="B160" s="1">
        <v>46101</v>
      </c>
      <c r="C160" s="35">
        <v>63</v>
      </c>
      <c r="D160" s="35" t="s">
        <v>446</v>
      </c>
      <c r="E160" s="35">
        <v>73</v>
      </c>
      <c r="F160" s="35">
        <v>103</v>
      </c>
      <c r="G160" s="36">
        <f t="shared" ref="G160:G183" si="38">F160*0.666*24/72</f>
        <v>22.866</v>
      </c>
      <c r="H160" s="35">
        <v>22</v>
      </c>
      <c r="I160" s="32">
        <v>0</v>
      </c>
      <c r="J160" s="39">
        <v>0</v>
      </c>
      <c r="K160" s="39">
        <v>0</v>
      </c>
      <c r="L160" s="35">
        <v>19</v>
      </c>
      <c r="M160" s="32">
        <v>0</v>
      </c>
      <c r="N160" s="32"/>
      <c r="O160" s="32">
        <f t="shared" ref="O160:O183" si="39">ROUND((+G160*N160)/100,0)</f>
        <v>0</v>
      </c>
      <c r="P160" s="32">
        <v>0</v>
      </c>
      <c r="Q160" s="35">
        <v>21</v>
      </c>
      <c r="R160" s="75">
        <f t="shared" ref="R160:R183" si="40">Q160</f>
        <v>21</v>
      </c>
    </row>
    <row r="161" spans="2:18" ht="12.75" customHeight="1" x14ac:dyDescent="0.2">
      <c r="B161" s="1">
        <v>94101</v>
      </c>
      <c r="C161" s="35">
        <v>39</v>
      </c>
      <c r="D161" s="35" t="s">
        <v>85</v>
      </c>
      <c r="E161" s="35">
        <v>60</v>
      </c>
      <c r="F161" s="35">
        <v>73</v>
      </c>
      <c r="G161" s="36">
        <f t="shared" ref="G161" si="41">F161*0.666*24/72</f>
        <v>16.206000000000003</v>
      </c>
      <c r="H161" s="35">
        <v>12</v>
      </c>
      <c r="I161" s="32">
        <v>0</v>
      </c>
      <c r="J161" s="39">
        <v>0</v>
      </c>
      <c r="K161" s="39">
        <v>0</v>
      </c>
      <c r="L161" s="35">
        <v>14</v>
      </c>
      <c r="M161" s="32">
        <v>0</v>
      </c>
      <c r="N161" s="32"/>
      <c r="O161" s="32">
        <f t="shared" ref="O161" si="42">ROUND((+G161*N161)/100,0)</f>
        <v>0</v>
      </c>
      <c r="P161" s="32">
        <v>0</v>
      </c>
      <c r="Q161" s="35">
        <v>0</v>
      </c>
      <c r="R161" s="75">
        <f t="shared" ref="R161" si="43">Q161</f>
        <v>0</v>
      </c>
    </row>
    <row r="162" spans="2:18" ht="12.75" customHeight="1" x14ac:dyDescent="0.2">
      <c r="B162" s="1">
        <v>94102</v>
      </c>
      <c r="C162" s="35">
        <v>50</v>
      </c>
      <c r="D162" s="35" t="s">
        <v>425</v>
      </c>
      <c r="E162" s="35">
        <v>103</v>
      </c>
      <c r="F162" s="35">
        <v>134</v>
      </c>
      <c r="G162" s="36">
        <f t="shared" si="38"/>
        <v>29.747999999999998</v>
      </c>
      <c r="H162" s="35">
        <v>23</v>
      </c>
      <c r="I162" s="32">
        <v>0</v>
      </c>
      <c r="J162" s="39">
        <v>0</v>
      </c>
      <c r="K162" s="39">
        <v>0</v>
      </c>
      <c r="L162" s="35">
        <v>10</v>
      </c>
      <c r="M162" s="32">
        <v>0</v>
      </c>
      <c r="N162" s="32"/>
      <c r="O162" s="32">
        <f>ROUND((+G162*N162)/100,0)</f>
        <v>0</v>
      </c>
      <c r="P162" s="32">
        <v>0</v>
      </c>
      <c r="Q162" s="35">
        <v>20</v>
      </c>
      <c r="R162" s="75">
        <f>Q162</f>
        <v>20</v>
      </c>
    </row>
    <row r="163" spans="2:18" ht="12.75" customHeight="1" x14ac:dyDescent="0.2">
      <c r="B163" s="1">
        <v>100052</v>
      </c>
      <c r="C163" s="35">
        <v>19</v>
      </c>
      <c r="D163" s="35" t="s">
        <v>86</v>
      </c>
      <c r="E163" s="35">
        <v>242</v>
      </c>
      <c r="F163" s="35">
        <v>426</v>
      </c>
      <c r="G163" s="36">
        <f t="shared" si="38"/>
        <v>94.572000000000003</v>
      </c>
      <c r="H163" s="35">
        <v>62</v>
      </c>
      <c r="I163" s="32">
        <v>0</v>
      </c>
      <c r="J163" s="39">
        <v>0</v>
      </c>
      <c r="K163" s="39">
        <v>0</v>
      </c>
      <c r="L163" s="35">
        <v>18</v>
      </c>
      <c r="M163" s="32">
        <v>0</v>
      </c>
      <c r="N163" s="32"/>
      <c r="O163" s="32">
        <f t="shared" si="39"/>
        <v>0</v>
      </c>
      <c r="P163" s="32">
        <v>0</v>
      </c>
      <c r="Q163" s="35">
        <v>38</v>
      </c>
      <c r="R163" s="75">
        <f t="shared" si="40"/>
        <v>38</v>
      </c>
    </row>
    <row r="164" spans="2:18" ht="12.75" customHeight="1" x14ac:dyDescent="0.2">
      <c r="B164" s="1">
        <v>147101</v>
      </c>
      <c r="C164" s="35">
        <v>76</v>
      </c>
      <c r="D164" s="35" t="s">
        <v>87</v>
      </c>
      <c r="E164" s="35">
        <v>71</v>
      </c>
      <c r="F164" s="35">
        <v>117</v>
      </c>
      <c r="G164" s="36">
        <f t="shared" si="38"/>
        <v>25.974000000000004</v>
      </c>
      <c r="H164" s="35">
        <v>18</v>
      </c>
      <c r="I164" s="32">
        <v>0</v>
      </c>
      <c r="J164" s="39">
        <v>0</v>
      </c>
      <c r="K164" s="39">
        <v>0</v>
      </c>
      <c r="L164" s="35">
        <v>18</v>
      </c>
      <c r="M164" s="32">
        <v>0</v>
      </c>
      <c r="N164" s="32"/>
      <c r="O164" s="32">
        <f t="shared" si="39"/>
        <v>0</v>
      </c>
      <c r="P164" s="32">
        <v>0</v>
      </c>
      <c r="Q164" s="35">
        <v>14</v>
      </c>
      <c r="R164" s="75">
        <f t="shared" si="40"/>
        <v>14</v>
      </c>
    </row>
    <row r="165" spans="2:18" ht="12.75" customHeight="1" x14ac:dyDescent="0.2">
      <c r="B165" s="1">
        <v>161105</v>
      </c>
      <c r="C165" s="35">
        <v>35</v>
      </c>
      <c r="D165" s="35" t="s">
        <v>463</v>
      </c>
      <c r="E165" s="35">
        <v>51</v>
      </c>
      <c r="F165" s="35">
        <v>59</v>
      </c>
      <c r="G165" s="36">
        <f t="shared" ref="G165" si="44">F165*0.666*24/72</f>
        <v>13.098000000000001</v>
      </c>
      <c r="H165" s="35">
        <v>12</v>
      </c>
      <c r="I165" s="32">
        <v>0</v>
      </c>
      <c r="J165" s="39">
        <v>0</v>
      </c>
      <c r="K165" s="39">
        <v>0</v>
      </c>
      <c r="L165" s="35">
        <v>13</v>
      </c>
      <c r="M165" s="32">
        <v>0</v>
      </c>
      <c r="N165" s="32"/>
      <c r="O165" s="32">
        <f t="shared" ref="O165" si="45">ROUND((+G165*N165)/100,0)</f>
        <v>0</v>
      </c>
      <c r="P165" s="32">
        <v>0</v>
      </c>
      <c r="Q165" s="35">
        <v>12</v>
      </c>
      <c r="R165" s="75">
        <f t="shared" ref="R165" si="46">Q165</f>
        <v>12</v>
      </c>
    </row>
    <row r="166" spans="2:18" ht="12.75" customHeight="1" x14ac:dyDescent="0.2">
      <c r="B166" s="1">
        <v>195102</v>
      </c>
      <c r="C166" s="35">
        <v>18</v>
      </c>
      <c r="D166" s="35" t="s">
        <v>88</v>
      </c>
      <c r="E166" s="35">
        <v>112</v>
      </c>
      <c r="F166" s="35">
        <v>175</v>
      </c>
      <c r="G166" s="36">
        <f t="shared" si="38"/>
        <v>38.85</v>
      </c>
      <c r="H166" s="35">
        <v>25</v>
      </c>
      <c r="I166" s="32">
        <v>0</v>
      </c>
      <c r="J166" s="39">
        <v>0</v>
      </c>
      <c r="K166" s="39">
        <v>0</v>
      </c>
      <c r="L166" s="35">
        <v>25</v>
      </c>
      <c r="M166" s="32">
        <v>0</v>
      </c>
      <c r="N166" s="32"/>
      <c r="O166" s="32">
        <f t="shared" si="39"/>
        <v>0</v>
      </c>
      <c r="P166" s="32">
        <v>0</v>
      </c>
      <c r="Q166" s="35">
        <v>26</v>
      </c>
      <c r="R166" s="75">
        <f t="shared" si="40"/>
        <v>26</v>
      </c>
    </row>
    <row r="167" spans="2:18" ht="12.75" customHeight="1" x14ac:dyDescent="0.2">
      <c r="B167" s="1">
        <v>217102</v>
      </c>
      <c r="C167" s="35">
        <v>34</v>
      </c>
      <c r="D167" s="35" t="s">
        <v>89</v>
      </c>
      <c r="E167" s="35">
        <v>70</v>
      </c>
      <c r="F167" s="35">
        <v>110</v>
      </c>
      <c r="G167" s="36">
        <f t="shared" si="38"/>
        <v>24.42</v>
      </c>
      <c r="H167" s="35">
        <v>18</v>
      </c>
      <c r="I167" s="32">
        <v>0</v>
      </c>
      <c r="J167" s="39">
        <v>0</v>
      </c>
      <c r="K167" s="39">
        <v>0</v>
      </c>
      <c r="L167" s="35">
        <v>19</v>
      </c>
      <c r="M167" s="32">
        <v>0</v>
      </c>
      <c r="N167" s="32"/>
      <c r="O167" s="32">
        <f t="shared" si="39"/>
        <v>0</v>
      </c>
      <c r="P167" s="32">
        <v>0</v>
      </c>
      <c r="Q167" s="35">
        <v>18</v>
      </c>
      <c r="R167" s="75">
        <f t="shared" si="40"/>
        <v>18</v>
      </c>
    </row>
    <row r="168" spans="2:18" ht="12.75" customHeight="1" x14ac:dyDescent="0.2">
      <c r="B168" s="1">
        <v>217103</v>
      </c>
      <c r="C168" s="35">
        <v>56</v>
      </c>
      <c r="D168" s="35" t="s">
        <v>407</v>
      </c>
      <c r="E168" s="35">
        <v>59</v>
      </c>
      <c r="F168" s="35">
        <v>91</v>
      </c>
      <c r="G168" s="36">
        <f t="shared" si="38"/>
        <v>20.202000000000002</v>
      </c>
      <c r="H168" s="35">
        <v>11</v>
      </c>
      <c r="I168" s="32">
        <v>0</v>
      </c>
      <c r="J168" s="39">
        <v>0</v>
      </c>
      <c r="K168" s="39">
        <v>0</v>
      </c>
      <c r="L168" s="35">
        <v>10</v>
      </c>
      <c r="M168" s="32">
        <v>0</v>
      </c>
      <c r="N168" s="32"/>
      <c r="O168" s="32">
        <f t="shared" si="39"/>
        <v>0</v>
      </c>
      <c r="P168" s="32">
        <v>0</v>
      </c>
      <c r="Q168" s="35">
        <v>0</v>
      </c>
      <c r="R168" s="75">
        <f t="shared" si="40"/>
        <v>0</v>
      </c>
    </row>
    <row r="169" spans="2:18" ht="12.75" customHeight="1" x14ac:dyDescent="0.2">
      <c r="B169" s="1">
        <v>217104</v>
      </c>
      <c r="C169" s="35">
        <v>44</v>
      </c>
      <c r="D169" s="35" t="s">
        <v>436</v>
      </c>
      <c r="E169" s="35">
        <v>81</v>
      </c>
      <c r="F169" s="35">
        <v>160</v>
      </c>
      <c r="G169" s="36">
        <f t="shared" si="38"/>
        <v>35.520000000000003</v>
      </c>
      <c r="H169" s="35">
        <v>25</v>
      </c>
      <c r="I169" s="32">
        <v>0</v>
      </c>
      <c r="J169" s="39">
        <v>0</v>
      </c>
      <c r="K169" s="39">
        <v>0</v>
      </c>
      <c r="L169" s="35">
        <v>5</v>
      </c>
      <c r="M169" s="32">
        <v>0</v>
      </c>
      <c r="N169" s="32"/>
      <c r="O169" s="32">
        <f>ROUND((+G169*N169)/100,0)</f>
        <v>0</v>
      </c>
      <c r="P169" s="32">
        <v>0</v>
      </c>
      <c r="Q169" s="35">
        <v>15</v>
      </c>
      <c r="R169" s="75">
        <f>Q169</f>
        <v>15</v>
      </c>
    </row>
    <row r="170" spans="2:18" s="34" customFormat="1" ht="12.75" customHeight="1" x14ac:dyDescent="0.2">
      <c r="B170" s="1">
        <v>255102</v>
      </c>
      <c r="C170" s="35">
        <v>69</v>
      </c>
      <c r="D170" s="35" t="s">
        <v>90</v>
      </c>
      <c r="E170" s="35">
        <v>108</v>
      </c>
      <c r="F170" s="35">
        <v>129</v>
      </c>
      <c r="G170" s="36">
        <f t="shared" si="38"/>
        <v>28.638000000000002</v>
      </c>
      <c r="H170" s="35">
        <v>14</v>
      </c>
      <c r="I170" s="32">
        <v>0</v>
      </c>
      <c r="J170" s="39">
        <v>0</v>
      </c>
      <c r="K170" s="39">
        <v>0</v>
      </c>
      <c r="L170" s="35">
        <v>21</v>
      </c>
      <c r="M170" s="32">
        <v>0</v>
      </c>
      <c r="N170" s="32"/>
      <c r="O170" s="32">
        <f t="shared" si="39"/>
        <v>0</v>
      </c>
      <c r="P170" s="32">
        <v>0</v>
      </c>
      <c r="Q170" s="35">
        <v>5</v>
      </c>
      <c r="R170" s="75">
        <f t="shared" si="40"/>
        <v>5</v>
      </c>
    </row>
    <row r="171" spans="2:18" s="34" customFormat="1" ht="12.75" customHeight="1" x14ac:dyDescent="0.2">
      <c r="B171" s="1">
        <v>264102</v>
      </c>
      <c r="C171" s="35">
        <v>21</v>
      </c>
      <c r="D171" s="35" t="s">
        <v>91</v>
      </c>
      <c r="E171" s="35">
        <v>61</v>
      </c>
      <c r="F171" s="35">
        <v>78</v>
      </c>
      <c r="G171" s="36">
        <f t="shared" si="38"/>
        <v>17.315999999999999</v>
      </c>
      <c r="H171" s="35">
        <v>10</v>
      </c>
      <c r="I171" s="32">
        <v>0</v>
      </c>
      <c r="J171" s="39">
        <v>0</v>
      </c>
      <c r="K171" s="39">
        <v>0</v>
      </c>
      <c r="L171" s="35">
        <v>5</v>
      </c>
      <c r="M171" s="32">
        <v>0</v>
      </c>
      <c r="N171" s="32"/>
      <c r="O171" s="32">
        <f t="shared" si="39"/>
        <v>0</v>
      </c>
      <c r="P171" s="32">
        <v>0</v>
      </c>
      <c r="Q171" s="35">
        <v>12</v>
      </c>
      <c r="R171" s="75">
        <f t="shared" si="40"/>
        <v>12</v>
      </c>
    </row>
    <row r="172" spans="2:18" s="34" customFormat="1" ht="12.75" customHeight="1" x14ac:dyDescent="0.2">
      <c r="B172" s="1">
        <v>304103</v>
      </c>
      <c r="C172" s="35">
        <v>3</v>
      </c>
      <c r="D172" s="35" t="s">
        <v>444</v>
      </c>
      <c r="E172" s="35">
        <v>56</v>
      </c>
      <c r="F172" s="35">
        <v>95</v>
      </c>
      <c r="G172" s="36">
        <f>F172*0.666*24/72</f>
        <v>21.09</v>
      </c>
      <c r="H172" s="35">
        <v>17</v>
      </c>
      <c r="I172" s="32">
        <v>0</v>
      </c>
      <c r="J172" s="39">
        <v>0</v>
      </c>
      <c r="K172" s="39">
        <v>0</v>
      </c>
      <c r="L172" s="35">
        <v>15</v>
      </c>
      <c r="M172" s="32">
        <v>0</v>
      </c>
      <c r="N172" s="32"/>
      <c r="O172" s="32">
        <f>ROUND((+G172*N172)/100,0)</f>
        <v>0</v>
      </c>
      <c r="P172" s="32">
        <v>0</v>
      </c>
      <c r="Q172" s="35">
        <v>20</v>
      </c>
      <c r="R172" s="75">
        <f>Q172</f>
        <v>20</v>
      </c>
    </row>
    <row r="173" spans="2:18" s="34" customFormat="1" ht="12.75" customHeight="1" x14ac:dyDescent="0.2">
      <c r="B173" s="1">
        <v>395105</v>
      </c>
      <c r="C173" s="35">
        <v>41</v>
      </c>
      <c r="D173" s="35" t="s">
        <v>92</v>
      </c>
      <c r="E173" s="35">
        <v>31</v>
      </c>
      <c r="F173" s="35">
        <v>40</v>
      </c>
      <c r="G173" s="36">
        <f t="shared" si="38"/>
        <v>8.8800000000000008</v>
      </c>
      <c r="H173" s="35">
        <v>5</v>
      </c>
      <c r="I173" s="32">
        <v>0</v>
      </c>
      <c r="J173" s="39">
        <v>0</v>
      </c>
      <c r="K173" s="39">
        <v>0</v>
      </c>
      <c r="L173" s="35">
        <v>4</v>
      </c>
      <c r="M173" s="32">
        <v>0</v>
      </c>
      <c r="N173" s="32"/>
      <c r="O173" s="32">
        <f t="shared" si="39"/>
        <v>0</v>
      </c>
      <c r="P173" s="32">
        <v>0</v>
      </c>
      <c r="Q173" s="35">
        <v>5</v>
      </c>
      <c r="R173" s="75">
        <f t="shared" si="40"/>
        <v>5</v>
      </c>
    </row>
    <row r="174" spans="2:18" s="34" customFormat="1" ht="12.75" customHeight="1" x14ac:dyDescent="0.2">
      <c r="B174" s="1">
        <v>463101</v>
      </c>
      <c r="C174" s="35">
        <v>14</v>
      </c>
      <c r="D174" s="35" t="s">
        <v>93</v>
      </c>
      <c r="E174" s="35">
        <v>46</v>
      </c>
      <c r="F174" s="35">
        <v>76</v>
      </c>
      <c r="G174" s="36">
        <f t="shared" si="38"/>
        <v>16.872</v>
      </c>
      <c r="H174" s="35">
        <v>16</v>
      </c>
      <c r="I174" s="32">
        <v>0</v>
      </c>
      <c r="J174" s="39">
        <v>0</v>
      </c>
      <c r="K174" s="39">
        <v>0</v>
      </c>
      <c r="L174" s="35">
        <v>17</v>
      </c>
      <c r="M174" s="32">
        <v>0</v>
      </c>
      <c r="N174" s="32"/>
      <c r="O174" s="32">
        <f t="shared" si="39"/>
        <v>0</v>
      </c>
      <c r="P174" s="32">
        <v>0</v>
      </c>
      <c r="Q174" s="35">
        <v>12</v>
      </c>
      <c r="R174" s="75">
        <f t="shared" si="40"/>
        <v>12</v>
      </c>
    </row>
    <row r="175" spans="2:18" ht="12.75" customHeight="1" x14ac:dyDescent="0.2">
      <c r="B175" s="266">
        <v>479101</v>
      </c>
      <c r="C175" s="34">
        <v>1</v>
      </c>
      <c r="D175" s="34" t="s">
        <v>94</v>
      </c>
      <c r="E175" s="35">
        <v>71</v>
      </c>
      <c r="F175" s="35">
        <v>121</v>
      </c>
      <c r="G175" s="36">
        <f t="shared" si="38"/>
        <v>26.861999999999998</v>
      </c>
      <c r="H175" s="34">
        <v>19</v>
      </c>
      <c r="I175" s="32">
        <v>0</v>
      </c>
      <c r="J175" s="39">
        <v>0</v>
      </c>
      <c r="K175" s="39">
        <v>0</v>
      </c>
      <c r="L175" s="34">
        <v>18</v>
      </c>
      <c r="M175" s="34">
        <v>0</v>
      </c>
      <c r="N175" s="34"/>
      <c r="O175" s="32">
        <f t="shared" si="39"/>
        <v>0</v>
      </c>
      <c r="P175" s="34">
        <v>0</v>
      </c>
      <c r="Q175" s="34">
        <v>20</v>
      </c>
      <c r="R175" s="113">
        <f t="shared" si="40"/>
        <v>20</v>
      </c>
    </row>
    <row r="176" spans="2:18" s="34" customFormat="1" ht="12.75" customHeight="1" x14ac:dyDescent="0.2">
      <c r="B176" s="1">
        <v>492101</v>
      </c>
      <c r="C176" s="35">
        <v>15</v>
      </c>
      <c r="D176" s="35" t="s">
        <v>95</v>
      </c>
      <c r="E176" s="35">
        <v>180</v>
      </c>
      <c r="F176" s="35">
        <v>290</v>
      </c>
      <c r="G176" s="36">
        <f t="shared" si="38"/>
        <v>64.38000000000001</v>
      </c>
      <c r="H176" s="35">
        <v>52</v>
      </c>
      <c r="I176" s="32">
        <v>0</v>
      </c>
      <c r="J176" s="39">
        <v>0</v>
      </c>
      <c r="K176" s="39">
        <v>0</v>
      </c>
      <c r="L176" s="35">
        <v>50</v>
      </c>
      <c r="M176" s="32">
        <v>0</v>
      </c>
      <c r="N176" s="32"/>
      <c r="O176" s="32">
        <f t="shared" si="39"/>
        <v>0</v>
      </c>
      <c r="P176" s="32">
        <v>0</v>
      </c>
      <c r="Q176" s="35">
        <v>49</v>
      </c>
      <c r="R176" s="75">
        <f t="shared" si="40"/>
        <v>49</v>
      </c>
    </row>
    <row r="177" spans="2:20" s="34" customFormat="1" ht="12.75" customHeight="1" x14ac:dyDescent="0.2">
      <c r="B177" s="1">
        <v>492102</v>
      </c>
      <c r="C177" s="35">
        <v>104</v>
      </c>
      <c r="D177" s="35" t="s">
        <v>366</v>
      </c>
      <c r="E177" s="35">
        <v>48</v>
      </c>
      <c r="F177" s="35">
        <v>71</v>
      </c>
      <c r="G177" s="36">
        <f t="shared" si="38"/>
        <v>15.762</v>
      </c>
      <c r="H177" s="35">
        <v>13</v>
      </c>
      <c r="I177" s="32">
        <v>0</v>
      </c>
      <c r="J177" s="39">
        <v>0</v>
      </c>
      <c r="K177" s="39">
        <v>0</v>
      </c>
      <c r="L177" s="35">
        <v>9</v>
      </c>
      <c r="M177" s="32">
        <v>0</v>
      </c>
      <c r="N177" s="32"/>
      <c r="O177" s="32">
        <f t="shared" si="39"/>
        <v>0</v>
      </c>
      <c r="P177" s="32">
        <v>0</v>
      </c>
      <c r="Q177" s="35">
        <v>9</v>
      </c>
      <c r="R177" s="75">
        <f t="shared" si="40"/>
        <v>9</v>
      </c>
    </row>
    <row r="178" spans="2:20" s="34" customFormat="1" ht="12.75" customHeight="1" x14ac:dyDescent="0.2">
      <c r="B178" s="1">
        <v>492103</v>
      </c>
      <c r="C178" s="35">
        <v>123</v>
      </c>
      <c r="D178" s="35" t="s">
        <v>96</v>
      </c>
      <c r="E178" s="35">
        <v>76</v>
      </c>
      <c r="F178" s="35">
        <v>142</v>
      </c>
      <c r="G178" s="36">
        <f t="shared" si="38"/>
        <v>31.524000000000001</v>
      </c>
      <c r="H178" s="35">
        <v>18</v>
      </c>
      <c r="I178" s="32">
        <v>0</v>
      </c>
      <c r="J178" s="39">
        <v>0</v>
      </c>
      <c r="K178" s="39">
        <v>0</v>
      </c>
      <c r="L178" s="35">
        <v>15</v>
      </c>
      <c r="M178" s="32">
        <v>0</v>
      </c>
      <c r="N178" s="32"/>
      <c r="O178" s="32">
        <f t="shared" si="39"/>
        <v>0</v>
      </c>
      <c r="P178" s="32">
        <v>0</v>
      </c>
      <c r="Q178" s="35">
        <v>17</v>
      </c>
      <c r="R178" s="75">
        <f t="shared" si="40"/>
        <v>17</v>
      </c>
    </row>
    <row r="179" spans="2:20" s="34" customFormat="1" ht="12.75" customHeight="1" x14ac:dyDescent="0.2">
      <c r="B179" s="1">
        <v>511101</v>
      </c>
      <c r="C179" s="35">
        <v>5</v>
      </c>
      <c r="D179" s="35" t="s">
        <v>97</v>
      </c>
      <c r="E179" s="35">
        <v>90</v>
      </c>
      <c r="F179" s="35">
        <v>142</v>
      </c>
      <c r="G179" s="36">
        <f t="shared" si="38"/>
        <v>31.524000000000001</v>
      </c>
      <c r="H179" s="35">
        <v>21</v>
      </c>
      <c r="I179" s="32">
        <v>0</v>
      </c>
      <c r="J179" s="39">
        <v>0</v>
      </c>
      <c r="K179" s="39">
        <v>0</v>
      </c>
      <c r="L179" s="35">
        <v>24</v>
      </c>
      <c r="M179" s="32">
        <v>0</v>
      </c>
      <c r="N179" s="32"/>
      <c r="O179" s="32">
        <f t="shared" si="39"/>
        <v>0</v>
      </c>
      <c r="P179" s="32">
        <v>0</v>
      </c>
      <c r="Q179" s="35">
        <v>0</v>
      </c>
      <c r="R179" s="75">
        <f t="shared" si="40"/>
        <v>0</v>
      </c>
    </row>
    <row r="180" spans="2:20" s="34" customFormat="1" ht="12.75" customHeight="1" x14ac:dyDescent="0.2">
      <c r="B180" s="1">
        <v>511102</v>
      </c>
      <c r="C180" s="35">
        <v>117</v>
      </c>
      <c r="D180" s="35" t="s">
        <v>98</v>
      </c>
      <c r="E180" s="35">
        <v>23</v>
      </c>
      <c r="F180" s="35">
        <v>32</v>
      </c>
      <c r="G180" s="36">
        <f t="shared" si="38"/>
        <v>7.104000000000001</v>
      </c>
      <c r="H180" s="35">
        <v>5</v>
      </c>
      <c r="I180" s="32">
        <v>0</v>
      </c>
      <c r="J180" s="39">
        <v>0</v>
      </c>
      <c r="K180" s="39">
        <v>0</v>
      </c>
      <c r="L180" s="35">
        <v>6</v>
      </c>
      <c r="M180" s="32">
        <v>0</v>
      </c>
      <c r="N180" s="32"/>
      <c r="O180" s="32">
        <f t="shared" si="39"/>
        <v>0</v>
      </c>
      <c r="P180" s="32">
        <v>0</v>
      </c>
      <c r="Q180" s="35">
        <v>0</v>
      </c>
      <c r="R180" s="75">
        <f t="shared" si="40"/>
        <v>0</v>
      </c>
    </row>
    <row r="181" spans="2:20" s="34" customFormat="1" ht="12.75" customHeight="1" x14ac:dyDescent="0.2">
      <c r="B181" s="1">
        <v>511103</v>
      </c>
      <c r="C181" s="35">
        <v>16</v>
      </c>
      <c r="D181" s="35" t="s">
        <v>99</v>
      </c>
      <c r="E181" s="35">
        <v>55</v>
      </c>
      <c r="F181" s="35">
        <v>72</v>
      </c>
      <c r="G181" s="36">
        <f t="shared" si="38"/>
        <v>15.984000000000002</v>
      </c>
      <c r="H181" s="35">
        <v>11</v>
      </c>
      <c r="I181" s="32">
        <v>0</v>
      </c>
      <c r="J181" s="39">
        <v>0</v>
      </c>
      <c r="K181" s="39">
        <v>0</v>
      </c>
      <c r="L181" s="35">
        <v>15</v>
      </c>
      <c r="M181" s="32">
        <v>0</v>
      </c>
      <c r="N181" s="32"/>
      <c r="O181" s="32">
        <f t="shared" si="39"/>
        <v>0</v>
      </c>
      <c r="P181" s="32">
        <v>0</v>
      </c>
      <c r="Q181" s="35">
        <v>7</v>
      </c>
      <c r="R181" s="75">
        <f t="shared" si="40"/>
        <v>7</v>
      </c>
    </row>
    <row r="182" spans="2:20" s="34" customFormat="1" ht="12.75" customHeight="1" x14ac:dyDescent="0.2">
      <c r="B182" s="1">
        <v>511104</v>
      </c>
      <c r="C182" s="35">
        <v>73</v>
      </c>
      <c r="D182" s="35" t="s">
        <v>100</v>
      </c>
      <c r="E182" s="35">
        <v>36</v>
      </c>
      <c r="F182" s="35">
        <v>46</v>
      </c>
      <c r="G182" s="36">
        <f t="shared" si="38"/>
        <v>10.212000000000002</v>
      </c>
      <c r="H182" s="35">
        <v>7</v>
      </c>
      <c r="I182" s="32">
        <v>0</v>
      </c>
      <c r="J182" s="39">
        <v>0</v>
      </c>
      <c r="K182" s="39">
        <v>0</v>
      </c>
      <c r="L182" s="35">
        <v>6</v>
      </c>
      <c r="M182" s="32">
        <v>0</v>
      </c>
      <c r="N182" s="32"/>
      <c r="O182" s="32">
        <f t="shared" si="39"/>
        <v>0</v>
      </c>
      <c r="P182" s="32">
        <v>0</v>
      </c>
      <c r="Q182" s="35">
        <v>8</v>
      </c>
      <c r="R182" s="75">
        <f t="shared" si="40"/>
        <v>8</v>
      </c>
    </row>
    <row r="183" spans="2:20" ht="12.75" customHeight="1" x14ac:dyDescent="0.2">
      <c r="B183" s="1">
        <v>521101</v>
      </c>
      <c r="C183" s="35">
        <v>52</v>
      </c>
      <c r="D183" s="35" t="s">
        <v>101</v>
      </c>
      <c r="E183" s="35">
        <v>29</v>
      </c>
      <c r="F183" s="35">
        <v>45</v>
      </c>
      <c r="G183" s="36">
        <f t="shared" si="38"/>
        <v>9.990000000000002</v>
      </c>
      <c r="H183" s="35">
        <v>3</v>
      </c>
      <c r="I183" s="32">
        <v>0</v>
      </c>
      <c r="J183" s="39">
        <v>0</v>
      </c>
      <c r="K183" s="39">
        <v>0</v>
      </c>
      <c r="L183" s="35">
        <v>3</v>
      </c>
      <c r="M183" s="32">
        <v>0</v>
      </c>
      <c r="N183" s="32"/>
      <c r="O183" s="32">
        <f t="shared" si="39"/>
        <v>0</v>
      </c>
      <c r="P183" s="32">
        <v>0</v>
      </c>
      <c r="Q183" s="35">
        <v>4</v>
      </c>
      <c r="R183" s="75">
        <f t="shared" si="40"/>
        <v>4</v>
      </c>
    </row>
    <row r="184" spans="2:20" s="34" customFormat="1" ht="12.75" customHeight="1" x14ac:dyDescent="0.2">
      <c r="B184" s="114"/>
      <c r="C184" s="115"/>
      <c r="D184" s="115"/>
      <c r="E184" s="41"/>
      <c r="F184" s="41"/>
      <c r="G184" s="93"/>
      <c r="H184" s="41"/>
      <c r="I184" s="41"/>
      <c r="J184" s="99"/>
      <c r="K184" s="99"/>
      <c r="L184" s="41"/>
      <c r="M184" s="41"/>
      <c r="N184" s="41"/>
      <c r="O184" s="41"/>
      <c r="P184" s="41"/>
      <c r="Q184" s="251"/>
      <c r="R184" s="95"/>
    </row>
    <row r="185" spans="2:20" s="34" customFormat="1" ht="12.75" customHeight="1" x14ac:dyDescent="0.2">
      <c r="B185" s="30" t="s">
        <v>37</v>
      </c>
      <c r="C185" s="31"/>
      <c r="D185" s="31">
        <f>COUNTA(B160:B183)</f>
        <v>24</v>
      </c>
      <c r="E185" s="116">
        <f t="shared" ref="E185:R185" si="47">SUM(E160:E183)</f>
        <v>1832</v>
      </c>
      <c r="F185" s="116">
        <f t="shared" si="47"/>
        <v>2827</v>
      </c>
      <c r="G185" s="117">
        <f t="shared" si="47"/>
        <v>627.59399999999994</v>
      </c>
      <c r="H185" s="117">
        <f t="shared" si="47"/>
        <v>439</v>
      </c>
      <c r="I185" s="117">
        <f t="shared" si="47"/>
        <v>0</v>
      </c>
      <c r="J185" s="117">
        <f t="shared" si="47"/>
        <v>0</v>
      </c>
      <c r="K185" s="117">
        <f t="shared" si="47"/>
        <v>0</v>
      </c>
      <c r="L185" s="117">
        <f t="shared" si="47"/>
        <v>359</v>
      </c>
      <c r="M185" s="117">
        <f t="shared" si="47"/>
        <v>0</v>
      </c>
      <c r="N185" s="117">
        <f t="shared" si="47"/>
        <v>0</v>
      </c>
      <c r="O185" s="117">
        <f t="shared" si="47"/>
        <v>0</v>
      </c>
      <c r="P185" s="117">
        <f t="shared" si="47"/>
        <v>0</v>
      </c>
      <c r="Q185" s="167">
        <f t="shared" si="47"/>
        <v>332</v>
      </c>
      <c r="R185" s="117">
        <f t="shared" si="47"/>
        <v>332</v>
      </c>
      <c r="T185" s="185"/>
    </row>
    <row r="186" spans="2:20" ht="12.75" customHeight="1" x14ac:dyDescent="0.2">
      <c r="B186" s="50" t="s">
        <v>488</v>
      </c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2"/>
      <c r="O186" s="52"/>
      <c r="P186" s="52"/>
      <c r="Q186" s="246"/>
      <c r="R186" s="78"/>
    </row>
    <row r="187" spans="2:20" ht="12.75" customHeight="1" x14ac:dyDescent="0.2">
      <c r="B187" s="40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9"/>
      <c r="N187" s="56"/>
      <c r="O187" s="56"/>
      <c r="P187" s="56"/>
      <c r="Q187" s="247" t="s">
        <v>39</v>
      </c>
      <c r="R187" s="96">
        <f>R185+R186</f>
        <v>332</v>
      </c>
    </row>
    <row r="188" spans="2:20" ht="12.75" customHeight="1" x14ac:dyDescent="0.2">
      <c r="B188" s="80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104"/>
      <c r="R188" s="59"/>
    </row>
    <row r="189" spans="2:20" ht="12.75" customHeight="1" x14ac:dyDescent="0.2">
      <c r="B189" s="80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104"/>
      <c r="R189" s="59"/>
    </row>
    <row r="190" spans="2:20" ht="12.75" customHeight="1" x14ac:dyDescent="0.2">
      <c r="B190" s="63"/>
      <c r="C190" s="64" t="s">
        <v>102</v>
      </c>
      <c r="D190" s="65"/>
      <c r="E190" s="41"/>
      <c r="F190" s="41"/>
      <c r="G190" s="32"/>
      <c r="H190" s="32"/>
      <c r="I190" s="32"/>
      <c r="J190" s="66"/>
      <c r="K190" s="66"/>
      <c r="L190" s="32"/>
      <c r="M190" s="32"/>
      <c r="N190" s="32"/>
      <c r="O190" s="32"/>
      <c r="P190" s="32"/>
      <c r="Q190" s="35"/>
      <c r="R190" s="32"/>
    </row>
    <row r="191" spans="2:20" ht="12.75" customHeight="1" x14ac:dyDescent="0.2">
      <c r="B191" s="30"/>
      <c r="C191" s="31"/>
      <c r="D191" s="31"/>
      <c r="E191" s="32"/>
      <c r="F191" s="32"/>
      <c r="G191" s="31"/>
      <c r="H191" s="31"/>
      <c r="I191" s="31"/>
      <c r="J191" s="68"/>
      <c r="K191" s="68"/>
      <c r="L191" s="31"/>
      <c r="M191" s="31"/>
      <c r="N191" s="31"/>
      <c r="O191" s="31"/>
      <c r="P191" s="31"/>
      <c r="Q191" s="77"/>
      <c r="R191" s="33"/>
    </row>
    <row r="192" spans="2:20" ht="12.75" customHeight="1" x14ac:dyDescent="0.2">
      <c r="B192" s="1">
        <v>125117</v>
      </c>
      <c r="C192" s="35">
        <v>8039</v>
      </c>
      <c r="D192" s="35" t="s">
        <v>387</v>
      </c>
      <c r="E192" s="35">
        <v>61</v>
      </c>
      <c r="F192" s="35">
        <v>82</v>
      </c>
      <c r="G192" s="36">
        <f>F192*0.666*24/72</f>
        <v>18.204000000000001</v>
      </c>
      <c r="H192" s="230">
        <v>0</v>
      </c>
      <c r="I192" s="35">
        <v>0</v>
      </c>
      <c r="J192" s="84">
        <v>0</v>
      </c>
      <c r="K192" s="84">
        <v>0</v>
      </c>
      <c r="L192" s="230">
        <v>15</v>
      </c>
      <c r="M192" s="32">
        <v>0</v>
      </c>
      <c r="N192" s="35"/>
      <c r="O192" s="35">
        <f>ROUND((+G192*N192)/100,0)</f>
        <v>0</v>
      </c>
      <c r="P192" s="35">
        <f>IF(M192&gt;O192,+M192-O192,0)</f>
        <v>0</v>
      </c>
      <c r="Q192" s="230">
        <v>15</v>
      </c>
      <c r="R192" s="85">
        <f>Q192</f>
        <v>15</v>
      </c>
    </row>
    <row r="193" spans="2:18" ht="12.75" customHeight="1" x14ac:dyDescent="0.2">
      <c r="B193" s="1">
        <v>248103</v>
      </c>
      <c r="C193" s="35">
        <v>13</v>
      </c>
      <c r="D193" s="35" t="s">
        <v>103</v>
      </c>
      <c r="E193" s="35">
        <v>168</v>
      </c>
      <c r="F193" s="35">
        <v>278</v>
      </c>
      <c r="G193" s="36">
        <f>F193*0.666*24/72</f>
        <v>61.715999999999994</v>
      </c>
      <c r="H193" s="230">
        <v>0</v>
      </c>
      <c r="I193" s="35">
        <v>0</v>
      </c>
      <c r="J193" s="84">
        <v>0</v>
      </c>
      <c r="K193" s="84">
        <v>0</v>
      </c>
      <c r="L193" s="230">
        <v>50</v>
      </c>
      <c r="M193" s="32">
        <v>0</v>
      </c>
      <c r="N193" s="35"/>
      <c r="O193" s="35">
        <f>ROUND((+G193*N193)/100,0)</f>
        <v>0</v>
      </c>
      <c r="P193" s="35">
        <f>IF(M193&gt;O193,+M193-O193,0)</f>
        <v>0</v>
      </c>
      <c r="Q193" s="230">
        <v>50</v>
      </c>
      <c r="R193" s="85">
        <f>Q193</f>
        <v>50</v>
      </c>
    </row>
    <row r="194" spans="2:18" ht="12.75" customHeight="1" x14ac:dyDescent="0.2">
      <c r="B194" s="1">
        <v>248104</v>
      </c>
      <c r="C194" s="35">
        <v>8026</v>
      </c>
      <c r="D194" s="35" t="s">
        <v>331</v>
      </c>
      <c r="E194" s="35">
        <v>29</v>
      </c>
      <c r="F194" s="35">
        <v>42</v>
      </c>
      <c r="G194" s="36">
        <f>F194*0.666*24/72</f>
        <v>9.3239999999999998</v>
      </c>
      <c r="H194" s="230">
        <v>0</v>
      </c>
      <c r="I194" s="35">
        <v>0</v>
      </c>
      <c r="J194" s="84">
        <v>0</v>
      </c>
      <c r="K194" s="84">
        <v>0</v>
      </c>
      <c r="L194" s="230">
        <v>7</v>
      </c>
      <c r="M194" s="32">
        <v>0</v>
      </c>
      <c r="N194" s="35"/>
      <c r="O194" s="35">
        <f>ROUND((+G194*N194)/100,0)</f>
        <v>0</v>
      </c>
      <c r="P194" s="35">
        <f>IF(M194&gt;O194,+M194-O194,0)</f>
        <v>0</v>
      </c>
      <c r="Q194" s="230">
        <v>7</v>
      </c>
      <c r="R194" s="85">
        <f>Q194</f>
        <v>7</v>
      </c>
    </row>
    <row r="195" spans="2:18" ht="12.75" customHeight="1" x14ac:dyDescent="0.2">
      <c r="B195" s="4"/>
      <c r="C195" s="35"/>
      <c r="D195" s="35"/>
      <c r="E195" s="35"/>
      <c r="F195" s="35"/>
      <c r="G195" s="35"/>
      <c r="H195" s="35"/>
      <c r="I195" s="35"/>
      <c r="J195" s="84"/>
      <c r="K195" s="84"/>
      <c r="L195" s="35"/>
      <c r="M195" s="32"/>
      <c r="N195" s="35"/>
      <c r="O195" s="35"/>
      <c r="P195" s="35"/>
      <c r="Q195" s="35"/>
      <c r="R195" s="120"/>
    </row>
    <row r="196" spans="2:18" ht="12.75" customHeight="1" x14ac:dyDescent="0.2">
      <c r="B196" s="46" t="s">
        <v>37</v>
      </c>
      <c r="C196" s="47"/>
      <c r="D196" s="47">
        <f>COUNTA(B192:B194)</f>
        <v>3</v>
      </c>
      <c r="E196" s="87">
        <f t="shared" ref="E196:R196" si="48">SUM(E192:E194)</f>
        <v>258</v>
      </c>
      <c r="F196" s="87">
        <f t="shared" si="48"/>
        <v>402</v>
      </c>
      <c r="G196" s="88">
        <f t="shared" si="48"/>
        <v>89.243999999999986</v>
      </c>
      <c r="H196" s="88">
        <f t="shared" si="48"/>
        <v>0</v>
      </c>
      <c r="I196" s="88">
        <f t="shared" si="48"/>
        <v>0</v>
      </c>
      <c r="J196" s="88">
        <f t="shared" si="48"/>
        <v>0</v>
      </c>
      <c r="K196" s="88">
        <f t="shared" si="48"/>
        <v>0</v>
      </c>
      <c r="L196" s="88">
        <f t="shared" si="48"/>
        <v>72</v>
      </c>
      <c r="M196" s="88">
        <f t="shared" si="48"/>
        <v>0</v>
      </c>
      <c r="N196" s="88">
        <f t="shared" si="48"/>
        <v>0</v>
      </c>
      <c r="O196" s="88">
        <f t="shared" si="48"/>
        <v>0</v>
      </c>
      <c r="P196" s="88">
        <f t="shared" si="48"/>
        <v>0</v>
      </c>
      <c r="Q196" s="249">
        <f t="shared" si="48"/>
        <v>72</v>
      </c>
      <c r="R196" s="88">
        <f t="shared" si="48"/>
        <v>72</v>
      </c>
    </row>
    <row r="197" spans="2:18" ht="12.75" customHeight="1" x14ac:dyDescent="0.2">
      <c r="B197" s="121" t="s">
        <v>38</v>
      </c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91"/>
      <c r="O197" s="91"/>
      <c r="P197" s="91"/>
      <c r="Q197" s="246"/>
      <c r="R197" s="122"/>
    </row>
    <row r="198" spans="2:18" ht="12.75" customHeight="1" x14ac:dyDescent="0.2">
      <c r="B198" s="212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5"/>
      <c r="N198" s="56"/>
      <c r="O198" s="56"/>
      <c r="P198" s="56"/>
      <c r="Q198" s="247" t="s">
        <v>39</v>
      </c>
      <c r="R198" s="57">
        <f>R196+R197</f>
        <v>72</v>
      </c>
    </row>
    <row r="199" spans="2:18" s="34" customFormat="1" ht="12.75" customHeight="1" x14ac:dyDescent="0.2">
      <c r="B199" s="80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104"/>
      <c r="R199" s="59"/>
    </row>
    <row r="200" spans="2:18" ht="12.75" customHeight="1" x14ac:dyDescent="0.2">
      <c r="B200" s="63" t="s">
        <v>33</v>
      </c>
      <c r="C200" s="32"/>
      <c r="D200" s="32"/>
      <c r="E200" s="32"/>
      <c r="F200" s="32"/>
      <c r="G200" s="62"/>
      <c r="H200" s="32"/>
      <c r="I200" s="32"/>
      <c r="J200" s="66"/>
      <c r="K200" s="66"/>
      <c r="L200" s="32"/>
      <c r="M200" s="32"/>
      <c r="N200" s="32"/>
      <c r="O200" s="32"/>
      <c r="P200" s="32"/>
      <c r="Q200" s="35"/>
      <c r="R200" s="32"/>
    </row>
    <row r="201" spans="2:18" ht="12.75" customHeight="1" x14ac:dyDescent="0.2">
      <c r="B201" s="63"/>
      <c r="C201" s="64" t="s">
        <v>104</v>
      </c>
      <c r="D201" s="65"/>
      <c r="E201" s="41"/>
      <c r="F201" s="41"/>
      <c r="G201" s="32"/>
      <c r="H201" s="32"/>
      <c r="I201" s="32"/>
      <c r="J201" s="66"/>
      <c r="K201" s="66"/>
      <c r="L201" s="32"/>
      <c r="M201" s="32"/>
      <c r="N201" s="32"/>
      <c r="O201" s="32"/>
      <c r="P201" s="32"/>
      <c r="Q201" s="35"/>
      <c r="R201" s="32"/>
    </row>
    <row r="202" spans="2:18" ht="12.75" customHeight="1" x14ac:dyDescent="0.2">
      <c r="B202" s="30"/>
      <c r="C202" s="31"/>
      <c r="D202" s="31"/>
      <c r="E202" s="32"/>
      <c r="F202" s="32"/>
      <c r="G202" s="31"/>
      <c r="H202" s="31"/>
      <c r="I202" s="31"/>
      <c r="J202" s="68"/>
      <c r="K202" s="68"/>
      <c r="L202" s="31"/>
      <c r="M202" s="31"/>
      <c r="N202" s="31"/>
      <c r="O202" s="31"/>
      <c r="P202" s="31"/>
      <c r="Q202" s="77"/>
      <c r="R202" s="33"/>
    </row>
    <row r="203" spans="2:18" ht="12.75" customHeight="1" x14ac:dyDescent="0.2">
      <c r="B203" s="2">
        <v>498101</v>
      </c>
      <c r="C203" s="34">
        <v>63</v>
      </c>
      <c r="D203" s="35" t="s">
        <v>105</v>
      </c>
      <c r="E203" s="35">
        <v>93</v>
      </c>
      <c r="F203" s="35">
        <v>185</v>
      </c>
      <c r="G203" s="36">
        <f>F203*0.666*24/72</f>
        <v>41.07</v>
      </c>
      <c r="H203" s="35">
        <v>0</v>
      </c>
      <c r="I203" s="32">
        <v>0</v>
      </c>
      <c r="J203" s="39">
        <v>0</v>
      </c>
      <c r="K203" s="39">
        <v>0</v>
      </c>
      <c r="L203" s="35">
        <v>0</v>
      </c>
      <c r="M203" s="35">
        <v>0</v>
      </c>
      <c r="N203" s="35"/>
      <c r="O203" s="35">
        <f>ROUND((+G203*N203)/100,0)</f>
        <v>0</v>
      </c>
      <c r="P203" s="32">
        <f>IF(M203&gt;O203,+M203-O203,0)</f>
        <v>0</v>
      </c>
      <c r="Q203" s="35">
        <v>0</v>
      </c>
      <c r="R203" s="85">
        <f>+Q203</f>
        <v>0</v>
      </c>
    </row>
    <row r="204" spans="2:18" ht="12.75" customHeight="1" x14ac:dyDescent="0.2">
      <c r="B204" s="1">
        <v>407104</v>
      </c>
      <c r="C204" s="34">
        <v>18</v>
      </c>
      <c r="D204" s="35" t="s">
        <v>451</v>
      </c>
      <c r="E204" s="35">
        <v>92</v>
      </c>
      <c r="F204" s="35">
        <v>137</v>
      </c>
      <c r="G204" s="36">
        <f>F204*0.666*24/72</f>
        <v>30.414000000000001</v>
      </c>
      <c r="H204" s="35">
        <v>20</v>
      </c>
      <c r="I204" s="32">
        <v>0</v>
      </c>
      <c r="J204" s="39">
        <v>0</v>
      </c>
      <c r="K204" s="39">
        <v>0</v>
      </c>
      <c r="L204" s="35">
        <v>18</v>
      </c>
      <c r="M204" s="35">
        <v>0</v>
      </c>
      <c r="N204" s="35"/>
      <c r="O204" s="35">
        <f>ROUND((+G204*N204)/100,0)</f>
        <v>0</v>
      </c>
      <c r="P204" s="32">
        <f>IF(M204&gt;O204,+M204-O204,0)</f>
        <v>0</v>
      </c>
      <c r="Q204" s="35">
        <v>10</v>
      </c>
      <c r="R204" s="85">
        <f>+Q204</f>
        <v>10</v>
      </c>
    </row>
    <row r="205" spans="2:18" ht="12.75" customHeight="1" x14ac:dyDescent="0.2">
      <c r="B205" s="40"/>
      <c r="C205" s="41"/>
      <c r="D205" s="41"/>
      <c r="E205" s="41"/>
      <c r="F205" s="41"/>
      <c r="G205" s="93"/>
      <c r="H205" s="41"/>
      <c r="I205" s="41"/>
      <c r="J205" s="42"/>
      <c r="K205" s="42"/>
      <c r="L205" s="41"/>
      <c r="M205" s="41"/>
      <c r="N205" s="41"/>
      <c r="O205" s="41"/>
      <c r="P205" s="41"/>
      <c r="Q205" s="251"/>
      <c r="R205" s="86"/>
    </row>
    <row r="206" spans="2:18" ht="12.75" customHeight="1" x14ac:dyDescent="0.2">
      <c r="B206" s="30" t="s">
        <v>37</v>
      </c>
      <c r="C206" s="31"/>
      <c r="D206" s="31">
        <f>COUNTA(B203:B204)</f>
        <v>2</v>
      </c>
      <c r="E206" s="31">
        <f>SUM(E203:E204)</f>
        <v>185</v>
      </c>
      <c r="F206" s="31">
        <f>SUM(F203:F204)</f>
        <v>322</v>
      </c>
      <c r="G206" s="31">
        <f t="shared" ref="G206:R206" si="49">SUM(G203:G204)</f>
        <v>71.484000000000009</v>
      </c>
      <c r="H206" s="31">
        <f t="shared" si="49"/>
        <v>20</v>
      </c>
      <c r="I206" s="31">
        <f t="shared" si="49"/>
        <v>0</v>
      </c>
      <c r="J206" s="31">
        <f t="shared" si="49"/>
        <v>0</v>
      </c>
      <c r="K206" s="31">
        <f t="shared" si="49"/>
        <v>0</v>
      </c>
      <c r="L206" s="31">
        <f t="shared" si="49"/>
        <v>18</v>
      </c>
      <c r="M206" s="31">
        <f t="shared" si="49"/>
        <v>0</v>
      </c>
      <c r="N206" s="31">
        <f t="shared" si="49"/>
        <v>0</v>
      </c>
      <c r="O206" s="31">
        <f t="shared" si="49"/>
        <v>0</v>
      </c>
      <c r="P206" s="31">
        <f t="shared" si="49"/>
        <v>0</v>
      </c>
      <c r="Q206" s="31">
        <f t="shared" si="49"/>
        <v>10</v>
      </c>
      <c r="R206" s="31">
        <f t="shared" si="49"/>
        <v>10</v>
      </c>
    </row>
    <row r="207" spans="2:18" s="34" customFormat="1" ht="15.75" customHeight="1" x14ac:dyDescent="0.2">
      <c r="B207" s="89" t="s">
        <v>38</v>
      </c>
      <c r="C207" s="90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254"/>
      <c r="R207" s="122"/>
    </row>
    <row r="208" spans="2:18" ht="12.75" customHeight="1" x14ac:dyDescent="0.2">
      <c r="B208" s="79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5"/>
      <c r="N208" s="111"/>
      <c r="O208" s="111"/>
      <c r="P208" s="111"/>
      <c r="Q208" s="169" t="s">
        <v>39</v>
      </c>
      <c r="R208" s="96">
        <f>R206+R207</f>
        <v>10</v>
      </c>
    </row>
    <row r="209" spans="2:18" ht="12.75" customHeight="1" x14ac:dyDescent="0.2">
      <c r="B209" s="80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104"/>
      <c r="R209" s="59"/>
    </row>
    <row r="210" spans="2:18" ht="12.75" customHeight="1" x14ac:dyDescent="0.2">
      <c r="B210" s="80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104"/>
      <c r="R210" s="59"/>
    </row>
    <row r="211" spans="2:18" ht="12.75" customHeight="1" x14ac:dyDescent="0.2">
      <c r="B211" s="63" t="s">
        <v>33</v>
      </c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5"/>
      <c r="R211" s="32"/>
    </row>
    <row r="212" spans="2:18" ht="12.75" customHeight="1" x14ac:dyDescent="0.2">
      <c r="B212" s="63"/>
      <c r="C212" s="64" t="s">
        <v>106</v>
      </c>
      <c r="D212" s="65"/>
      <c r="E212" s="65"/>
      <c r="F212" s="32"/>
      <c r="G212" s="32"/>
      <c r="H212" s="32"/>
      <c r="I212" s="32"/>
      <c r="J212" s="66"/>
      <c r="K212" s="66"/>
      <c r="L212" s="32"/>
      <c r="M212" s="32"/>
      <c r="N212" s="32"/>
      <c r="O212" s="32"/>
      <c r="P212" s="32"/>
      <c r="Q212" s="35"/>
      <c r="R212" s="32"/>
    </row>
    <row r="213" spans="2:18" ht="12.75" customHeight="1" x14ac:dyDescent="0.2">
      <c r="B213" s="30"/>
      <c r="C213" s="31"/>
      <c r="D213" s="31"/>
      <c r="E213" s="31"/>
      <c r="F213" s="31"/>
      <c r="G213" s="31"/>
      <c r="H213" s="31"/>
      <c r="I213" s="31"/>
      <c r="J213" s="68"/>
      <c r="K213" s="68"/>
      <c r="L213" s="31"/>
      <c r="M213" s="31"/>
      <c r="N213" s="31"/>
      <c r="O213" s="31"/>
      <c r="P213" s="31"/>
      <c r="Q213" s="77"/>
      <c r="R213" s="33"/>
    </row>
    <row r="214" spans="2:18" ht="12.75" customHeight="1" x14ac:dyDescent="0.2">
      <c r="B214" s="2">
        <v>36103</v>
      </c>
      <c r="C214" s="32">
        <v>1</v>
      </c>
      <c r="D214" s="32" t="s">
        <v>107</v>
      </c>
      <c r="E214" s="35">
        <v>212</v>
      </c>
      <c r="F214" s="35">
        <v>325</v>
      </c>
      <c r="G214" s="36">
        <f t="shared" ref="G214:G220" si="50">F214*0.666*24/72</f>
        <v>72.150000000000006</v>
      </c>
      <c r="H214" s="230">
        <v>0</v>
      </c>
      <c r="I214" s="32">
        <v>0</v>
      </c>
      <c r="J214" s="66">
        <v>0</v>
      </c>
      <c r="K214" s="66">
        <v>0</v>
      </c>
      <c r="L214" s="230">
        <v>34</v>
      </c>
      <c r="M214" s="32">
        <v>0</v>
      </c>
      <c r="N214" s="32"/>
      <c r="O214" s="32">
        <f t="shared" ref="O214:O220" si="51">ROUND((+G214*N214)/100,0)</f>
        <v>0</v>
      </c>
      <c r="P214" s="32">
        <f t="shared" ref="P214:P220" si="52">IF(M214&gt;O214,+M214-O214,0)</f>
        <v>0</v>
      </c>
      <c r="Q214" s="230">
        <v>51</v>
      </c>
      <c r="R214" s="37">
        <f t="shared" ref="R214:R220" si="53">Q214</f>
        <v>51</v>
      </c>
    </row>
    <row r="215" spans="2:18" ht="12.75" customHeight="1" x14ac:dyDescent="0.2">
      <c r="B215" s="2">
        <v>36104</v>
      </c>
      <c r="C215" s="32">
        <v>39</v>
      </c>
      <c r="D215" s="32" t="s">
        <v>108</v>
      </c>
      <c r="E215" s="35">
        <v>61</v>
      </c>
      <c r="F215" s="35">
        <v>98</v>
      </c>
      <c r="G215" s="36">
        <f t="shared" si="50"/>
        <v>21.756</v>
      </c>
      <c r="H215" s="230">
        <v>13</v>
      </c>
      <c r="I215" s="32">
        <v>0</v>
      </c>
      <c r="J215" s="66">
        <v>0</v>
      </c>
      <c r="K215" s="66">
        <v>0</v>
      </c>
      <c r="L215" s="230">
        <v>14</v>
      </c>
      <c r="M215" s="32">
        <v>0</v>
      </c>
      <c r="N215" s="32"/>
      <c r="O215" s="32">
        <f t="shared" si="51"/>
        <v>0</v>
      </c>
      <c r="P215" s="32">
        <f t="shared" si="52"/>
        <v>0</v>
      </c>
      <c r="Q215" s="230">
        <v>14</v>
      </c>
      <c r="R215" s="37">
        <f t="shared" si="53"/>
        <v>14</v>
      </c>
    </row>
    <row r="216" spans="2:18" ht="12.75" customHeight="1" x14ac:dyDescent="0.2">
      <c r="B216" s="2">
        <v>36105</v>
      </c>
      <c r="C216" s="32">
        <v>38</v>
      </c>
      <c r="D216" s="32" t="s">
        <v>109</v>
      </c>
      <c r="E216" s="35">
        <v>59</v>
      </c>
      <c r="F216" s="35">
        <v>90</v>
      </c>
      <c r="G216" s="36">
        <f t="shared" si="50"/>
        <v>19.980000000000004</v>
      </c>
      <c r="H216" s="230">
        <v>12</v>
      </c>
      <c r="I216" s="32">
        <v>0</v>
      </c>
      <c r="J216" s="66">
        <v>0</v>
      </c>
      <c r="K216" s="66">
        <v>0</v>
      </c>
      <c r="L216" s="230">
        <v>12</v>
      </c>
      <c r="M216" s="32">
        <v>0</v>
      </c>
      <c r="N216" s="32"/>
      <c r="O216" s="32">
        <f t="shared" si="51"/>
        <v>0</v>
      </c>
      <c r="P216" s="32">
        <f t="shared" si="52"/>
        <v>0</v>
      </c>
      <c r="Q216" s="230">
        <v>12</v>
      </c>
      <c r="R216" s="37">
        <f t="shared" si="53"/>
        <v>12</v>
      </c>
    </row>
    <row r="217" spans="2:18" ht="12.75" customHeight="1" x14ac:dyDescent="0.2">
      <c r="B217" s="1">
        <v>36106</v>
      </c>
      <c r="C217" s="35">
        <v>3</v>
      </c>
      <c r="D217" s="35" t="s">
        <v>420</v>
      </c>
      <c r="E217" s="35">
        <v>67</v>
      </c>
      <c r="F217" s="35">
        <v>98</v>
      </c>
      <c r="G217" s="36">
        <f t="shared" si="50"/>
        <v>21.756</v>
      </c>
      <c r="H217" s="230">
        <v>0</v>
      </c>
      <c r="I217" s="32">
        <v>0</v>
      </c>
      <c r="J217" s="66">
        <v>0</v>
      </c>
      <c r="K217" s="66">
        <v>0</v>
      </c>
      <c r="L217" s="230">
        <v>17</v>
      </c>
      <c r="M217" s="32">
        <v>0</v>
      </c>
      <c r="N217" s="32"/>
      <c r="O217" s="32">
        <f>ROUND((+G217*N217)/100,0)</f>
        <v>0</v>
      </c>
      <c r="P217" s="32">
        <f>IF(M217&gt;O217,+M217-O217,0)</f>
        <v>0</v>
      </c>
      <c r="Q217" s="230">
        <v>17</v>
      </c>
      <c r="R217" s="37">
        <f>Q217</f>
        <v>17</v>
      </c>
    </row>
    <row r="218" spans="2:18" ht="12.75" customHeight="1" x14ac:dyDescent="0.2">
      <c r="B218" s="2">
        <v>412101</v>
      </c>
      <c r="C218" s="32">
        <v>2</v>
      </c>
      <c r="D218" s="32" t="s">
        <v>110</v>
      </c>
      <c r="E218" s="35">
        <v>254</v>
      </c>
      <c r="F218" s="35">
        <v>401</v>
      </c>
      <c r="G218" s="36">
        <f t="shared" si="50"/>
        <v>89.022000000000006</v>
      </c>
      <c r="H218" s="230">
        <v>60</v>
      </c>
      <c r="I218" s="32">
        <v>0</v>
      </c>
      <c r="J218" s="66">
        <v>0</v>
      </c>
      <c r="K218" s="66">
        <v>0</v>
      </c>
      <c r="L218" s="230">
        <v>60</v>
      </c>
      <c r="M218" s="32">
        <v>0</v>
      </c>
      <c r="N218" s="32"/>
      <c r="O218" s="32">
        <f t="shared" si="51"/>
        <v>0</v>
      </c>
      <c r="P218" s="32">
        <f t="shared" si="52"/>
        <v>0</v>
      </c>
      <c r="Q218" s="230">
        <v>60</v>
      </c>
      <c r="R218" s="75">
        <f t="shared" si="53"/>
        <v>60</v>
      </c>
    </row>
    <row r="219" spans="2:18" ht="12.75" customHeight="1" x14ac:dyDescent="0.2">
      <c r="B219" s="2">
        <v>465102</v>
      </c>
      <c r="C219" s="32">
        <v>62</v>
      </c>
      <c r="D219" s="32" t="s">
        <v>1</v>
      </c>
      <c r="E219" s="35">
        <v>74</v>
      </c>
      <c r="F219" s="35">
        <v>97</v>
      </c>
      <c r="G219" s="36">
        <f t="shared" si="50"/>
        <v>21.534000000000002</v>
      </c>
      <c r="H219" s="230">
        <v>18</v>
      </c>
      <c r="I219" s="32">
        <v>0</v>
      </c>
      <c r="J219" s="66">
        <v>0</v>
      </c>
      <c r="K219" s="66">
        <v>0</v>
      </c>
      <c r="L219" s="230">
        <v>16</v>
      </c>
      <c r="M219" s="32">
        <v>0</v>
      </c>
      <c r="N219" s="32"/>
      <c r="O219" s="32">
        <f t="shared" si="51"/>
        <v>0</v>
      </c>
      <c r="P219" s="32">
        <f t="shared" si="52"/>
        <v>0</v>
      </c>
      <c r="Q219" s="230">
        <v>18</v>
      </c>
      <c r="R219" s="75">
        <f t="shared" si="53"/>
        <v>18</v>
      </c>
    </row>
    <row r="220" spans="2:18" ht="12.75" customHeight="1" x14ac:dyDescent="0.2">
      <c r="B220" s="2">
        <v>470103</v>
      </c>
      <c r="C220" s="32">
        <v>25</v>
      </c>
      <c r="D220" s="32" t="s">
        <v>111</v>
      </c>
      <c r="E220" s="35">
        <v>90</v>
      </c>
      <c r="F220" s="35">
        <v>136</v>
      </c>
      <c r="G220" s="36">
        <f t="shared" si="50"/>
        <v>30.192</v>
      </c>
      <c r="H220" s="230">
        <v>24</v>
      </c>
      <c r="I220" s="32">
        <v>0</v>
      </c>
      <c r="J220" s="66">
        <v>0</v>
      </c>
      <c r="K220" s="66">
        <v>0</v>
      </c>
      <c r="L220" s="230">
        <v>24</v>
      </c>
      <c r="M220" s="32">
        <v>0</v>
      </c>
      <c r="N220" s="32"/>
      <c r="O220" s="32">
        <f t="shared" si="51"/>
        <v>0</v>
      </c>
      <c r="P220" s="32">
        <f t="shared" si="52"/>
        <v>0</v>
      </c>
      <c r="Q220" s="230">
        <v>24</v>
      </c>
      <c r="R220" s="37">
        <f t="shared" si="53"/>
        <v>24</v>
      </c>
    </row>
    <row r="221" spans="2:18" ht="12.75" customHeight="1" x14ac:dyDescent="0.2">
      <c r="B221" s="63"/>
      <c r="C221" s="32"/>
      <c r="D221" s="32"/>
      <c r="E221" s="32"/>
      <c r="F221" s="32"/>
      <c r="G221" s="36"/>
      <c r="H221" s="39"/>
      <c r="I221" s="32"/>
      <c r="J221" s="66"/>
      <c r="K221" s="66"/>
      <c r="L221" s="39"/>
      <c r="M221" s="32"/>
      <c r="N221" s="32"/>
      <c r="O221" s="32"/>
      <c r="P221" s="32"/>
      <c r="Q221" s="70"/>
      <c r="R221" s="86"/>
    </row>
    <row r="222" spans="2:18" ht="12.75" customHeight="1" x14ac:dyDescent="0.2">
      <c r="B222" s="46" t="s">
        <v>37</v>
      </c>
      <c r="C222" s="47"/>
      <c r="D222" s="47">
        <f>COUNTA(B214:B220)</f>
        <v>7</v>
      </c>
      <c r="E222" s="87">
        <f t="shared" ref="E222:R222" si="54">SUM(E214:E220)</f>
        <v>817</v>
      </c>
      <c r="F222" s="87">
        <f t="shared" si="54"/>
        <v>1245</v>
      </c>
      <c r="G222" s="88">
        <f t="shared" si="54"/>
        <v>276.39</v>
      </c>
      <c r="H222" s="88">
        <f t="shared" si="54"/>
        <v>127</v>
      </c>
      <c r="I222" s="88">
        <f t="shared" si="54"/>
        <v>0</v>
      </c>
      <c r="J222" s="88">
        <f t="shared" si="54"/>
        <v>0</v>
      </c>
      <c r="K222" s="88">
        <f t="shared" si="54"/>
        <v>0</v>
      </c>
      <c r="L222" s="88">
        <f t="shared" si="54"/>
        <v>177</v>
      </c>
      <c r="M222" s="88">
        <f t="shared" si="54"/>
        <v>0</v>
      </c>
      <c r="N222" s="88">
        <f t="shared" si="54"/>
        <v>0</v>
      </c>
      <c r="O222" s="88">
        <f t="shared" si="54"/>
        <v>0</v>
      </c>
      <c r="P222" s="88">
        <f t="shared" si="54"/>
        <v>0</v>
      </c>
      <c r="Q222" s="249">
        <f t="shared" si="54"/>
        <v>196</v>
      </c>
      <c r="R222" s="88">
        <f t="shared" si="54"/>
        <v>196</v>
      </c>
    </row>
    <row r="223" spans="2:18" ht="12.75" customHeight="1" x14ac:dyDescent="0.2">
      <c r="B223" s="89" t="s">
        <v>485</v>
      </c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1"/>
      <c r="O223" s="91"/>
      <c r="P223" s="91"/>
      <c r="Q223" s="246"/>
      <c r="R223" s="122"/>
    </row>
    <row r="224" spans="2:18" s="34" customFormat="1" ht="12.75" customHeight="1" x14ac:dyDescent="0.2">
      <c r="B224" s="217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37"/>
      <c r="N224" s="56"/>
      <c r="O224" s="56"/>
      <c r="P224" s="56"/>
      <c r="Q224" s="247" t="s">
        <v>39</v>
      </c>
      <c r="R224" s="96">
        <f>R222+R223</f>
        <v>196</v>
      </c>
    </row>
    <row r="225" spans="2:19" ht="12.75" customHeight="1" x14ac:dyDescent="0.2">
      <c r="B225" s="21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9"/>
      <c r="N225" s="56"/>
      <c r="O225" s="56"/>
      <c r="P225" s="56"/>
      <c r="Q225" s="104"/>
      <c r="R225" s="59"/>
    </row>
    <row r="226" spans="2:19" ht="12.75" customHeight="1" x14ac:dyDescent="0.2">
      <c r="B226" s="80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104"/>
      <c r="R226" s="59"/>
    </row>
    <row r="227" spans="2:19" ht="12.75" customHeight="1" x14ac:dyDescent="0.2">
      <c r="B227" s="63" t="s">
        <v>33</v>
      </c>
      <c r="C227" s="32"/>
      <c r="D227" s="32"/>
      <c r="E227" s="32"/>
      <c r="F227" s="32"/>
      <c r="G227" s="62"/>
      <c r="H227" s="32"/>
      <c r="I227" s="32"/>
      <c r="J227" s="66"/>
      <c r="K227" s="66"/>
      <c r="L227" s="32"/>
      <c r="M227" s="32"/>
      <c r="N227" s="32"/>
      <c r="O227" s="32"/>
      <c r="P227" s="32"/>
      <c r="Q227" s="35"/>
      <c r="R227" s="32"/>
    </row>
    <row r="228" spans="2:19" ht="12.75" customHeight="1" x14ac:dyDescent="0.2">
      <c r="B228" s="63"/>
      <c r="C228" s="64" t="s">
        <v>112</v>
      </c>
      <c r="D228" s="65"/>
      <c r="E228" s="65"/>
      <c r="F228" s="32"/>
      <c r="G228" s="32"/>
      <c r="H228" s="32"/>
      <c r="I228" s="32"/>
      <c r="J228" s="66"/>
      <c r="K228" s="66"/>
      <c r="L228" s="32"/>
      <c r="M228" s="32"/>
      <c r="N228" s="32"/>
      <c r="O228" s="32"/>
      <c r="P228" s="32"/>
      <c r="Q228" s="35"/>
      <c r="R228" s="32"/>
    </row>
    <row r="229" spans="2:19" ht="12.75" customHeight="1" x14ac:dyDescent="0.2">
      <c r="B229" s="30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77"/>
      <c r="R229" s="33"/>
    </row>
    <row r="230" spans="2:19" ht="12.75" customHeight="1" x14ac:dyDescent="0.2">
      <c r="B230" s="1">
        <v>407105</v>
      </c>
      <c r="C230" s="35">
        <v>43</v>
      </c>
      <c r="D230" s="35" t="s">
        <v>462</v>
      </c>
      <c r="E230" s="35">
        <v>79</v>
      </c>
      <c r="F230" s="35">
        <v>116</v>
      </c>
      <c r="G230" s="36">
        <f t="shared" ref="G230" si="55">F230*0.666*24/72</f>
        <v>25.751999999999999</v>
      </c>
      <c r="H230" s="230">
        <v>4</v>
      </c>
      <c r="I230" s="32">
        <v>0</v>
      </c>
      <c r="J230" s="66">
        <v>0</v>
      </c>
      <c r="K230" s="66">
        <v>0</v>
      </c>
      <c r="L230" s="230">
        <v>26</v>
      </c>
      <c r="M230" s="32">
        <v>0</v>
      </c>
      <c r="N230" s="32"/>
      <c r="O230" s="32">
        <f t="shared" ref="O230" si="56">ROUND((+G230*N230)/100,0)</f>
        <v>0</v>
      </c>
      <c r="P230" s="32">
        <f t="shared" ref="P230" si="57">IF(M230&gt;O230,+M230-O230,0)</f>
        <v>0</v>
      </c>
      <c r="Q230" s="230">
        <v>22</v>
      </c>
      <c r="R230" s="37">
        <f t="shared" ref="R230" si="58">Q230</f>
        <v>22</v>
      </c>
    </row>
    <row r="231" spans="2:19" ht="12.75" customHeight="1" x14ac:dyDescent="0.2">
      <c r="B231" s="2"/>
      <c r="C231" s="32"/>
      <c r="D231" s="32"/>
      <c r="E231" s="36"/>
      <c r="F231" s="32"/>
      <c r="G231" s="59"/>
      <c r="H231" s="70"/>
      <c r="I231" s="32"/>
      <c r="J231" s="39"/>
      <c r="K231" s="39"/>
      <c r="L231" s="70"/>
      <c r="M231" s="32"/>
      <c r="N231" s="32"/>
      <c r="O231" s="32"/>
      <c r="P231" s="32"/>
      <c r="Q231" s="70"/>
      <c r="R231" s="86"/>
    </row>
    <row r="232" spans="2:19" ht="12.75" customHeight="1" x14ac:dyDescent="0.2">
      <c r="B232" s="46" t="s">
        <v>37</v>
      </c>
      <c r="C232" s="47"/>
      <c r="D232" s="47">
        <f>COUNTA(B230)</f>
        <v>1</v>
      </c>
      <c r="E232" s="87">
        <f>+E230</f>
        <v>79</v>
      </c>
      <c r="F232" s="87">
        <f t="shared" ref="F232:S232" si="59">+F230</f>
        <v>116</v>
      </c>
      <c r="G232" s="87">
        <f t="shared" si="59"/>
        <v>25.751999999999999</v>
      </c>
      <c r="H232" s="87">
        <f t="shared" si="59"/>
        <v>4</v>
      </c>
      <c r="I232" s="87">
        <f t="shared" si="59"/>
        <v>0</v>
      </c>
      <c r="J232" s="87">
        <f t="shared" si="59"/>
        <v>0</v>
      </c>
      <c r="K232" s="87">
        <f t="shared" si="59"/>
        <v>0</v>
      </c>
      <c r="L232" s="87">
        <f t="shared" si="59"/>
        <v>26</v>
      </c>
      <c r="M232" s="87">
        <f t="shared" si="59"/>
        <v>0</v>
      </c>
      <c r="N232" s="87">
        <f t="shared" si="59"/>
        <v>0</v>
      </c>
      <c r="O232" s="87">
        <f t="shared" si="59"/>
        <v>0</v>
      </c>
      <c r="P232" s="87">
        <f t="shared" si="59"/>
        <v>0</v>
      </c>
      <c r="Q232" s="255">
        <f t="shared" si="59"/>
        <v>22</v>
      </c>
      <c r="R232" s="87">
        <f t="shared" si="59"/>
        <v>22</v>
      </c>
      <c r="S232" s="255">
        <f t="shared" si="59"/>
        <v>0</v>
      </c>
    </row>
    <row r="233" spans="2:19" ht="12.75" customHeight="1" x14ac:dyDescent="0.2">
      <c r="B233" s="89" t="s">
        <v>38</v>
      </c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1"/>
      <c r="O233" s="91"/>
      <c r="P233" s="91"/>
      <c r="Q233" s="246"/>
      <c r="R233" s="122"/>
    </row>
    <row r="234" spans="2:19" ht="12.75" customHeight="1" x14ac:dyDescent="0.2">
      <c r="B234" s="79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5"/>
      <c r="N234" s="56"/>
      <c r="O234" s="56"/>
      <c r="P234" s="56"/>
      <c r="Q234" s="247" t="s">
        <v>39</v>
      </c>
      <c r="R234" s="57">
        <f>R232+R233</f>
        <v>22</v>
      </c>
    </row>
    <row r="235" spans="2:19" ht="12.75" customHeight="1" x14ac:dyDescent="0.2">
      <c r="B235" s="80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104"/>
      <c r="R235" s="59"/>
    </row>
    <row r="236" spans="2:19" ht="12.75" customHeight="1" x14ac:dyDescent="0.2">
      <c r="B236" s="80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104"/>
      <c r="R236" s="59"/>
    </row>
    <row r="237" spans="2:19" ht="12.75" customHeight="1" x14ac:dyDescent="0.2">
      <c r="B237" s="63" t="s">
        <v>33</v>
      </c>
      <c r="C237" s="32"/>
      <c r="D237" s="32"/>
      <c r="E237" s="62"/>
      <c r="F237" s="6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5"/>
      <c r="R237" s="32"/>
    </row>
    <row r="238" spans="2:19" ht="12.75" customHeight="1" x14ac:dyDescent="0.2">
      <c r="B238" s="63"/>
      <c r="C238" s="64" t="s">
        <v>113</v>
      </c>
      <c r="D238" s="65"/>
      <c r="E238" s="32"/>
      <c r="F238" s="32"/>
      <c r="G238" s="32"/>
      <c r="H238" s="32"/>
      <c r="I238" s="32"/>
      <c r="J238" s="66"/>
      <c r="K238" s="66"/>
      <c r="L238" s="32"/>
      <c r="M238" s="32"/>
      <c r="N238" s="32"/>
      <c r="O238" s="32"/>
      <c r="P238" s="32"/>
      <c r="Q238" s="35"/>
      <c r="R238" s="32"/>
    </row>
    <row r="239" spans="2:19" ht="12.75" customHeight="1" x14ac:dyDescent="0.2">
      <c r="B239" s="30"/>
      <c r="C239" s="31"/>
      <c r="D239" s="31"/>
      <c r="E239" s="31"/>
      <c r="F239" s="31"/>
      <c r="G239" s="31"/>
      <c r="H239" s="31"/>
      <c r="I239" s="31"/>
      <c r="J239" s="68"/>
      <c r="K239" s="68"/>
      <c r="L239" s="31"/>
      <c r="M239" s="31"/>
      <c r="N239" s="31"/>
      <c r="O239" s="31"/>
      <c r="P239" s="31"/>
      <c r="Q239" s="77"/>
      <c r="R239" s="33"/>
    </row>
    <row r="240" spans="2:19" ht="12.75" customHeight="1" x14ac:dyDescent="0.2">
      <c r="B240" s="1">
        <v>117101</v>
      </c>
      <c r="C240" s="35">
        <v>71</v>
      </c>
      <c r="D240" s="35" t="s">
        <v>114</v>
      </c>
      <c r="E240" s="35">
        <v>62</v>
      </c>
      <c r="F240" s="35">
        <v>97</v>
      </c>
      <c r="G240" s="36">
        <f t="shared" ref="G240:G248" si="60">F240*0.666*24/72</f>
        <v>21.534000000000002</v>
      </c>
      <c r="H240" s="35">
        <v>15</v>
      </c>
      <c r="I240" s="32">
        <v>0</v>
      </c>
      <c r="J240" s="66">
        <v>0</v>
      </c>
      <c r="K240" s="66">
        <v>0</v>
      </c>
      <c r="L240" s="35">
        <v>10</v>
      </c>
      <c r="M240" s="32"/>
      <c r="N240" s="32"/>
      <c r="O240" s="32">
        <f t="shared" ref="O240:O248" si="61">ROUND((+G240*N240)/100,0)</f>
        <v>0</v>
      </c>
      <c r="P240" s="32">
        <f t="shared" ref="P240:P246" si="62">IF(M240&gt;O240,+M240-O240,0)</f>
        <v>0</v>
      </c>
      <c r="Q240" s="35">
        <v>15</v>
      </c>
      <c r="R240" s="75">
        <f t="shared" ref="R240:R248" si="63">+Q240</f>
        <v>15</v>
      </c>
    </row>
    <row r="241" spans="2:18" ht="12.75" customHeight="1" x14ac:dyDescent="0.2">
      <c r="B241" s="1">
        <v>159109</v>
      </c>
      <c r="C241" s="35">
        <v>82</v>
      </c>
      <c r="D241" s="35" t="s">
        <v>115</v>
      </c>
      <c r="E241" s="35">
        <v>40</v>
      </c>
      <c r="F241" s="35">
        <v>62</v>
      </c>
      <c r="G241" s="36">
        <f t="shared" si="60"/>
        <v>13.764000000000001</v>
      </c>
      <c r="H241" s="35">
        <v>12</v>
      </c>
      <c r="I241" s="32">
        <v>0</v>
      </c>
      <c r="J241" s="66">
        <v>0</v>
      </c>
      <c r="K241" s="66">
        <v>0</v>
      </c>
      <c r="L241" s="35">
        <v>13</v>
      </c>
      <c r="M241" s="32"/>
      <c r="N241" s="32"/>
      <c r="O241" s="32">
        <f t="shared" si="61"/>
        <v>0</v>
      </c>
      <c r="P241" s="32">
        <f t="shared" si="62"/>
        <v>0</v>
      </c>
      <c r="Q241" s="35">
        <v>11</v>
      </c>
      <c r="R241" s="75">
        <f t="shared" si="63"/>
        <v>11</v>
      </c>
    </row>
    <row r="242" spans="2:18" ht="12.75" customHeight="1" x14ac:dyDescent="0.2">
      <c r="B242" s="1">
        <v>291103</v>
      </c>
      <c r="C242" s="35">
        <v>129</v>
      </c>
      <c r="D242" s="35" t="s">
        <v>410</v>
      </c>
      <c r="E242" s="35">
        <v>70</v>
      </c>
      <c r="F242" s="35">
        <v>121</v>
      </c>
      <c r="G242" s="36">
        <f t="shared" si="60"/>
        <v>26.861999999999998</v>
      </c>
      <c r="H242" s="35">
        <v>22</v>
      </c>
      <c r="I242" s="32">
        <v>0</v>
      </c>
      <c r="J242" s="66">
        <v>0</v>
      </c>
      <c r="K242" s="66">
        <v>0</v>
      </c>
      <c r="L242" s="35">
        <v>21</v>
      </c>
      <c r="M242" s="32"/>
      <c r="N242" s="32"/>
      <c r="O242" s="32">
        <f>ROUND((+G242*N242)/100,0)</f>
        <v>0</v>
      </c>
      <c r="P242" s="32">
        <f>IF(M242&gt;O242,+M242-O242,0)</f>
        <v>0</v>
      </c>
      <c r="Q242" s="35">
        <v>22</v>
      </c>
      <c r="R242" s="75">
        <f>+Q242</f>
        <v>22</v>
      </c>
    </row>
    <row r="243" spans="2:18" s="34" customFormat="1" ht="12.75" customHeight="1" x14ac:dyDescent="0.2">
      <c r="B243" s="1">
        <v>344102</v>
      </c>
      <c r="C243" s="35">
        <v>151</v>
      </c>
      <c r="D243" s="35" t="s">
        <v>284</v>
      </c>
      <c r="E243" s="35">
        <v>36</v>
      </c>
      <c r="F243" s="35">
        <v>58</v>
      </c>
      <c r="G243" s="36">
        <f t="shared" si="60"/>
        <v>12.875999999999999</v>
      </c>
      <c r="H243" s="71">
        <v>10</v>
      </c>
      <c r="I243" s="35">
        <v>0</v>
      </c>
      <c r="J243" s="66">
        <v>0</v>
      </c>
      <c r="K243" s="66">
        <v>0</v>
      </c>
      <c r="L243" s="71">
        <v>10</v>
      </c>
      <c r="M243" s="35"/>
      <c r="N243" s="35"/>
      <c r="O243" s="35">
        <f>ROUND((+G243*N243)/100,0)</f>
        <v>0</v>
      </c>
      <c r="P243" s="35">
        <f>IF(M243&gt;O243,+M243-O243,0)</f>
        <v>0</v>
      </c>
      <c r="Q243" s="71">
        <v>9</v>
      </c>
      <c r="R243" s="97">
        <f>+Q243</f>
        <v>9</v>
      </c>
    </row>
    <row r="244" spans="2:18" ht="12.75" customHeight="1" x14ac:dyDescent="0.2">
      <c r="B244" s="1">
        <v>439103</v>
      </c>
      <c r="C244" s="35">
        <v>147</v>
      </c>
      <c r="D244" s="35" t="s">
        <v>116</v>
      </c>
      <c r="E244" s="35">
        <v>62</v>
      </c>
      <c r="F244" s="35">
        <v>87</v>
      </c>
      <c r="G244" s="36">
        <f t="shared" si="60"/>
        <v>19.314</v>
      </c>
      <c r="H244" s="35">
        <v>0</v>
      </c>
      <c r="I244" s="32">
        <v>0</v>
      </c>
      <c r="J244" s="66">
        <v>0</v>
      </c>
      <c r="K244" s="66">
        <v>0</v>
      </c>
      <c r="L244" s="35">
        <v>15</v>
      </c>
      <c r="M244" s="32"/>
      <c r="N244" s="32"/>
      <c r="O244" s="32">
        <f t="shared" si="61"/>
        <v>0</v>
      </c>
      <c r="P244" s="32">
        <f t="shared" si="62"/>
        <v>0</v>
      </c>
      <c r="Q244" s="35">
        <v>17</v>
      </c>
      <c r="R244" s="37">
        <f t="shared" si="63"/>
        <v>17</v>
      </c>
    </row>
    <row r="245" spans="2:18" ht="12.75" customHeight="1" x14ac:dyDescent="0.2">
      <c r="B245" s="1">
        <v>439108</v>
      </c>
      <c r="C245" s="35">
        <v>69</v>
      </c>
      <c r="D245" s="35" t="s">
        <v>117</v>
      </c>
      <c r="E245" s="35">
        <v>43</v>
      </c>
      <c r="F245" s="35">
        <v>61</v>
      </c>
      <c r="G245" s="36">
        <f t="shared" si="60"/>
        <v>13.542000000000002</v>
      </c>
      <c r="H245" s="35">
        <v>0</v>
      </c>
      <c r="I245" s="32">
        <v>0</v>
      </c>
      <c r="J245" s="66">
        <v>0</v>
      </c>
      <c r="K245" s="66">
        <v>0</v>
      </c>
      <c r="L245" s="35">
        <v>12</v>
      </c>
      <c r="M245" s="32"/>
      <c r="N245" s="32"/>
      <c r="O245" s="32">
        <f t="shared" si="61"/>
        <v>0</v>
      </c>
      <c r="P245" s="32">
        <f t="shared" si="62"/>
        <v>0</v>
      </c>
      <c r="Q245" s="35">
        <v>11</v>
      </c>
      <c r="R245" s="37">
        <f t="shared" si="63"/>
        <v>11</v>
      </c>
    </row>
    <row r="246" spans="2:18" ht="12.75" customHeight="1" x14ac:dyDescent="0.2">
      <c r="B246" s="1">
        <v>439109</v>
      </c>
      <c r="C246" s="35">
        <v>120</v>
      </c>
      <c r="D246" s="35" t="s">
        <v>118</v>
      </c>
      <c r="E246" s="35">
        <v>132</v>
      </c>
      <c r="F246" s="35">
        <v>212</v>
      </c>
      <c r="G246" s="36">
        <f t="shared" si="60"/>
        <v>47.064</v>
      </c>
      <c r="H246" s="35">
        <v>30</v>
      </c>
      <c r="I246" s="32">
        <v>0</v>
      </c>
      <c r="J246" s="66">
        <v>0</v>
      </c>
      <c r="K246" s="66">
        <v>0</v>
      </c>
      <c r="L246" s="35">
        <v>35</v>
      </c>
      <c r="M246" s="32"/>
      <c r="N246" s="32"/>
      <c r="O246" s="32">
        <f t="shared" si="61"/>
        <v>0</v>
      </c>
      <c r="P246" s="32">
        <f t="shared" si="62"/>
        <v>0</v>
      </c>
      <c r="Q246" s="35">
        <v>30</v>
      </c>
      <c r="R246" s="37">
        <f t="shared" si="63"/>
        <v>30</v>
      </c>
    </row>
    <row r="247" spans="2:18" ht="12.75" customHeight="1" x14ac:dyDescent="0.2">
      <c r="B247" s="2">
        <v>509101</v>
      </c>
      <c r="C247" s="32">
        <v>119</v>
      </c>
      <c r="D247" s="32" t="s">
        <v>371</v>
      </c>
      <c r="E247" s="35">
        <v>112</v>
      </c>
      <c r="F247" s="35">
        <v>183</v>
      </c>
      <c r="G247" s="36">
        <f t="shared" si="60"/>
        <v>40.626000000000005</v>
      </c>
      <c r="H247" s="35">
        <v>0</v>
      </c>
      <c r="I247" s="32">
        <v>0</v>
      </c>
      <c r="J247" s="66">
        <v>0</v>
      </c>
      <c r="K247" s="66">
        <v>0</v>
      </c>
      <c r="L247" s="35">
        <v>35</v>
      </c>
      <c r="M247" s="32"/>
      <c r="N247" s="32"/>
      <c r="O247" s="32">
        <f>ROUND((+G247*N247)/100,0)</f>
        <v>0</v>
      </c>
      <c r="P247" s="32">
        <f>IF(M247&gt;O247,+M247-O247,0)</f>
        <v>0</v>
      </c>
      <c r="Q247" s="35">
        <v>30</v>
      </c>
      <c r="R247" s="75">
        <f>+Q247</f>
        <v>30</v>
      </c>
    </row>
    <row r="248" spans="2:18" ht="12.75" customHeight="1" x14ac:dyDescent="0.2">
      <c r="B248" s="1">
        <v>509106</v>
      </c>
      <c r="C248" s="35">
        <v>113</v>
      </c>
      <c r="D248" s="35" t="s">
        <v>421</v>
      </c>
      <c r="E248" s="35">
        <v>82</v>
      </c>
      <c r="F248" s="35">
        <v>145</v>
      </c>
      <c r="G248" s="36">
        <f t="shared" si="60"/>
        <v>32.190000000000005</v>
      </c>
      <c r="H248" s="35">
        <v>0</v>
      </c>
      <c r="I248" s="32">
        <v>0</v>
      </c>
      <c r="J248" s="66">
        <v>0</v>
      </c>
      <c r="K248" s="66">
        <v>0</v>
      </c>
      <c r="L248" s="35">
        <v>29</v>
      </c>
      <c r="M248" s="32"/>
      <c r="N248" s="32"/>
      <c r="O248" s="32">
        <f t="shared" si="61"/>
        <v>0</v>
      </c>
      <c r="P248" s="32">
        <f>IF(M248&gt;O248,+M248-O248,0)</f>
        <v>0</v>
      </c>
      <c r="Q248" s="35">
        <v>20</v>
      </c>
      <c r="R248" s="75">
        <f t="shared" si="63"/>
        <v>20</v>
      </c>
    </row>
    <row r="249" spans="2:18" ht="12.75" customHeight="1" x14ac:dyDescent="0.2">
      <c r="B249" s="2"/>
      <c r="C249" s="32"/>
      <c r="D249" s="32"/>
      <c r="E249" s="32"/>
      <c r="F249" s="32"/>
      <c r="G249" s="59"/>
      <c r="H249" s="32"/>
      <c r="I249" s="32"/>
      <c r="J249" s="39"/>
      <c r="K249" s="39"/>
      <c r="L249" s="32"/>
      <c r="M249" s="32"/>
      <c r="N249" s="32"/>
      <c r="O249" s="32"/>
      <c r="P249" s="32"/>
      <c r="Q249" s="70"/>
      <c r="R249" s="86"/>
    </row>
    <row r="250" spans="2:18" ht="12.75" customHeight="1" x14ac:dyDescent="0.2">
      <c r="B250" s="46" t="s">
        <v>37</v>
      </c>
      <c r="C250" s="47"/>
      <c r="D250" s="47">
        <f>COUNTA(B240:B248)</f>
        <v>9</v>
      </c>
      <c r="E250" s="87">
        <f t="shared" ref="E250:R250" si="64">SUM(E240:E248)</f>
        <v>639</v>
      </c>
      <c r="F250" s="87">
        <f t="shared" si="64"/>
        <v>1026</v>
      </c>
      <c r="G250" s="88">
        <f t="shared" si="64"/>
        <v>227.77199999999999</v>
      </c>
      <c r="H250" s="88">
        <f t="shared" si="64"/>
        <v>89</v>
      </c>
      <c r="I250" s="88">
        <f t="shared" si="64"/>
        <v>0</v>
      </c>
      <c r="J250" s="88">
        <f t="shared" si="64"/>
        <v>0</v>
      </c>
      <c r="K250" s="88">
        <f t="shared" si="64"/>
        <v>0</v>
      </c>
      <c r="L250" s="88">
        <f t="shared" si="64"/>
        <v>180</v>
      </c>
      <c r="M250" s="88">
        <f t="shared" si="64"/>
        <v>0</v>
      </c>
      <c r="N250" s="88">
        <f t="shared" si="64"/>
        <v>0</v>
      </c>
      <c r="O250" s="88">
        <f t="shared" si="64"/>
        <v>0</v>
      </c>
      <c r="P250" s="88">
        <f t="shared" si="64"/>
        <v>0</v>
      </c>
      <c r="Q250" s="249">
        <f t="shared" si="64"/>
        <v>165</v>
      </c>
      <c r="R250" s="88">
        <f t="shared" si="64"/>
        <v>165</v>
      </c>
    </row>
    <row r="251" spans="2:18" ht="16.5" customHeight="1" x14ac:dyDescent="0.2">
      <c r="B251" s="124" t="s">
        <v>38</v>
      </c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6"/>
      <c r="O251" s="126"/>
      <c r="P251" s="126"/>
      <c r="Q251" s="126"/>
      <c r="R251" s="223"/>
    </row>
    <row r="252" spans="2:18" s="34" customFormat="1" ht="12.75" customHeight="1" x14ac:dyDescent="0.2">
      <c r="B252" s="1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97"/>
      <c r="N252" s="56"/>
      <c r="O252" s="56"/>
      <c r="P252" s="56"/>
      <c r="Q252" s="247" t="s">
        <v>39</v>
      </c>
      <c r="R252" s="96">
        <f>+R250+R251</f>
        <v>165</v>
      </c>
    </row>
    <row r="253" spans="2:18" ht="12.75" customHeight="1" x14ac:dyDescent="0.2">
      <c r="B253" s="114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9"/>
      <c r="N253" s="56"/>
      <c r="O253" s="56"/>
      <c r="P253" s="56"/>
      <c r="Q253" s="104"/>
      <c r="R253" s="59"/>
    </row>
    <row r="254" spans="2:18" ht="12.75" customHeight="1" x14ac:dyDescent="0.2">
      <c r="B254" s="80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258"/>
      <c r="R254" s="59"/>
    </row>
    <row r="255" spans="2:18" ht="12.75" customHeight="1" x14ac:dyDescent="0.2">
      <c r="B255" s="63"/>
      <c r="C255" s="64" t="s">
        <v>119</v>
      </c>
      <c r="D255" s="65"/>
      <c r="E255" s="65"/>
      <c r="F255" s="65"/>
      <c r="G255" s="59"/>
      <c r="H255" s="32"/>
      <c r="I255" s="32"/>
      <c r="J255" s="66"/>
      <c r="K255" s="66"/>
      <c r="L255" s="32"/>
      <c r="M255" s="32"/>
      <c r="N255" s="32"/>
      <c r="O255" s="32"/>
      <c r="P255" s="32"/>
      <c r="Q255" s="35"/>
      <c r="R255" s="36"/>
    </row>
    <row r="256" spans="2:18" ht="12.75" customHeight="1" x14ac:dyDescent="0.2">
      <c r="B256" s="30"/>
      <c r="C256" s="112"/>
      <c r="D256" s="31"/>
      <c r="E256" s="31"/>
      <c r="F256" s="31"/>
      <c r="G256" s="67"/>
      <c r="H256" s="31"/>
      <c r="I256" s="31"/>
      <c r="J256" s="68"/>
      <c r="K256" s="68"/>
      <c r="L256" s="31"/>
      <c r="M256" s="31"/>
      <c r="N256" s="31"/>
      <c r="O256" s="31"/>
      <c r="P256" s="31"/>
      <c r="Q256" s="77"/>
      <c r="R256" s="130"/>
    </row>
    <row r="257" spans="2:21" ht="12.75" customHeight="1" x14ac:dyDescent="0.2">
      <c r="B257" s="1">
        <v>188104</v>
      </c>
      <c r="C257" s="35">
        <v>173</v>
      </c>
      <c r="D257" s="35" t="s">
        <v>403</v>
      </c>
      <c r="E257" s="35">
        <v>54</v>
      </c>
      <c r="F257" s="35">
        <v>73</v>
      </c>
      <c r="G257" s="36">
        <f t="shared" ref="G257:G274" si="65">F257*0.666*24/72</f>
        <v>16.206000000000003</v>
      </c>
      <c r="H257" s="265">
        <v>0</v>
      </c>
      <c r="I257" s="32">
        <v>0</v>
      </c>
      <c r="J257" s="66">
        <v>0</v>
      </c>
      <c r="K257" s="66">
        <v>0</v>
      </c>
      <c r="L257" s="265">
        <v>13</v>
      </c>
      <c r="M257" s="32">
        <v>0</v>
      </c>
      <c r="N257" s="127"/>
      <c r="O257" s="35">
        <f t="shared" ref="O257:O274" si="66">ROUND((+G257*N257)/100,0)</f>
        <v>0</v>
      </c>
      <c r="P257" s="35">
        <f t="shared" ref="P257:P267" si="67">IF(M257&gt;O257,+M257-O257,0)</f>
        <v>0</v>
      </c>
      <c r="Q257" s="265">
        <v>13</v>
      </c>
      <c r="R257" s="72">
        <f t="shared" ref="R257:R274" si="68">+Q257</f>
        <v>13</v>
      </c>
    </row>
    <row r="258" spans="2:21" ht="12.75" customHeight="1" x14ac:dyDescent="0.2">
      <c r="B258" s="1">
        <v>188105</v>
      </c>
      <c r="C258" s="35">
        <v>6</v>
      </c>
      <c r="D258" s="35" t="s">
        <v>428</v>
      </c>
      <c r="E258" s="35">
        <v>211</v>
      </c>
      <c r="F258" s="35">
        <v>284</v>
      </c>
      <c r="G258" s="36">
        <f t="shared" si="65"/>
        <v>63.048000000000002</v>
      </c>
      <c r="H258" s="265">
        <v>50</v>
      </c>
      <c r="I258" s="32">
        <v>0</v>
      </c>
      <c r="J258" s="66">
        <v>0</v>
      </c>
      <c r="K258" s="66">
        <v>0</v>
      </c>
      <c r="L258" s="265">
        <v>50</v>
      </c>
      <c r="M258" s="32">
        <v>0</v>
      </c>
      <c r="N258" s="127"/>
      <c r="O258" s="35">
        <f>ROUND((+G258*N258)/100,0)</f>
        <v>0</v>
      </c>
      <c r="P258" s="35">
        <f>IF(M258&gt;O258,+M258-O258,0)</f>
        <v>0</v>
      </c>
      <c r="Q258" s="265">
        <v>50</v>
      </c>
      <c r="R258" s="72">
        <f>+Q258</f>
        <v>50</v>
      </c>
    </row>
    <row r="259" spans="2:21" ht="12.75" customHeight="1" x14ac:dyDescent="0.2">
      <c r="B259" s="292">
        <v>188106</v>
      </c>
      <c r="C259" s="293">
        <v>18</v>
      </c>
      <c r="D259" s="293"/>
      <c r="E259" s="35"/>
      <c r="F259" s="35"/>
      <c r="G259" s="36">
        <f t="shared" ref="G259" si="69">F259*0.666*24/72</f>
        <v>0</v>
      </c>
      <c r="H259" s="265">
        <v>0</v>
      </c>
      <c r="I259" s="32">
        <v>0</v>
      </c>
      <c r="J259" s="66">
        <v>0</v>
      </c>
      <c r="K259" s="66">
        <v>0</v>
      </c>
      <c r="L259" s="265">
        <v>0</v>
      </c>
      <c r="M259" s="32">
        <v>0</v>
      </c>
      <c r="N259" s="127"/>
      <c r="O259" s="35">
        <f>ROUND((+G259*N259)/100,0)</f>
        <v>0</v>
      </c>
      <c r="P259" s="35">
        <f>IF(M259&gt;O259,+M259-O259,0)</f>
        <v>0</v>
      </c>
      <c r="Q259" s="265">
        <v>28</v>
      </c>
      <c r="R259" s="72">
        <f>+Q259</f>
        <v>28</v>
      </c>
    </row>
    <row r="260" spans="2:21" ht="12.75" customHeight="1" x14ac:dyDescent="0.2">
      <c r="B260" s="1">
        <v>225105</v>
      </c>
      <c r="C260" s="35">
        <v>48</v>
      </c>
      <c r="D260" s="35" t="s">
        <v>120</v>
      </c>
      <c r="E260" s="35">
        <v>91</v>
      </c>
      <c r="F260" s="35">
        <v>120</v>
      </c>
      <c r="G260" s="36">
        <f t="shared" si="65"/>
        <v>26.64</v>
      </c>
      <c r="H260" s="265">
        <v>14</v>
      </c>
      <c r="I260" s="32">
        <v>0</v>
      </c>
      <c r="J260" s="66">
        <v>0</v>
      </c>
      <c r="K260" s="66">
        <v>0</v>
      </c>
      <c r="L260" s="265">
        <v>10</v>
      </c>
      <c r="M260" s="32">
        <v>0</v>
      </c>
      <c r="N260" s="127"/>
      <c r="O260" s="35">
        <f>ROUND((+G260*N260)/100,0)</f>
        <v>0</v>
      </c>
      <c r="P260" s="35">
        <f>IF(M260&gt;O260,+M260-O260,0)</f>
        <v>0</v>
      </c>
      <c r="Q260" s="265">
        <v>16</v>
      </c>
      <c r="R260" s="72">
        <f>+Q260</f>
        <v>16</v>
      </c>
    </row>
    <row r="261" spans="2:21" ht="12.75" customHeight="1" x14ac:dyDescent="0.2">
      <c r="B261" s="1">
        <v>225106</v>
      </c>
      <c r="C261" s="35">
        <v>81</v>
      </c>
      <c r="D261" s="35" t="s">
        <v>382</v>
      </c>
      <c r="E261" s="35">
        <v>65</v>
      </c>
      <c r="F261" s="35">
        <v>85</v>
      </c>
      <c r="G261" s="36">
        <f t="shared" si="65"/>
        <v>18.87</v>
      </c>
      <c r="H261" s="265">
        <v>12</v>
      </c>
      <c r="I261" s="32">
        <v>0</v>
      </c>
      <c r="J261" s="66">
        <v>0</v>
      </c>
      <c r="K261" s="66">
        <v>0</v>
      </c>
      <c r="L261" s="265">
        <v>8</v>
      </c>
      <c r="M261" s="32">
        <v>0</v>
      </c>
      <c r="N261" s="127"/>
      <c r="O261" s="35">
        <f t="shared" si="66"/>
        <v>0</v>
      </c>
      <c r="P261" s="35">
        <f t="shared" si="67"/>
        <v>0</v>
      </c>
      <c r="Q261" s="265">
        <v>14</v>
      </c>
      <c r="R261" s="72">
        <f t="shared" si="68"/>
        <v>14</v>
      </c>
    </row>
    <row r="262" spans="2:21" ht="12.75" customHeight="1" x14ac:dyDescent="0.2">
      <c r="B262" s="1">
        <v>312102</v>
      </c>
      <c r="C262" s="35">
        <v>2</v>
      </c>
      <c r="D262" s="35" t="s">
        <v>121</v>
      </c>
      <c r="E262" s="35">
        <v>69</v>
      </c>
      <c r="F262" s="35">
        <v>108</v>
      </c>
      <c r="G262" s="36">
        <f t="shared" si="65"/>
        <v>23.975999999999999</v>
      </c>
      <c r="H262" s="265">
        <v>8</v>
      </c>
      <c r="I262" s="32">
        <v>0</v>
      </c>
      <c r="J262" s="66">
        <v>0</v>
      </c>
      <c r="K262" s="66">
        <v>0</v>
      </c>
      <c r="L262" s="265">
        <v>0</v>
      </c>
      <c r="M262" s="32">
        <v>0</v>
      </c>
      <c r="N262" s="127"/>
      <c r="O262" s="35">
        <f t="shared" si="66"/>
        <v>0</v>
      </c>
      <c r="P262" s="35">
        <f t="shared" si="67"/>
        <v>0</v>
      </c>
      <c r="Q262" s="265">
        <v>18</v>
      </c>
      <c r="R262" s="72">
        <f t="shared" si="68"/>
        <v>18</v>
      </c>
    </row>
    <row r="263" spans="2:21" s="34" customFormat="1" ht="12.75" customHeight="1" x14ac:dyDescent="0.2">
      <c r="B263" s="1">
        <v>367103</v>
      </c>
      <c r="C263" s="35">
        <v>16</v>
      </c>
      <c r="D263" s="35" t="s">
        <v>122</v>
      </c>
      <c r="E263" s="35">
        <v>52</v>
      </c>
      <c r="F263" s="35">
        <v>67</v>
      </c>
      <c r="G263" s="36">
        <f t="shared" si="65"/>
        <v>14.873999999999999</v>
      </c>
      <c r="H263" s="265">
        <v>12</v>
      </c>
      <c r="I263" s="32">
        <v>0</v>
      </c>
      <c r="J263" s="66">
        <v>0</v>
      </c>
      <c r="K263" s="66">
        <v>0</v>
      </c>
      <c r="L263" s="265">
        <v>12</v>
      </c>
      <c r="M263" s="32">
        <v>0</v>
      </c>
      <c r="N263" s="127"/>
      <c r="O263" s="35">
        <f t="shared" si="66"/>
        <v>0</v>
      </c>
      <c r="P263" s="35">
        <f t="shared" si="67"/>
        <v>0</v>
      </c>
      <c r="Q263" s="265">
        <v>10</v>
      </c>
      <c r="R263" s="72">
        <f t="shared" si="68"/>
        <v>10</v>
      </c>
      <c r="U263" s="35"/>
    </row>
    <row r="264" spans="2:21" s="34" customFormat="1" ht="12.75" customHeight="1" x14ac:dyDescent="0.2">
      <c r="B264" s="2">
        <v>466104</v>
      </c>
      <c r="C264" s="32">
        <v>45</v>
      </c>
      <c r="D264" s="32" t="s">
        <v>98</v>
      </c>
      <c r="E264" s="35">
        <v>74</v>
      </c>
      <c r="F264" s="35">
        <v>119</v>
      </c>
      <c r="G264" s="36">
        <f t="shared" si="65"/>
        <v>26.417999999999999</v>
      </c>
      <c r="H264" s="265">
        <v>12</v>
      </c>
      <c r="I264" s="32">
        <v>0</v>
      </c>
      <c r="J264" s="66">
        <v>0</v>
      </c>
      <c r="K264" s="66">
        <v>0</v>
      </c>
      <c r="L264" s="265">
        <v>20</v>
      </c>
      <c r="M264" s="32">
        <v>0</v>
      </c>
      <c r="N264" s="127"/>
      <c r="O264" s="35">
        <f t="shared" si="66"/>
        <v>0</v>
      </c>
      <c r="P264" s="35">
        <f t="shared" si="67"/>
        <v>0</v>
      </c>
      <c r="Q264" s="265">
        <v>22</v>
      </c>
      <c r="R264" s="72">
        <f t="shared" si="68"/>
        <v>22</v>
      </c>
      <c r="U264" s="35"/>
    </row>
    <row r="265" spans="2:21" s="34" customFormat="1" ht="12.75" customHeight="1" x14ac:dyDescent="0.2">
      <c r="B265" s="2">
        <v>466108</v>
      </c>
      <c r="C265" s="32">
        <v>165</v>
      </c>
      <c r="D265" s="32" t="s">
        <v>123</v>
      </c>
      <c r="E265" s="35">
        <v>52</v>
      </c>
      <c r="F265" s="35">
        <v>71</v>
      </c>
      <c r="G265" s="36">
        <f t="shared" si="65"/>
        <v>15.762</v>
      </c>
      <c r="H265" s="265">
        <v>0</v>
      </c>
      <c r="I265" s="32">
        <v>0</v>
      </c>
      <c r="J265" s="66">
        <v>0</v>
      </c>
      <c r="K265" s="66">
        <v>0</v>
      </c>
      <c r="L265" s="265">
        <v>15</v>
      </c>
      <c r="M265" s="32">
        <v>0</v>
      </c>
      <c r="N265" s="127"/>
      <c r="O265" s="35">
        <f t="shared" si="66"/>
        <v>0</v>
      </c>
      <c r="P265" s="35">
        <f t="shared" si="67"/>
        <v>0</v>
      </c>
      <c r="Q265" s="265">
        <v>15</v>
      </c>
      <c r="R265" s="72">
        <f t="shared" si="68"/>
        <v>15</v>
      </c>
      <c r="U265" s="35"/>
    </row>
    <row r="266" spans="2:21" s="34" customFormat="1" ht="12.75" customHeight="1" x14ac:dyDescent="0.2">
      <c r="B266" s="2">
        <v>466110</v>
      </c>
      <c r="C266" s="32">
        <v>84</v>
      </c>
      <c r="D266" s="32" t="s">
        <v>124</v>
      </c>
      <c r="E266" s="35">
        <v>68</v>
      </c>
      <c r="F266" s="35">
        <v>91</v>
      </c>
      <c r="G266" s="36">
        <f t="shared" si="65"/>
        <v>20.202000000000002</v>
      </c>
      <c r="H266" s="265">
        <v>0</v>
      </c>
      <c r="I266" s="32">
        <v>0</v>
      </c>
      <c r="J266" s="66">
        <v>0</v>
      </c>
      <c r="K266" s="66">
        <v>0</v>
      </c>
      <c r="L266" s="265">
        <v>18</v>
      </c>
      <c r="M266" s="32">
        <v>0</v>
      </c>
      <c r="N266" s="127"/>
      <c r="O266" s="35">
        <f t="shared" si="66"/>
        <v>0</v>
      </c>
      <c r="P266" s="35">
        <f t="shared" si="67"/>
        <v>0</v>
      </c>
      <c r="Q266" s="265">
        <v>16</v>
      </c>
      <c r="R266" s="72">
        <f t="shared" si="68"/>
        <v>16</v>
      </c>
      <c r="U266" s="35"/>
    </row>
    <row r="267" spans="2:21" s="34" customFormat="1" ht="12.75" customHeight="1" x14ac:dyDescent="0.2">
      <c r="B267" s="2">
        <v>485101</v>
      </c>
      <c r="C267" s="35">
        <v>168</v>
      </c>
      <c r="D267" s="35" t="s">
        <v>383</v>
      </c>
      <c r="E267" s="35">
        <v>68</v>
      </c>
      <c r="F267" s="35">
        <v>155</v>
      </c>
      <c r="G267" s="36">
        <f t="shared" si="65"/>
        <v>34.409999999999997</v>
      </c>
      <c r="H267" s="265">
        <v>30</v>
      </c>
      <c r="I267" s="32">
        <v>0</v>
      </c>
      <c r="J267" s="66">
        <v>0</v>
      </c>
      <c r="K267" s="66">
        <v>0</v>
      </c>
      <c r="L267" s="265">
        <v>30</v>
      </c>
      <c r="M267" s="32">
        <v>0</v>
      </c>
      <c r="N267" s="127"/>
      <c r="O267" s="35">
        <f t="shared" si="66"/>
        <v>0</v>
      </c>
      <c r="P267" s="35">
        <f t="shared" si="67"/>
        <v>0</v>
      </c>
      <c r="Q267" s="265">
        <v>15</v>
      </c>
      <c r="R267" s="72">
        <f t="shared" si="68"/>
        <v>15</v>
      </c>
      <c r="U267" s="35"/>
    </row>
    <row r="268" spans="2:21" s="34" customFormat="1" ht="12.75" customHeight="1" x14ac:dyDescent="0.2">
      <c r="B268" s="1">
        <v>485102</v>
      </c>
      <c r="C268" s="35">
        <v>22</v>
      </c>
      <c r="D268" s="35" t="s">
        <v>125</v>
      </c>
      <c r="E268" s="35">
        <v>100</v>
      </c>
      <c r="F268" s="35">
        <v>217</v>
      </c>
      <c r="G268" s="36">
        <f t="shared" si="65"/>
        <v>48.174000000000007</v>
      </c>
      <c r="H268" s="265">
        <v>35</v>
      </c>
      <c r="I268" s="32">
        <v>0</v>
      </c>
      <c r="J268" s="66">
        <v>0</v>
      </c>
      <c r="K268" s="66">
        <v>0</v>
      </c>
      <c r="L268" s="265">
        <v>30</v>
      </c>
      <c r="M268" s="32">
        <v>0</v>
      </c>
      <c r="N268" s="127"/>
      <c r="O268" s="35">
        <f t="shared" si="66"/>
        <v>0</v>
      </c>
      <c r="P268" s="35">
        <v>0</v>
      </c>
      <c r="Q268" s="265">
        <v>40</v>
      </c>
      <c r="R268" s="72">
        <f t="shared" si="68"/>
        <v>40</v>
      </c>
      <c r="U268" s="35"/>
    </row>
    <row r="269" spans="2:21" s="34" customFormat="1" ht="12.75" customHeight="1" x14ac:dyDescent="0.2">
      <c r="B269" s="1">
        <v>489102</v>
      </c>
      <c r="C269" s="35">
        <v>129</v>
      </c>
      <c r="D269" s="35" t="s">
        <v>286</v>
      </c>
      <c r="E269" s="35">
        <v>36</v>
      </c>
      <c r="F269" s="35">
        <v>56</v>
      </c>
      <c r="G269" s="36">
        <f t="shared" si="65"/>
        <v>12.432</v>
      </c>
      <c r="H269" s="265">
        <v>9</v>
      </c>
      <c r="I269" s="32">
        <v>0</v>
      </c>
      <c r="J269" s="66">
        <v>0</v>
      </c>
      <c r="K269" s="66">
        <v>0</v>
      </c>
      <c r="L269" s="265">
        <v>10</v>
      </c>
      <c r="M269" s="32">
        <v>0</v>
      </c>
      <c r="N269" s="127"/>
      <c r="O269" s="35">
        <f>ROUND((+G269*N269)/100,0)</f>
        <v>0</v>
      </c>
      <c r="P269" s="35">
        <v>0</v>
      </c>
      <c r="Q269" s="265">
        <v>8</v>
      </c>
      <c r="R269" s="72">
        <f>+Q269</f>
        <v>8</v>
      </c>
      <c r="U269" s="35"/>
    </row>
    <row r="270" spans="2:21" s="34" customFormat="1" ht="12.75" customHeight="1" x14ac:dyDescent="0.2">
      <c r="B270" s="1">
        <v>489103</v>
      </c>
      <c r="C270" s="35">
        <v>72</v>
      </c>
      <c r="D270" s="35" t="s">
        <v>414</v>
      </c>
      <c r="E270" s="35">
        <v>35</v>
      </c>
      <c r="F270" s="35">
        <v>73</v>
      </c>
      <c r="G270" s="36">
        <f t="shared" si="65"/>
        <v>16.206000000000003</v>
      </c>
      <c r="H270" s="265">
        <v>10</v>
      </c>
      <c r="I270" s="32">
        <v>0</v>
      </c>
      <c r="J270" s="66">
        <v>0</v>
      </c>
      <c r="K270" s="66">
        <v>0</v>
      </c>
      <c r="L270" s="265">
        <v>8</v>
      </c>
      <c r="M270" s="32">
        <v>0</v>
      </c>
      <c r="N270" s="127"/>
      <c r="O270" s="35">
        <f>ROUND((+G270*N270)/100,0)</f>
        <v>0</v>
      </c>
      <c r="P270" s="35">
        <v>0</v>
      </c>
      <c r="Q270" s="265">
        <v>8</v>
      </c>
      <c r="R270" s="72">
        <f>+Q270</f>
        <v>8</v>
      </c>
      <c r="U270" s="35"/>
    </row>
    <row r="271" spans="2:21" s="34" customFormat="1" ht="12.75" customHeight="1" x14ac:dyDescent="0.2">
      <c r="B271" s="1">
        <v>489104</v>
      </c>
      <c r="C271" s="35">
        <v>91</v>
      </c>
      <c r="D271" s="35" t="s">
        <v>437</v>
      </c>
      <c r="E271" s="35">
        <v>36</v>
      </c>
      <c r="F271" s="35">
        <v>62</v>
      </c>
      <c r="G271" s="36">
        <f t="shared" si="65"/>
        <v>13.764000000000001</v>
      </c>
      <c r="H271" s="265">
        <v>8</v>
      </c>
      <c r="I271" s="32">
        <v>0</v>
      </c>
      <c r="J271" s="66">
        <v>0</v>
      </c>
      <c r="K271" s="66">
        <v>0</v>
      </c>
      <c r="L271" s="265">
        <v>12</v>
      </c>
      <c r="M271" s="32">
        <v>0</v>
      </c>
      <c r="N271" s="127"/>
      <c r="O271" s="35">
        <f>ROUND((+G271*N271)/100,0)</f>
        <v>0</v>
      </c>
      <c r="P271" s="35">
        <v>0</v>
      </c>
      <c r="Q271" s="265">
        <v>8</v>
      </c>
      <c r="R271" s="72">
        <f>+Q271</f>
        <v>8</v>
      </c>
      <c r="U271" s="35"/>
    </row>
    <row r="272" spans="2:21" ht="12.75" customHeight="1" x14ac:dyDescent="0.2">
      <c r="B272" s="1">
        <v>507102</v>
      </c>
      <c r="C272" s="35">
        <v>23</v>
      </c>
      <c r="D272" s="35" t="s">
        <v>126</v>
      </c>
      <c r="E272" s="35">
        <v>257</v>
      </c>
      <c r="F272" s="35">
        <v>499</v>
      </c>
      <c r="G272" s="36">
        <f t="shared" si="65"/>
        <v>110.77799999999999</v>
      </c>
      <c r="H272" s="265">
        <v>95</v>
      </c>
      <c r="I272" s="32">
        <v>0</v>
      </c>
      <c r="J272" s="66">
        <v>0</v>
      </c>
      <c r="K272" s="66">
        <v>0</v>
      </c>
      <c r="L272" s="265">
        <v>0</v>
      </c>
      <c r="M272" s="32">
        <v>0</v>
      </c>
      <c r="N272" s="127"/>
      <c r="O272" s="35">
        <f t="shared" si="66"/>
        <v>0</v>
      </c>
      <c r="P272" s="35">
        <f>IF(M272&gt;O272,+M272-O272,0)</f>
        <v>0</v>
      </c>
      <c r="Q272" s="265">
        <v>0</v>
      </c>
      <c r="R272" s="72">
        <f t="shared" si="68"/>
        <v>0</v>
      </c>
      <c r="U272" s="35"/>
    </row>
    <row r="273" spans="2:21" ht="12.75" customHeight="1" x14ac:dyDescent="0.2">
      <c r="B273" s="2">
        <v>543101</v>
      </c>
      <c r="C273" s="32">
        <v>37</v>
      </c>
      <c r="D273" s="32" t="s">
        <v>127</v>
      </c>
      <c r="E273" s="35">
        <v>84</v>
      </c>
      <c r="F273" s="35">
        <v>116</v>
      </c>
      <c r="G273" s="36">
        <f t="shared" si="65"/>
        <v>25.751999999999999</v>
      </c>
      <c r="H273" s="265">
        <v>16</v>
      </c>
      <c r="I273" s="32">
        <v>0</v>
      </c>
      <c r="J273" s="66">
        <v>0</v>
      </c>
      <c r="K273" s="66">
        <v>0</v>
      </c>
      <c r="L273" s="265">
        <v>20</v>
      </c>
      <c r="M273" s="32">
        <v>0</v>
      </c>
      <c r="N273" s="127"/>
      <c r="O273" s="35">
        <f t="shared" si="66"/>
        <v>0</v>
      </c>
      <c r="P273" s="35">
        <f>IF(M273&gt;O273,+M273-O273,0)</f>
        <v>0</v>
      </c>
      <c r="Q273" s="265">
        <v>18</v>
      </c>
      <c r="R273" s="72">
        <f t="shared" si="68"/>
        <v>18</v>
      </c>
      <c r="U273" s="35"/>
    </row>
    <row r="274" spans="2:21" ht="12.75" customHeight="1" x14ac:dyDescent="0.2">
      <c r="B274" s="2">
        <v>543102</v>
      </c>
      <c r="C274" s="32">
        <v>36</v>
      </c>
      <c r="D274" s="32" t="s">
        <v>128</v>
      </c>
      <c r="E274" s="35">
        <v>215</v>
      </c>
      <c r="F274" s="35">
        <v>342</v>
      </c>
      <c r="G274" s="36">
        <f t="shared" si="65"/>
        <v>75.924000000000007</v>
      </c>
      <c r="H274" s="265">
        <v>50</v>
      </c>
      <c r="I274" s="32">
        <v>0</v>
      </c>
      <c r="J274" s="66">
        <v>0</v>
      </c>
      <c r="K274" s="66">
        <v>0</v>
      </c>
      <c r="L274" s="265">
        <v>68</v>
      </c>
      <c r="M274" s="32">
        <v>0</v>
      </c>
      <c r="N274" s="127"/>
      <c r="O274" s="35">
        <f t="shared" si="66"/>
        <v>0</v>
      </c>
      <c r="P274" s="35">
        <f>IF(M274&gt;O274,+M274-O274,0)</f>
        <v>0</v>
      </c>
      <c r="Q274" s="265">
        <v>70</v>
      </c>
      <c r="R274" s="72">
        <f t="shared" si="68"/>
        <v>70</v>
      </c>
      <c r="U274" s="35"/>
    </row>
    <row r="275" spans="2:21" ht="12.75" customHeight="1" x14ac:dyDescent="0.2">
      <c r="B275" s="40"/>
      <c r="C275" s="41"/>
      <c r="D275" s="41"/>
      <c r="E275" s="41"/>
      <c r="F275" s="41"/>
      <c r="G275" s="93"/>
      <c r="H275" s="98"/>
      <c r="I275" s="54"/>
      <c r="J275" s="131"/>
      <c r="K275" s="131"/>
      <c r="L275" s="42"/>
      <c r="M275" s="41"/>
      <c r="N275" s="54"/>
      <c r="O275" s="54"/>
      <c r="P275" s="41"/>
      <c r="Q275" s="251"/>
      <c r="R275" s="86"/>
      <c r="U275" s="35"/>
    </row>
    <row r="276" spans="2:21" ht="12.75" customHeight="1" x14ac:dyDescent="0.2">
      <c r="B276" s="46" t="s">
        <v>37</v>
      </c>
      <c r="C276" s="47"/>
      <c r="D276" s="47">
        <f>COUNTA(B257:B274)</f>
        <v>18</v>
      </c>
      <c r="E276" s="87">
        <f t="shared" ref="E276:R276" si="70">SUM(E257:E274)</f>
        <v>1567</v>
      </c>
      <c r="F276" s="87">
        <f t="shared" si="70"/>
        <v>2538</v>
      </c>
      <c r="G276" s="88">
        <f t="shared" si="70"/>
        <v>563.43600000000015</v>
      </c>
      <c r="H276" s="88">
        <f t="shared" si="70"/>
        <v>361</v>
      </c>
      <c r="I276" s="88">
        <f t="shared" si="70"/>
        <v>0</v>
      </c>
      <c r="J276" s="88">
        <f t="shared" si="70"/>
        <v>0</v>
      </c>
      <c r="K276" s="88">
        <f t="shared" si="70"/>
        <v>0</v>
      </c>
      <c r="L276" s="88">
        <f t="shared" si="70"/>
        <v>324</v>
      </c>
      <c r="M276" s="88">
        <f t="shared" si="70"/>
        <v>0</v>
      </c>
      <c r="N276" s="88">
        <f t="shared" si="70"/>
        <v>0</v>
      </c>
      <c r="O276" s="88">
        <f t="shared" si="70"/>
        <v>0</v>
      </c>
      <c r="P276" s="88">
        <f t="shared" si="70"/>
        <v>0</v>
      </c>
      <c r="Q276" s="249">
        <f t="shared" si="70"/>
        <v>369</v>
      </c>
      <c r="R276" s="88">
        <f t="shared" si="70"/>
        <v>369</v>
      </c>
      <c r="U276" s="35"/>
    </row>
    <row r="277" spans="2:21" ht="12.75" customHeight="1" x14ac:dyDescent="0.2">
      <c r="B277" s="109" t="s">
        <v>83</v>
      </c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52"/>
      <c r="O277" s="52"/>
      <c r="P277" s="52"/>
      <c r="Q277" s="246"/>
      <c r="R277" s="78"/>
      <c r="U277" s="35"/>
    </row>
    <row r="278" spans="2:21" ht="12.75" customHeight="1" x14ac:dyDescent="0.2">
      <c r="B278" s="225"/>
      <c r="C278" s="226"/>
      <c r="D278" s="132"/>
      <c r="E278" s="226"/>
      <c r="F278" s="226"/>
      <c r="G278" s="226"/>
      <c r="H278" s="226"/>
      <c r="I278" s="226"/>
      <c r="J278" s="226"/>
      <c r="K278" s="226"/>
      <c r="L278" s="226"/>
      <c r="M278" s="227"/>
      <c r="N278" s="228"/>
      <c r="O278" s="104"/>
      <c r="P278" s="104"/>
      <c r="Q278" s="247" t="s">
        <v>39</v>
      </c>
      <c r="R278" s="96">
        <f>R276+R277</f>
        <v>369</v>
      </c>
    </row>
    <row r="279" spans="2:21" ht="12.75" customHeight="1" x14ac:dyDescent="0.2">
      <c r="B279" s="214"/>
      <c r="C279" s="214"/>
      <c r="D279" s="214"/>
      <c r="E279" s="214"/>
      <c r="F279" s="214"/>
      <c r="G279" s="214"/>
      <c r="H279" s="214"/>
      <c r="I279" s="214"/>
      <c r="J279" s="214"/>
      <c r="K279" s="214"/>
      <c r="L279" s="214"/>
      <c r="M279" s="215"/>
      <c r="N279" s="56"/>
      <c r="O279" s="56"/>
      <c r="P279" s="56"/>
      <c r="Q279" s="104"/>
      <c r="R279" s="59"/>
      <c r="U279" s="220"/>
    </row>
    <row r="280" spans="2:21" s="34" customFormat="1" ht="12.75" customHeight="1" x14ac:dyDescent="0.2">
      <c r="B280" s="58"/>
      <c r="C280" s="56"/>
      <c r="D280" s="56"/>
      <c r="E280" s="56"/>
      <c r="F280" s="56"/>
      <c r="G280" s="56"/>
      <c r="H280" s="56"/>
      <c r="I280" s="56"/>
      <c r="J280" s="56"/>
      <c r="K280" s="56"/>
      <c r="L280" s="32"/>
      <c r="M280" s="56"/>
      <c r="N280" s="56"/>
      <c r="O280" s="56"/>
      <c r="P280" s="56"/>
      <c r="Q280" s="104"/>
      <c r="R280" s="59"/>
    </row>
    <row r="281" spans="2:21" s="34" customFormat="1" ht="12.75" customHeight="1" x14ac:dyDescent="0.2">
      <c r="B281" s="63"/>
      <c r="C281" s="64" t="s">
        <v>466</v>
      </c>
      <c r="D281" s="65"/>
      <c r="E281" s="65"/>
      <c r="F281" s="32"/>
      <c r="G281" s="32"/>
      <c r="H281" s="36"/>
      <c r="I281" s="32"/>
      <c r="J281" s="66"/>
      <c r="K281" s="66"/>
      <c r="L281" s="36"/>
      <c r="M281" s="32"/>
      <c r="N281" s="32"/>
      <c r="O281" s="32"/>
      <c r="P281" s="32"/>
      <c r="Q281" s="35"/>
      <c r="R281" s="32"/>
    </row>
    <row r="282" spans="2:21" s="34" customFormat="1" ht="12.75" customHeight="1" x14ac:dyDescent="0.2">
      <c r="B282" s="63"/>
      <c r="C282" s="133"/>
      <c r="D282" s="35"/>
      <c r="E282" s="35"/>
      <c r="F282" s="32"/>
      <c r="G282" s="32"/>
      <c r="H282" s="36"/>
      <c r="I282" s="32"/>
      <c r="J282" s="66"/>
      <c r="K282" s="66"/>
      <c r="L282" s="36"/>
      <c r="M282" s="32"/>
      <c r="N282" s="32"/>
      <c r="O282" s="32"/>
      <c r="P282" s="32"/>
      <c r="Q282" s="35"/>
      <c r="R282" s="32"/>
    </row>
    <row r="283" spans="2:21" ht="12.75" customHeight="1" x14ac:dyDescent="0.2">
      <c r="B283" s="30"/>
      <c r="C283" s="31"/>
      <c r="D283" s="31"/>
      <c r="E283" s="31"/>
      <c r="F283" s="31"/>
      <c r="G283" s="67"/>
      <c r="H283" s="31"/>
      <c r="I283" s="31"/>
      <c r="J283" s="68"/>
      <c r="K283" s="68"/>
      <c r="L283" s="31"/>
      <c r="M283" s="31"/>
      <c r="N283" s="31"/>
      <c r="O283" s="31"/>
      <c r="P283" s="31"/>
      <c r="Q283" s="77"/>
      <c r="R283" s="69"/>
    </row>
    <row r="284" spans="2:21" ht="12.75" customHeight="1" x14ac:dyDescent="0.2">
      <c r="B284" s="1">
        <v>12102</v>
      </c>
      <c r="C284" s="35">
        <v>94</v>
      </c>
      <c r="D284" s="35" t="s">
        <v>129</v>
      </c>
      <c r="E284" s="35">
        <v>245</v>
      </c>
      <c r="F284" s="35">
        <v>386</v>
      </c>
      <c r="G284" s="36">
        <f t="shared" ref="G284:G294" si="71">F284*0.666*24/72</f>
        <v>85.692000000000007</v>
      </c>
      <c r="H284" s="71">
        <v>0</v>
      </c>
      <c r="I284" s="35">
        <v>0</v>
      </c>
      <c r="J284" s="84">
        <v>0</v>
      </c>
      <c r="K284" s="84">
        <v>0</v>
      </c>
      <c r="L284" s="71">
        <v>65</v>
      </c>
      <c r="M284" s="32">
        <v>0</v>
      </c>
      <c r="N284" s="35"/>
      <c r="O284" s="35">
        <f t="shared" ref="O284:O294" si="72">ROUND((+G284*N284)/100,0)</f>
        <v>0</v>
      </c>
      <c r="P284" s="35">
        <f t="shared" ref="P284:P291" si="73">IF(M284&gt;O284,+M284-O284,0)</f>
        <v>0</v>
      </c>
      <c r="Q284" s="71">
        <v>70</v>
      </c>
      <c r="R284" s="72">
        <f t="shared" ref="R284:R294" si="74">+Q284</f>
        <v>70</v>
      </c>
    </row>
    <row r="285" spans="2:21" ht="12.75" customHeight="1" x14ac:dyDescent="0.2">
      <c r="B285" s="1">
        <v>12103</v>
      </c>
      <c r="C285" s="35">
        <v>155</v>
      </c>
      <c r="D285" s="35" t="s">
        <v>130</v>
      </c>
      <c r="E285" s="35">
        <v>109</v>
      </c>
      <c r="F285" s="35">
        <v>176</v>
      </c>
      <c r="G285" s="36">
        <f t="shared" si="71"/>
        <v>39.072000000000003</v>
      </c>
      <c r="H285" s="71">
        <v>15</v>
      </c>
      <c r="I285" s="35">
        <v>0</v>
      </c>
      <c r="J285" s="84">
        <v>0</v>
      </c>
      <c r="K285" s="84">
        <v>0</v>
      </c>
      <c r="L285" s="71">
        <v>18</v>
      </c>
      <c r="M285" s="32">
        <v>0</v>
      </c>
      <c r="N285" s="35"/>
      <c r="O285" s="35">
        <f t="shared" si="72"/>
        <v>0</v>
      </c>
      <c r="P285" s="35">
        <f t="shared" si="73"/>
        <v>0</v>
      </c>
      <c r="Q285" s="71">
        <v>30</v>
      </c>
      <c r="R285" s="72">
        <f t="shared" si="74"/>
        <v>30</v>
      </c>
    </row>
    <row r="286" spans="2:21" ht="12.75" customHeight="1" x14ac:dyDescent="0.2">
      <c r="B286" s="1">
        <v>71101</v>
      </c>
      <c r="C286" s="35">
        <v>44</v>
      </c>
      <c r="D286" s="35" t="s">
        <v>131</v>
      </c>
      <c r="E286" s="35">
        <v>136</v>
      </c>
      <c r="F286" s="35">
        <v>198</v>
      </c>
      <c r="G286" s="36">
        <f t="shared" si="71"/>
        <v>43.955999999999996</v>
      </c>
      <c r="H286" s="71">
        <v>25</v>
      </c>
      <c r="I286" s="35">
        <v>0</v>
      </c>
      <c r="J286" s="84">
        <v>0</v>
      </c>
      <c r="K286" s="84">
        <v>0</v>
      </c>
      <c r="L286" s="71">
        <v>30</v>
      </c>
      <c r="M286" s="32">
        <v>0</v>
      </c>
      <c r="N286" s="35"/>
      <c r="O286" s="35">
        <f t="shared" si="72"/>
        <v>0</v>
      </c>
      <c r="P286" s="35">
        <f t="shared" si="73"/>
        <v>0</v>
      </c>
      <c r="Q286" s="71">
        <v>28</v>
      </c>
      <c r="R286" s="72">
        <f t="shared" si="74"/>
        <v>28</v>
      </c>
    </row>
    <row r="287" spans="2:21" ht="12.75" customHeight="1" x14ac:dyDescent="0.2">
      <c r="B287" s="1">
        <v>71102</v>
      </c>
      <c r="C287" s="35">
        <v>153</v>
      </c>
      <c r="D287" s="35" t="s">
        <v>132</v>
      </c>
      <c r="E287" s="35">
        <v>78</v>
      </c>
      <c r="F287" s="35">
        <v>98</v>
      </c>
      <c r="G287" s="36">
        <f t="shared" si="71"/>
        <v>21.756</v>
      </c>
      <c r="H287" s="71">
        <v>15</v>
      </c>
      <c r="I287" s="35">
        <v>0</v>
      </c>
      <c r="J287" s="84">
        <v>0</v>
      </c>
      <c r="K287" s="84">
        <v>0</v>
      </c>
      <c r="L287" s="71">
        <v>15</v>
      </c>
      <c r="M287" s="32">
        <v>0</v>
      </c>
      <c r="N287" s="35"/>
      <c r="O287" s="35">
        <f t="shared" si="72"/>
        <v>0</v>
      </c>
      <c r="P287" s="35">
        <f t="shared" si="73"/>
        <v>0</v>
      </c>
      <c r="Q287" s="71">
        <v>15</v>
      </c>
      <c r="R287" s="72">
        <f t="shared" si="74"/>
        <v>15</v>
      </c>
    </row>
    <row r="288" spans="2:21" ht="12.75" customHeight="1" x14ac:dyDescent="0.2">
      <c r="B288" s="2">
        <v>120186</v>
      </c>
      <c r="C288" s="32">
        <v>14</v>
      </c>
      <c r="D288" s="32" t="s">
        <v>133</v>
      </c>
      <c r="E288" s="35">
        <v>228</v>
      </c>
      <c r="F288" s="35">
        <v>380</v>
      </c>
      <c r="G288" s="36">
        <f t="shared" si="71"/>
        <v>84.36</v>
      </c>
      <c r="H288" s="140">
        <v>60</v>
      </c>
      <c r="I288" s="35">
        <v>0</v>
      </c>
      <c r="J288" s="84">
        <v>0</v>
      </c>
      <c r="K288" s="84">
        <v>0</v>
      </c>
      <c r="L288" s="140">
        <v>70</v>
      </c>
      <c r="M288" s="32">
        <v>0</v>
      </c>
      <c r="N288" s="32"/>
      <c r="O288" s="32">
        <f t="shared" si="72"/>
        <v>0</v>
      </c>
      <c r="P288" s="32">
        <f t="shared" si="73"/>
        <v>0</v>
      </c>
      <c r="Q288" s="140">
        <v>0</v>
      </c>
      <c r="R288" s="72">
        <f t="shared" si="74"/>
        <v>0</v>
      </c>
    </row>
    <row r="289" spans="2:18" ht="12.75" customHeight="1" x14ac:dyDescent="0.2">
      <c r="B289" s="1">
        <v>253103</v>
      </c>
      <c r="C289" s="35">
        <v>25</v>
      </c>
      <c r="D289" s="35" t="s">
        <v>134</v>
      </c>
      <c r="E289" s="35">
        <v>58</v>
      </c>
      <c r="F289" s="35">
        <v>79</v>
      </c>
      <c r="G289" s="36">
        <f t="shared" si="71"/>
        <v>17.538</v>
      </c>
      <c r="H289" s="71">
        <v>15</v>
      </c>
      <c r="I289" s="35">
        <v>0</v>
      </c>
      <c r="J289" s="84">
        <v>0</v>
      </c>
      <c r="K289" s="84">
        <v>0</v>
      </c>
      <c r="L289" s="71">
        <v>15</v>
      </c>
      <c r="M289" s="32">
        <v>0</v>
      </c>
      <c r="N289" s="35"/>
      <c r="O289" s="35">
        <f t="shared" si="72"/>
        <v>0</v>
      </c>
      <c r="P289" s="35">
        <f t="shared" si="73"/>
        <v>0</v>
      </c>
      <c r="Q289" s="71">
        <v>15</v>
      </c>
      <c r="R289" s="72">
        <f t="shared" si="74"/>
        <v>15</v>
      </c>
    </row>
    <row r="290" spans="2:18" ht="12.75" customHeight="1" x14ac:dyDescent="0.2">
      <c r="B290" s="2">
        <v>266105</v>
      </c>
      <c r="C290" s="32">
        <v>15</v>
      </c>
      <c r="D290" s="32" t="s">
        <v>135</v>
      </c>
      <c r="E290" s="35">
        <v>61</v>
      </c>
      <c r="F290" s="35">
        <v>84</v>
      </c>
      <c r="G290" s="36">
        <f t="shared" si="71"/>
        <v>18.648</v>
      </c>
      <c r="H290" s="140">
        <v>19</v>
      </c>
      <c r="I290" s="35">
        <v>0</v>
      </c>
      <c r="J290" s="84">
        <v>0</v>
      </c>
      <c r="K290" s="84">
        <v>0</v>
      </c>
      <c r="L290" s="140">
        <v>18</v>
      </c>
      <c r="M290" s="32">
        <v>0</v>
      </c>
      <c r="N290" s="32"/>
      <c r="O290" s="32">
        <f t="shared" si="72"/>
        <v>0</v>
      </c>
      <c r="P290" s="32">
        <f t="shared" si="73"/>
        <v>0</v>
      </c>
      <c r="Q290" s="140">
        <v>18</v>
      </c>
      <c r="R290" s="72">
        <f t="shared" si="74"/>
        <v>18</v>
      </c>
    </row>
    <row r="291" spans="2:18" ht="12.75" customHeight="1" x14ac:dyDescent="0.2">
      <c r="B291" s="2">
        <v>439107</v>
      </c>
      <c r="C291" s="32">
        <v>63</v>
      </c>
      <c r="D291" s="32" t="s">
        <v>136</v>
      </c>
      <c r="E291" s="35">
        <v>59</v>
      </c>
      <c r="F291" s="35">
        <v>111</v>
      </c>
      <c r="G291" s="36">
        <f t="shared" si="71"/>
        <v>24.642000000000003</v>
      </c>
      <c r="H291" s="140">
        <v>24</v>
      </c>
      <c r="I291" s="35">
        <v>0</v>
      </c>
      <c r="J291" s="84">
        <v>0</v>
      </c>
      <c r="K291" s="84">
        <v>0</v>
      </c>
      <c r="L291" s="140">
        <v>22</v>
      </c>
      <c r="M291" s="32">
        <v>0</v>
      </c>
      <c r="N291" s="32"/>
      <c r="O291" s="32">
        <f t="shared" si="72"/>
        <v>0</v>
      </c>
      <c r="P291" s="32">
        <f t="shared" si="73"/>
        <v>0</v>
      </c>
      <c r="Q291" s="140">
        <v>16</v>
      </c>
      <c r="R291" s="72">
        <f t="shared" si="74"/>
        <v>16</v>
      </c>
    </row>
    <row r="292" spans="2:18" ht="12.75" customHeight="1" x14ac:dyDescent="0.2">
      <c r="B292" s="1">
        <v>439111</v>
      </c>
      <c r="C292" s="35">
        <v>37</v>
      </c>
      <c r="D292" s="35" t="s">
        <v>457</v>
      </c>
      <c r="E292" s="35">
        <v>79</v>
      </c>
      <c r="F292" s="35">
        <v>126</v>
      </c>
      <c r="G292" s="36">
        <f t="shared" ref="G292" si="75">F292*0.666*24/72</f>
        <v>27.972000000000005</v>
      </c>
      <c r="H292" s="140">
        <v>26</v>
      </c>
      <c r="I292" s="35">
        <v>0</v>
      </c>
      <c r="J292" s="84">
        <v>0</v>
      </c>
      <c r="K292" s="84">
        <v>0</v>
      </c>
      <c r="L292" s="140">
        <v>26</v>
      </c>
      <c r="M292" s="32">
        <v>0</v>
      </c>
      <c r="N292" s="32"/>
      <c r="O292" s="32">
        <f t="shared" ref="O292" si="76">ROUND((+G292*N292)/100,0)</f>
        <v>0</v>
      </c>
      <c r="P292" s="32">
        <f t="shared" ref="P292" si="77">IF(M292&gt;O292,+M292-O292,0)</f>
        <v>0</v>
      </c>
      <c r="Q292" s="140">
        <v>20</v>
      </c>
      <c r="R292" s="72">
        <f t="shared" ref="R292" si="78">+Q292</f>
        <v>20</v>
      </c>
    </row>
    <row r="293" spans="2:18" ht="12.75" customHeight="1" x14ac:dyDescent="0.2">
      <c r="B293" s="2">
        <v>495102</v>
      </c>
      <c r="C293" s="35">
        <v>18</v>
      </c>
      <c r="D293" s="35" t="s">
        <v>137</v>
      </c>
      <c r="E293" s="35">
        <v>77</v>
      </c>
      <c r="F293" s="35">
        <v>106</v>
      </c>
      <c r="G293" s="36">
        <f t="shared" si="71"/>
        <v>23.532</v>
      </c>
      <c r="H293" s="71">
        <v>8</v>
      </c>
      <c r="I293" s="35">
        <v>0</v>
      </c>
      <c r="J293" s="84">
        <v>0</v>
      </c>
      <c r="K293" s="84">
        <v>0</v>
      </c>
      <c r="L293" s="71">
        <v>8</v>
      </c>
      <c r="M293" s="32">
        <v>0</v>
      </c>
      <c r="N293" s="35"/>
      <c r="O293" s="35">
        <f>ROUND((+G293*N293)/100,0)</f>
        <v>0</v>
      </c>
      <c r="P293" s="35">
        <f>IF(M293&gt;O293,+M293-O293,0)</f>
        <v>0</v>
      </c>
      <c r="Q293" s="71">
        <v>8</v>
      </c>
      <c r="R293" s="72">
        <f t="shared" si="74"/>
        <v>8</v>
      </c>
    </row>
    <row r="294" spans="2:18" ht="12.75" customHeight="1" x14ac:dyDescent="0.2">
      <c r="B294" s="1">
        <v>495103</v>
      </c>
      <c r="C294" s="35">
        <v>27</v>
      </c>
      <c r="D294" s="35" t="s">
        <v>431</v>
      </c>
      <c r="E294" s="35">
        <v>52</v>
      </c>
      <c r="F294" s="35">
        <v>99</v>
      </c>
      <c r="G294" s="36">
        <f t="shared" si="71"/>
        <v>21.977999999999998</v>
      </c>
      <c r="H294" s="71">
        <v>15</v>
      </c>
      <c r="I294" s="35">
        <v>0</v>
      </c>
      <c r="J294" s="84">
        <v>0</v>
      </c>
      <c r="K294" s="84">
        <v>0</v>
      </c>
      <c r="L294" s="71">
        <v>15</v>
      </c>
      <c r="M294" s="32">
        <v>0</v>
      </c>
      <c r="N294" s="35"/>
      <c r="O294" s="35">
        <f t="shared" si="72"/>
        <v>0</v>
      </c>
      <c r="P294" s="35">
        <f>IF(M294&gt;O294,+M294-O294,0)</f>
        <v>0</v>
      </c>
      <c r="Q294" s="71">
        <v>15</v>
      </c>
      <c r="R294" s="72">
        <f t="shared" si="74"/>
        <v>15</v>
      </c>
    </row>
    <row r="295" spans="2:18" ht="12.75" customHeight="1" x14ac:dyDescent="0.2">
      <c r="B295" s="2"/>
      <c r="C295" s="32"/>
      <c r="D295" s="32"/>
      <c r="G295" s="59"/>
      <c r="H295" s="36"/>
      <c r="I295" s="32"/>
      <c r="J295" s="39"/>
      <c r="K295" s="39"/>
      <c r="L295" s="140"/>
      <c r="M295" s="32"/>
      <c r="N295" s="32"/>
      <c r="O295" s="32"/>
      <c r="P295" s="32"/>
      <c r="Q295" s="140"/>
      <c r="R295" s="75"/>
    </row>
    <row r="296" spans="2:18" ht="12.75" customHeight="1" x14ac:dyDescent="0.2">
      <c r="B296" s="46" t="s">
        <v>37</v>
      </c>
      <c r="C296" s="47"/>
      <c r="D296" s="47">
        <f>COUNTA(B284:B294)</f>
        <v>11</v>
      </c>
      <c r="E296" s="47">
        <f t="shared" ref="E296:R296" si="79">SUM(E284:E294)</f>
        <v>1182</v>
      </c>
      <c r="F296" s="47">
        <f t="shared" si="79"/>
        <v>1843</v>
      </c>
      <c r="G296" s="88">
        <f t="shared" si="79"/>
        <v>409.14600000000002</v>
      </c>
      <c r="H296" s="88">
        <f t="shared" si="79"/>
        <v>222</v>
      </c>
      <c r="I296" s="88">
        <f t="shared" si="79"/>
        <v>0</v>
      </c>
      <c r="J296" s="88">
        <f t="shared" si="79"/>
        <v>0</v>
      </c>
      <c r="K296" s="88">
        <f t="shared" si="79"/>
        <v>0</v>
      </c>
      <c r="L296" s="88">
        <f>SUM(L284:L294)</f>
        <v>302</v>
      </c>
      <c r="M296" s="88">
        <f t="shared" si="79"/>
        <v>0</v>
      </c>
      <c r="N296" s="88">
        <f t="shared" si="79"/>
        <v>0</v>
      </c>
      <c r="O296" s="88">
        <f t="shared" si="79"/>
        <v>0</v>
      </c>
      <c r="P296" s="88">
        <f t="shared" si="79"/>
        <v>0</v>
      </c>
      <c r="Q296" s="249">
        <f>SUM(Q284:Q294)</f>
        <v>235</v>
      </c>
      <c r="R296" s="88">
        <f t="shared" si="79"/>
        <v>235</v>
      </c>
    </row>
    <row r="297" spans="2:18" s="34" customFormat="1" ht="14.45" customHeight="1" x14ac:dyDescent="0.2">
      <c r="B297" s="109" t="s">
        <v>481</v>
      </c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252"/>
      <c r="R297" s="78"/>
    </row>
    <row r="298" spans="2:18" s="34" customFormat="1" ht="12.75" customHeight="1" x14ac:dyDescent="0.2">
      <c r="B298" s="2"/>
      <c r="C298" s="62"/>
      <c r="D298" s="127"/>
      <c r="E298" s="127"/>
      <c r="F298" s="127"/>
      <c r="G298" s="127"/>
      <c r="H298" s="127"/>
      <c r="I298" s="127"/>
      <c r="J298" s="127"/>
      <c r="K298" s="127"/>
      <c r="L298" s="127"/>
      <c r="M298" s="97"/>
      <c r="N298" s="134"/>
      <c r="O298" s="134"/>
      <c r="P298" s="134"/>
      <c r="Q298" s="169" t="s">
        <v>39</v>
      </c>
      <c r="R298" s="96">
        <f>+R296+R297</f>
        <v>235</v>
      </c>
    </row>
    <row r="299" spans="2:18" ht="12.75" customHeight="1" x14ac:dyDescent="0.2">
      <c r="B299" s="135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136"/>
      <c r="N299" s="56"/>
      <c r="O299" s="56"/>
      <c r="P299" s="56"/>
      <c r="Q299" s="104"/>
      <c r="R299" s="59"/>
    </row>
    <row r="300" spans="2:18" ht="12.75" customHeight="1" x14ac:dyDescent="0.2">
      <c r="B300" s="137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9"/>
      <c r="N300" s="56"/>
      <c r="O300" s="56"/>
      <c r="P300" s="56"/>
      <c r="Q300" s="104"/>
      <c r="R300" s="59"/>
    </row>
    <row r="301" spans="2:18" ht="12.75" customHeight="1" x14ac:dyDescent="0.2">
      <c r="B301" s="80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104"/>
      <c r="R301" s="59"/>
    </row>
    <row r="302" spans="2:18" ht="12.75" customHeight="1" x14ac:dyDescent="0.2">
      <c r="B302" s="63"/>
      <c r="C302" s="64" t="s">
        <v>138</v>
      </c>
      <c r="D302" s="65"/>
      <c r="E302" s="65"/>
      <c r="F302" s="32"/>
      <c r="G302" s="32"/>
      <c r="H302" s="138"/>
      <c r="I302" s="32"/>
      <c r="J302" s="66"/>
      <c r="K302" s="66"/>
      <c r="L302" s="138"/>
      <c r="M302" s="32"/>
      <c r="N302" s="32"/>
      <c r="O302" s="32"/>
      <c r="P302" s="32"/>
      <c r="Q302" s="35"/>
      <c r="R302" s="62"/>
    </row>
    <row r="303" spans="2:18" ht="12.75" customHeight="1" x14ac:dyDescent="0.2">
      <c r="B303" s="63"/>
      <c r="C303" s="133"/>
      <c r="D303" s="35"/>
      <c r="E303" s="35"/>
      <c r="F303" s="32"/>
      <c r="G303" s="32"/>
      <c r="H303" s="138"/>
      <c r="I303" s="32"/>
      <c r="J303" s="66"/>
      <c r="K303" s="66"/>
      <c r="L303" s="138"/>
      <c r="M303" s="32"/>
      <c r="N303" s="32"/>
      <c r="O303" s="32"/>
      <c r="P303" s="32"/>
      <c r="Q303" s="35"/>
      <c r="R303" s="62"/>
    </row>
    <row r="304" spans="2:18" ht="12.75" customHeight="1" x14ac:dyDescent="0.2">
      <c r="B304" s="30"/>
      <c r="C304" s="31"/>
      <c r="D304" s="31"/>
      <c r="E304" s="31"/>
      <c r="F304" s="31"/>
      <c r="G304" s="31"/>
      <c r="H304" s="31"/>
      <c r="I304" s="31"/>
      <c r="J304" s="68"/>
      <c r="K304" s="68"/>
      <c r="L304" s="31"/>
      <c r="M304" s="31"/>
      <c r="N304" s="31"/>
      <c r="O304" s="31"/>
      <c r="P304" s="31"/>
      <c r="Q304" s="77"/>
      <c r="R304" s="139"/>
    </row>
    <row r="305" spans="2:18" ht="12.75" customHeight="1" x14ac:dyDescent="0.2">
      <c r="B305" s="1">
        <v>125102</v>
      </c>
      <c r="C305" s="35">
        <v>66</v>
      </c>
      <c r="D305" s="35" t="s">
        <v>304</v>
      </c>
      <c r="E305" s="35">
        <v>59</v>
      </c>
      <c r="F305" s="35">
        <v>173</v>
      </c>
      <c r="G305" s="36">
        <f t="shared" ref="G305:G316" si="80">F305*0.666*24/72</f>
        <v>38.405999999999999</v>
      </c>
      <c r="H305" s="269">
        <v>32</v>
      </c>
      <c r="I305" s="35">
        <v>0</v>
      </c>
      <c r="J305" s="70">
        <v>0</v>
      </c>
      <c r="K305" s="70">
        <v>0</v>
      </c>
      <c r="L305" s="269">
        <v>0</v>
      </c>
      <c r="M305" s="32">
        <v>0</v>
      </c>
      <c r="N305" s="35"/>
      <c r="O305" s="35">
        <f t="shared" ref="O305:O316" si="81">ROUND((+G305*N305)/100,0)</f>
        <v>0</v>
      </c>
      <c r="P305" s="35">
        <f>IF(M305&gt;O305,+M305-O305,0)</f>
        <v>0</v>
      </c>
      <c r="Q305" s="269">
        <v>32</v>
      </c>
      <c r="R305" s="85">
        <f t="shared" ref="R305:R316" si="82">Q305</f>
        <v>32</v>
      </c>
    </row>
    <row r="306" spans="2:18" ht="12.75" customHeight="1" x14ac:dyDescent="0.2">
      <c r="B306" s="1">
        <v>125108</v>
      </c>
      <c r="C306" s="35">
        <v>7</v>
      </c>
      <c r="D306" s="35" t="s">
        <v>305</v>
      </c>
      <c r="E306" s="35">
        <v>43</v>
      </c>
      <c r="F306" s="35">
        <v>71</v>
      </c>
      <c r="G306" s="36">
        <f t="shared" si="80"/>
        <v>15.762</v>
      </c>
      <c r="H306" s="269">
        <v>0</v>
      </c>
      <c r="I306" s="35">
        <v>0</v>
      </c>
      <c r="J306" s="70">
        <v>0</v>
      </c>
      <c r="K306" s="70">
        <v>0</v>
      </c>
      <c r="L306" s="269">
        <v>13</v>
      </c>
      <c r="M306" s="32">
        <v>0</v>
      </c>
      <c r="N306" s="35"/>
      <c r="O306" s="35">
        <f t="shared" si="81"/>
        <v>0</v>
      </c>
      <c r="P306" s="35">
        <v>0</v>
      </c>
      <c r="Q306" s="269">
        <v>4</v>
      </c>
      <c r="R306" s="85">
        <f t="shared" si="82"/>
        <v>4</v>
      </c>
    </row>
    <row r="307" spans="2:18" ht="12.75" customHeight="1" x14ac:dyDescent="0.2">
      <c r="B307" s="1">
        <v>125110</v>
      </c>
      <c r="C307" s="35">
        <v>15</v>
      </c>
      <c r="D307" s="35" t="s">
        <v>306</v>
      </c>
      <c r="E307" s="35">
        <v>48</v>
      </c>
      <c r="F307" s="35">
        <v>98</v>
      </c>
      <c r="G307" s="36">
        <f t="shared" si="80"/>
        <v>21.756</v>
      </c>
      <c r="H307" s="269">
        <v>15</v>
      </c>
      <c r="I307" s="35">
        <v>0</v>
      </c>
      <c r="J307" s="70">
        <v>0</v>
      </c>
      <c r="K307" s="70">
        <v>0</v>
      </c>
      <c r="L307" s="269">
        <v>15</v>
      </c>
      <c r="M307" s="32">
        <v>0</v>
      </c>
      <c r="N307" s="35"/>
      <c r="O307" s="35">
        <f t="shared" si="81"/>
        <v>0</v>
      </c>
      <c r="P307" s="35">
        <v>0</v>
      </c>
      <c r="Q307" s="269">
        <v>15</v>
      </c>
      <c r="R307" s="85">
        <f t="shared" si="82"/>
        <v>15</v>
      </c>
    </row>
    <row r="308" spans="2:18" ht="12.75" customHeight="1" x14ac:dyDescent="0.2">
      <c r="B308" s="1">
        <v>125111</v>
      </c>
      <c r="C308" s="35">
        <v>16</v>
      </c>
      <c r="D308" s="35" t="s">
        <v>307</v>
      </c>
      <c r="E308" s="35">
        <v>27</v>
      </c>
      <c r="F308" s="35">
        <v>31</v>
      </c>
      <c r="G308" s="36">
        <f t="shared" si="80"/>
        <v>6.8820000000000006</v>
      </c>
      <c r="H308" s="269">
        <v>6</v>
      </c>
      <c r="I308" s="35">
        <v>0</v>
      </c>
      <c r="J308" s="70">
        <v>0</v>
      </c>
      <c r="K308" s="70">
        <v>0</v>
      </c>
      <c r="L308" s="269">
        <v>6</v>
      </c>
      <c r="M308" s="32">
        <v>0</v>
      </c>
      <c r="N308" s="35"/>
      <c r="O308" s="35">
        <f t="shared" si="81"/>
        <v>0</v>
      </c>
      <c r="P308" s="35">
        <v>0</v>
      </c>
      <c r="Q308" s="269">
        <v>6</v>
      </c>
      <c r="R308" s="85">
        <f t="shared" si="82"/>
        <v>6</v>
      </c>
    </row>
    <row r="309" spans="2:18" ht="12.75" customHeight="1" x14ac:dyDescent="0.2">
      <c r="B309" s="1">
        <v>125114</v>
      </c>
      <c r="C309" s="35">
        <v>45</v>
      </c>
      <c r="D309" s="35" t="s">
        <v>308</v>
      </c>
      <c r="E309" s="35">
        <v>45</v>
      </c>
      <c r="F309" s="35">
        <v>56</v>
      </c>
      <c r="G309" s="36">
        <f t="shared" si="80"/>
        <v>12.432</v>
      </c>
      <c r="H309" s="269">
        <v>9</v>
      </c>
      <c r="I309" s="35">
        <v>0</v>
      </c>
      <c r="J309" s="70">
        <v>0</v>
      </c>
      <c r="K309" s="70">
        <v>0</v>
      </c>
      <c r="L309" s="269">
        <v>0</v>
      </c>
      <c r="M309" s="32">
        <v>0</v>
      </c>
      <c r="N309" s="35"/>
      <c r="O309" s="35">
        <f t="shared" si="81"/>
        <v>0</v>
      </c>
      <c r="P309" s="35">
        <v>0</v>
      </c>
      <c r="Q309" s="269">
        <v>9</v>
      </c>
      <c r="R309" s="85">
        <f t="shared" si="82"/>
        <v>9</v>
      </c>
    </row>
    <row r="310" spans="2:18" ht="12.75" customHeight="1" x14ac:dyDescent="0.2">
      <c r="B310" s="1">
        <v>125115</v>
      </c>
      <c r="C310" s="35">
        <v>9</v>
      </c>
      <c r="D310" s="35" t="s">
        <v>309</v>
      </c>
      <c r="E310" s="35">
        <v>43</v>
      </c>
      <c r="F310" s="35">
        <v>79</v>
      </c>
      <c r="G310" s="36">
        <f t="shared" si="80"/>
        <v>17.538</v>
      </c>
      <c r="H310" s="269">
        <v>18</v>
      </c>
      <c r="I310" s="35">
        <v>0</v>
      </c>
      <c r="J310" s="70">
        <v>0</v>
      </c>
      <c r="K310" s="70">
        <v>0</v>
      </c>
      <c r="L310" s="269">
        <v>0</v>
      </c>
      <c r="M310" s="32">
        <v>0</v>
      </c>
      <c r="N310" s="35"/>
      <c r="O310" s="35">
        <f t="shared" si="81"/>
        <v>0</v>
      </c>
      <c r="P310" s="35">
        <v>0</v>
      </c>
      <c r="Q310" s="269">
        <v>15</v>
      </c>
      <c r="R310" s="85">
        <f t="shared" si="82"/>
        <v>15</v>
      </c>
    </row>
    <row r="311" spans="2:18" ht="12.75" customHeight="1" x14ac:dyDescent="0.2">
      <c r="B311" s="1">
        <v>125116</v>
      </c>
      <c r="C311" s="35">
        <v>31</v>
      </c>
      <c r="D311" s="35" t="s">
        <v>310</v>
      </c>
      <c r="E311" s="35">
        <v>9</v>
      </c>
      <c r="F311" s="35">
        <v>31</v>
      </c>
      <c r="G311" s="36">
        <f t="shared" si="80"/>
        <v>6.8820000000000006</v>
      </c>
      <c r="H311" s="269">
        <v>6</v>
      </c>
      <c r="I311" s="35">
        <v>0</v>
      </c>
      <c r="J311" s="70">
        <v>0</v>
      </c>
      <c r="K311" s="70">
        <v>0</v>
      </c>
      <c r="L311" s="269">
        <v>0</v>
      </c>
      <c r="M311" s="32">
        <v>0</v>
      </c>
      <c r="N311" s="35"/>
      <c r="O311" s="35">
        <f t="shared" si="81"/>
        <v>0</v>
      </c>
      <c r="P311" s="35">
        <v>0</v>
      </c>
      <c r="Q311" s="269">
        <v>6</v>
      </c>
      <c r="R311" s="85">
        <f t="shared" si="82"/>
        <v>6</v>
      </c>
    </row>
    <row r="312" spans="2:18" ht="12.75" customHeight="1" x14ac:dyDescent="0.2">
      <c r="B312" s="1">
        <v>125118</v>
      </c>
      <c r="C312" s="35">
        <v>43</v>
      </c>
      <c r="D312" s="35" t="s">
        <v>432</v>
      </c>
      <c r="E312" s="35">
        <v>39</v>
      </c>
      <c r="F312" s="35">
        <v>51</v>
      </c>
      <c r="G312" s="36">
        <f t="shared" si="80"/>
        <v>11.321999999999999</v>
      </c>
      <c r="H312" s="269">
        <v>3</v>
      </c>
      <c r="I312" s="35">
        <v>0</v>
      </c>
      <c r="J312" s="70">
        <v>0</v>
      </c>
      <c r="K312" s="70">
        <v>0</v>
      </c>
      <c r="L312" s="269">
        <v>0</v>
      </c>
      <c r="M312" s="32">
        <v>0</v>
      </c>
      <c r="N312" s="35"/>
      <c r="O312" s="35">
        <f>ROUND((+G312*N312)/100,0)</f>
        <v>0</v>
      </c>
      <c r="P312" s="35">
        <v>0</v>
      </c>
      <c r="Q312" s="269">
        <v>3</v>
      </c>
      <c r="R312" s="85">
        <f>Q312</f>
        <v>3</v>
      </c>
    </row>
    <row r="313" spans="2:18" ht="12.75" customHeight="1" x14ac:dyDescent="0.2">
      <c r="B313" s="1">
        <v>428103</v>
      </c>
      <c r="C313" s="35">
        <v>36</v>
      </c>
      <c r="D313" s="35" t="s">
        <v>356</v>
      </c>
      <c r="E313" s="35">
        <v>87</v>
      </c>
      <c r="F313" s="35">
        <v>118</v>
      </c>
      <c r="G313" s="36">
        <f t="shared" si="80"/>
        <v>26.196000000000002</v>
      </c>
      <c r="H313" s="269">
        <v>15</v>
      </c>
      <c r="I313" s="35">
        <v>0</v>
      </c>
      <c r="J313" s="70">
        <v>0</v>
      </c>
      <c r="K313" s="70">
        <v>0</v>
      </c>
      <c r="L313" s="269">
        <v>17</v>
      </c>
      <c r="M313" s="32">
        <v>0</v>
      </c>
      <c r="N313" s="35"/>
      <c r="O313" s="35">
        <f t="shared" si="81"/>
        <v>0</v>
      </c>
      <c r="P313" s="35">
        <f>IF(M313&gt;O313,+M313-O313,0)</f>
        <v>0</v>
      </c>
      <c r="Q313" s="269">
        <v>17</v>
      </c>
      <c r="R313" s="85">
        <f t="shared" si="82"/>
        <v>17</v>
      </c>
    </row>
    <row r="314" spans="2:18" ht="12.75" customHeight="1" x14ac:dyDescent="0.2">
      <c r="B314" s="1">
        <v>428104</v>
      </c>
      <c r="C314" s="35">
        <v>57</v>
      </c>
      <c r="D314" s="35" t="s">
        <v>357</v>
      </c>
      <c r="E314" s="35">
        <v>57</v>
      </c>
      <c r="F314" s="35">
        <v>94</v>
      </c>
      <c r="G314" s="36">
        <f t="shared" si="80"/>
        <v>20.868000000000002</v>
      </c>
      <c r="H314" s="269">
        <v>17</v>
      </c>
      <c r="I314" s="35">
        <v>0</v>
      </c>
      <c r="J314" s="70">
        <v>0</v>
      </c>
      <c r="K314" s="70">
        <v>0</v>
      </c>
      <c r="L314" s="269">
        <v>15</v>
      </c>
      <c r="M314" s="32">
        <v>0</v>
      </c>
      <c r="N314" s="35"/>
      <c r="O314" s="35">
        <f t="shared" si="81"/>
        <v>0</v>
      </c>
      <c r="P314" s="35">
        <v>0</v>
      </c>
      <c r="Q314" s="269">
        <v>0</v>
      </c>
      <c r="R314" s="85">
        <f t="shared" si="82"/>
        <v>0</v>
      </c>
    </row>
    <row r="315" spans="2:18" ht="12.75" customHeight="1" x14ac:dyDescent="0.2">
      <c r="B315" s="2">
        <v>470102</v>
      </c>
      <c r="C315" s="32">
        <v>9034</v>
      </c>
      <c r="D315" s="32" t="s">
        <v>363</v>
      </c>
      <c r="E315" s="35">
        <v>134</v>
      </c>
      <c r="F315" s="35">
        <v>162</v>
      </c>
      <c r="G315" s="36">
        <f t="shared" si="80"/>
        <v>35.964000000000006</v>
      </c>
      <c r="H315" s="230">
        <v>19</v>
      </c>
      <c r="I315" s="35">
        <v>0</v>
      </c>
      <c r="J315" s="70">
        <v>0</v>
      </c>
      <c r="K315" s="70">
        <v>0</v>
      </c>
      <c r="L315" s="230">
        <v>30</v>
      </c>
      <c r="M315" s="32">
        <v>0</v>
      </c>
      <c r="N315" s="32"/>
      <c r="O315" s="35">
        <f>ROUND((+G315*N315)/100,0)</f>
        <v>0</v>
      </c>
      <c r="P315" s="32">
        <f>IF(M315&gt;O315,+M315-O315,0)</f>
        <v>0</v>
      </c>
      <c r="Q315" s="230">
        <v>30</v>
      </c>
      <c r="R315" s="141">
        <f>Q315</f>
        <v>30</v>
      </c>
    </row>
    <row r="316" spans="2:18" ht="12.75" customHeight="1" x14ac:dyDescent="0.2">
      <c r="B316" s="1">
        <v>470105</v>
      </c>
      <c r="C316" s="35">
        <v>9050</v>
      </c>
      <c r="D316" s="35" t="s">
        <v>396</v>
      </c>
      <c r="E316" s="35">
        <v>59</v>
      </c>
      <c r="F316" s="35">
        <v>80</v>
      </c>
      <c r="G316" s="36">
        <f t="shared" si="80"/>
        <v>17.760000000000002</v>
      </c>
      <c r="H316" s="230">
        <v>12</v>
      </c>
      <c r="I316" s="35">
        <v>0</v>
      </c>
      <c r="J316" s="70">
        <v>0</v>
      </c>
      <c r="K316" s="70">
        <v>0</v>
      </c>
      <c r="L316" s="230">
        <v>12</v>
      </c>
      <c r="M316" s="32">
        <v>0</v>
      </c>
      <c r="N316" s="32"/>
      <c r="O316" s="35">
        <f t="shared" si="81"/>
        <v>0</v>
      </c>
      <c r="P316" s="32">
        <f>IF(M316&gt;O316,+M316-O316,0)</f>
        <v>0</v>
      </c>
      <c r="Q316" s="230">
        <v>11</v>
      </c>
      <c r="R316" s="141">
        <f t="shared" si="82"/>
        <v>11</v>
      </c>
    </row>
    <row r="317" spans="2:18" ht="12.75" customHeight="1" x14ac:dyDescent="0.2">
      <c r="B317" s="2"/>
      <c r="C317" s="32"/>
      <c r="D317" s="32"/>
      <c r="E317" s="32"/>
      <c r="F317" s="32"/>
      <c r="G317" s="140"/>
      <c r="H317" s="32"/>
      <c r="I317" s="35"/>
      <c r="J317" s="70"/>
      <c r="K317" s="70"/>
      <c r="L317" s="32"/>
      <c r="M317" s="32"/>
      <c r="N317" s="32"/>
      <c r="O317" s="35"/>
      <c r="P317" s="32"/>
      <c r="Q317" s="35"/>
      <c r="R317" s="138"/>
    </row>
    <row r="318" spans="2:18" ht="12.75" customHeight="1" x14ac:dyDescent="0.2">
      <c r="B318" s="30" t="s">
        <v>37</v>
      </c>
      <c r="C318" s="31"/>
      <c r="D318" s="31">
        <f>COUNTA(B305:B316)</f>
        <v>12</v>
      </c>
      <c r="E318" s="142">
        <f t="shared" ref="E318:R318" si="83">SUM(E305:E316)</f>
        <v>650</v>
      </c>
      <c r="F318" s="142">
        <f t="shared" si="83"/>
        <v>1044</v>
      </c>
      <c r="G318" s="67">
        <f t="shared" si="83"/>
        <v>231.768</v>
      </c>
      <c r="H318" s="67">
        <f t="shared" si="83"/>
        <v>152</v>
      </c>
      <c r="I318" s="67">
        <f t="shared" si="83"/>
        <v>0</v>
      </c>
      <c r="J318" s="67">
        <f t="shared" si="83"/>
        <v>0</v>
      </c>
      <c r="K318" s="67">
        <f t="shared" si="83"/>
        <v>0</v>
      </c>
      <c r="L318" s="67">
        <f t="shared" si="83"/>
        <v>108</v>
      </c>
      <c r="M318" s="67">
        <f t="shared" si="83"/>
        <v>0</v>
      </c>
      <c r="N318" s="67">
        <f t="shared" si="83"/>
        <v>0</v>
      </c>
      <c r="O318" s="67">
        <f t="shared" si="83"/>
        <v>0</v>
      </c>
      <c r="P318" s="67">
        <f t="shared" si="83"/>
        <v>0</v>
      </c>
      <c r="Q318" s="253">
        <f t="shared" si="83"/>
        <v>148</v>
      </c>
      <c r="R318" s="67">
        <f t="shared" si="83"/>
        <v>148</v>
      </c>
    </row>
    <row r="319" spans="2:18" s="34" customFormat="1" ht="12.75" customHeight="1" x14ac:dyDescent="0.2">
      <c r="B319" s="264" t="s">
        <v>484</v>
      </c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2"/>
      <c r="O319" s="52"/>
      <c r="P319" s="52"/>
      <c r="Q319" s="246"/>
      <c r="R319" s="78"/>
    </row>
    <row r="320" spans="2:18" s="34" customFormat="1" ht="12.75" customHeight="1" x14ac:dyDescent="0.2">
      <c r="B320" s="229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97"/>
      <c r="N320" s="56"/>
      <c r="O320" s="56"/>
      <c r="P320" s="56"/>
      <c r="Q320" s="247" t="s">
        <v>39</v>
      </c>
      <c r="R320" s="57">
        <f>R318+R319</f>
        <v>148</v>
      </c>
    </row>
    <row r="321" spans="2:18" s="34" customFormat="1" ht="12.75" customHeight="1" x14ac:dyDescent="0.2">
      <c r="B321" s="239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97"/>
      <c r="N321" s="56"/>
      <c r="O321" s="56"/>
      <c r="P321" s="56"/>
      <c r="Q321" s="247"/>
      <c r="R321" s="57"/>
    </row>
    <row r="322" spans="2:18" s="34" customFormat="1" ht="12.75" customHeight="1" x14ac:dyDescent="0.2">
      <c r="B322" s="240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5"/>
      <c r="N322" s="56"/>
      <c r="O322" s="56"/>
      <c r="P322" s="56"/>
      <c r="Q322" s="247"/>
      <c r="R322" s="57"/>
    </row>
    <row r="323" spans="2:18" s="34" customFormat="1" ht="12.75" customHeight="1" x14ac:dyDescent="0.2">
      <c r="B323" s="146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56"/>
      <c r="O323" s="56"/>
      <c r="P323" s="56"/>
      <c r="Q323" s="247"/>
      <c r="R323" s="57"/>
    </row>
    <row r="324" spans="2:18" ht="12.75" customHeight="1" x14ac:dyDescent="0.2">
      <c r="B324" s="80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104"/>
      <c r="R324" s="59"/>
    </row>
    <row r="325" spans="2:18" ht="12.75" customHeight="1" x14ac:dyDescent="0.2">
      <c r="B325" s="5"/>
      <c r="C325" s="147" t="s">
        <v>139</v>
      </c>
      <c r="D325" s="148"/>
      <c r="E325" s="62"/>
      <c r="F325" s="32"/>
      <c r="G325" s="32"/>
      <c r="H325" s="138"/>
      <c r="I325" s="32"/>
      <c r="J325" s="32"/>
      <c r="K325" s="32"/>
      <c r="L325" s="138"/>
      <c r="M325" s="32"/>
      <c r="N325" s="32"/>
      <c r="O325" s="32"/>
      <c r="P325" s="32"/>
      <c r="Q325" s="35"/>
      <c r="R325" s="62"/>
    </row>
    <row r="326" spans="2:18" ht="12.75" customHeight="1" x14ac:dyDescent="0.2">
      <c r="B326" s="5"/>
      <c r="C326" s="133"/>
      <c r="D326" s="35"/>
      <c r="E326" s="62"/>
      <c r="F326" s="32"/>
      <c r="G326" s="32"/>
      <c r="H326" s="138"/>
      <c r="I326" s="32"/>
      <c r="J326" s="32"/>
      <c r="K326" s="32"/>
      <c r="L326" s="138"/>
      <c r="M326" s="32"/>
      <c r="N326" s="32"/>
      <c r="O326" s="32"/>
      <c r="P326" s="32"/>
      <c r="Q326" s="35"/>
      <c r="R326" s="62"/>
    </row>
    <row r="327" spans="2:18" ht="12.75" customHeight="1" x14ac:dyDescent="0.2">
      <c r="B327" s="149"/>
      <c r="C327" s="150"/>
      <c r="D327" s="150"/>
      <c r="E327" s="31"/>
      <c r="F327" s="31"/>
      <c r="G327" s="31"/>
      <c r="H327" s="151"/>
      <c r="I327" s="31"/>
      <c r="J327" s="68"/>
      <c r="K327" s="68"/>
      <c r="L327" s="151"/>
      <c r="M327" s="31"/>
      <c r="N327" s="31"/>
      <c r="O327" s="31"/>
      <c r="P327" s="31"/>
      <c r="Q327" s="77"/>
      <c r="R327" s="139"/>
    </row>
    <row r="328" spans="2:18" ht="12.75" customHeight="1" x14ac:dyDescent="0.2">
      <c r="B328" s="1">
        <v>98106</v>
      </c>
      <c r="C328" s="35">
        <v>130</v>
      </c>
      <c r="D328" s="35" t="s">
        <v>140</v>
      </c>
      <c r="E328" s="35">
        <v>76</v>
      </c>
      <c r="F328" s="35">
        <v>150</v>
      </c>
      <c r="G328" s="36">
        <f t="shared" ref="G328:G343" si="84">F328*0.666*24/72</f>
        <v>33.300000000000004</v>
      </c>
      <c r="H328" s="71">
        <v>12</v>
      </c>
      <c r="I328" s="35">
        <v>0</v>
      </c>
      <c r="J328" s="70">
        <v>0</v>
      </c>
      <c r="K328" s="70">
        <v>0</v>
      </c>
      <c r="L328" s="71">
        <v>15</v>
      </c>
      <c r="M328" s="35">
        <v>0</v>
      </c>
      <c r="N328" s="35"/>
      <c r="O328" s="35">
        <f t="shared" ref="O328:O343" si="85">ROUND((+G328*N328)/100,0)</f>
        <v>0</v>
      </c>
      <c r="P328" s="35">
        <f t="shared" ref="P328:P343" si="86">IF(M328&gt;O328,+M328-O328,0)</f>
        <v>0</v>
      </c>
      <c r="Q328" s="71">
        <v>28</v>
      </c>
      <c r="R328" s="85">
        <f t="shared" ref="R328:R343" si="87">+Q328</f>
        <v>28</v>
      </c>
    </row>
    <row r="329" spans="2:18" ht="12.75" customHeight="1" x14ac:dyDescent="0.2">
      <c r="B329" s="1">
        <v>98107</v>
      </c>
      <c r="C329" s="35">
        <v>32</v>
      </c>
      <c r="D329" s="35" t="s">
        <v>433</v>
      </c>
      <c r="E329" s="35">
        <v>124</v>
      </c>
      <c r="F329" s="35">
        <v>214</v>
      </c>
      <c r="G329" s="36">
        <f t="shared" si="84"/>
        <v>47.508000000000003</v>
      </c>
      <c r="H329" s="71">
        <v>10</v>
      </c>
      <c r="I329" s="35">
        <v>0</v>
      </c>
      <c r="J329" s="70">
        <v>0</v>
      </c>
      <c r="K329" s="70">
        <v>0</v>
      </c>
      <c r="L329" s="71">
        <v>33</v>
      </c>
      <c r="M329" s="35">
        <v>0</v>
      </c>
      <c r="N329" s="35"/>
      <c r="O329" s="35">
        <f>ROUND((+G329*N329)/100,0)</f>
        <v>0</v>
      </c>
      <c r="P329" s="35">
        <f>IF(M329&gt;O329,+M329-O329,0)</f>
        <v>0</v>
      </c>
      <c r="Q329" s="71">
        <v>32</v>
      </c>
      <c r="R329" s="85">
        <f>+Q329</f>
        <v>32</v>
      </c>
    </row>
    <row r="330" spans="2:18" ht="12" customHeight="1" x14ac:dyDescent="0.2">
      <c r="B330" s="1">
        <v>116102</v>
      </c>
      <c r="C330" s="35">
        <v>35</v>
      </c>
      <c r="D330" s="35" t="s">
        <v>141</v>
      </c>
      <c r="E330" s="35">
        <v>109</v>
      </c>
      <c r="F330" s="35">
        <v>161</v>
      </c>
      <c r="G330" s="36">
        <f t="shared" si="84"/>
        <v>35.741999999999997</v>
      </c>
      <c r="H330" s="71">
        <v>27</v>
      </c>
      <c r="I330" s="35">
        <v>0</v>
      </c>
      <c r="J330" s="70">
        <v>0</v>
      </c>
      <c r="K330" s="70">
        <v>0</v>
      </c>
      <c r="L330" s="71">
        <v>23</v>
      </c>
      <c r="M330" s="35">
        <v>0</v>
      </c>
      <c r="N330" s="35"/>
      <c r="O330" s="35">
        <f t="shared" si="85"/>
        <v>0</v>
      </c>
      <c r="P330" s="35">
        <f t="shared" si="86"/>
        <v>0</v>
      </c>
      <c r="Q330" s="71">
        <v>23</v>
      </c>
      <c r="R330" s="85">
        <f t="shared" si="87"/>
        <v>23</v>
      </c>
    </row>
    <row r="331" spans="2:18" ht="12.75" customHeight="1" x14ac:dyDescent="0.2">
      <c r="B331" s="1">
        <v>134109</v>
      </c>
      <c r="C331" s="35">
        <v>95</v>
      </c>
      <c r="D331" s="35" t="s">
        <v>142</v>
      </c>
      <c r="E331" s="35">
        <v>74</v>
      </c>
      <c r="F331" s="35">
        <v>122</v>
      </c>
      <c r="G331" s="36">
        <f t="shared" si="84"/>
        <v>27.084000000000003</v>
      </c>
      <c r="H331" s="71">
        <v>21</v>
      </c>
      <c r="I331" s="35">
        <v>0</v>
      </c>
      <c r="J331" s="70">
        <v>0</v>
      </c>
      <c r="K331" s="70">
        <v>0</v>
      </c>
      <c r="L331" s="71">
        <v>23</v>
      </c>
      <c r="M331" s="35">
        <v>0</v>
      </c>
      <c r="N331" s="35"/>
      <c r="O331" s="35">
        <f t="shared" si="85"/>
        <v>0</v>
      </c>
      <c r="P331" s="35">
        <f t="shared" si="86"/>
        <v>0</v>
      </c>
      <c r="Q331" s="71">
        <v>23</v>
      </c>
      <c r="R331" s="85">
        <f t="shared" si="87"/>
        <v>23</v>
      </c>
    </row>
    <row r="332" spans="2:18" ht="12.75" customHeight="1" x14ac:dyDescent="0.2">
      <c r="B332" s="1">
        <v>134111</v>
      </c>
      <c r="C332" s="35"/>
      <c r="D332" s="35" t="s">
        <v>469</v>
      </c>
      <c r="E332" s="35">
        <v>294</v>
      </c>
      <c r="F332" s="35">
        <v>528</v>
      </c>
      <c r="G332" s="36">
        <f t="shared" ref="G332" si="88">F332*0.666*24/72</f>
        <v>117.21599999999999</v>
      </c>
      <c r="H332" s="71">
        <v>86</v>
      </c>
      <c r="I332" s="35">
        <v>0</v>
      </c>
      <c r="J332" s="70">
        <v>0</v>
      </c>
      <c r="K332" s="70">
        <v>0</v>
      </c>
      <c r="L332" s="71">
        <v>82</v>
      </c>
      <c r="M332" s="35">
        <v>0</v>
      </c>
      <c r="N332" s="35"/>
      <c r="O332" s="35">
        <f t="shared" ref="O332" si="89">ROUND((+G332*N332)/100,0)</f>
        <v>0</v>
      </c>
      <c r="P332" s="35">
        <f t="shared" ref="P332" si="90">IF(M332&gt;O332,+M332-O332,0)</f>
        <v>0</v>
      </c>
      <c r="Q332" s="71">
        <v>112</v>
      </c>
      <c r="R332" s="85">
        <f t="shared" ref="R332" si="91">+Q332</f>
        <v>112</v>
      </c>
    </row>
    <row r="333" spans="2:18" ht="12.75" customHeight="1" x14ac:dyDescent="0.2">
      <c r="B333" s="1">
        <v>136104</v>
      </c>
      <c r="C333" s="35">
        <v>127</v>
      </c>
      <c r="D333" s="35" t="s">
        <v>442</v>
      </c>
      <c r="E333" s="35">
        <v>52</v>
      </c>
      <c r="F333" s="35">
        <v>90</v>
      </c>
      <c r="G333" s="36">
        <f t="shared" si="84"/>
        <v>19.980000000000004</v>
      </c>
      <c r="H333" s="71">
        <v>16</v>
      </c>
      <c r="I333" s="35">
        <v>0</v>
      </c>
      <c r="J333" s="70">
        <v>0</v>
      </c>
      <c r="K333" s="70">
        <v>0</v>
      </c>
      <c r="L333" s="71">
        <v>12</v>
      </c>
      <c r="M333" s="35">
        <v>0</v>
      </c>
      <c r="N333" s="35"/>
      <c r="O333" s="35">
        <f>ROUND((+G333*N333)/100,0)</f>
        <v>0</v>
      </c>
      <c r="P333" s="35">
        <f>IF(M333&gt;O333,+M333-O333,0)</f>
        <v>0</v>
      </c>
      <c r="Q333" s="71">
        <v>15</v>
      </c>
      <c r="R333" s="85">
        <f>+Q333</f>
        <v>15</v>
      </c>
    </row>
    <row r="334" spans="2:18" ht="12.75" customHeight="1" x14ac:dyDescent="0.2">
      <c r="B334" s="1">
        <v>169101</v>
      </c>
      <c r="C334" s="35">
        <v>132</v>
      </c>
      <c r="D334" s="35" t="s">
        <v>143</v>
      </c>
      <c r="E334" s="35">
        <v>644</v>
      </c>
      <c r="F334" s="35">
        <v>883</v>
      </c>
      <c r="G334" s="36">
        <f t="shared" si="84"/>
        <v>196.02600000000004</v>
      </c>
      <c r="H334" s="71">
        <v>175</v>
      </c>
      <c r="I334" s="35">
        <v>0</v>
      </c>
      <c r="J334" s="70">
        <v>0</v>
      </c>
      <c r="K334" s="70">
        <v>0</v>
      </c>
      <c r="L334" s="71">
        <v>150</v>
      </c>
      <c r="M334" s="35">
        <v>0</v>
      </c>
      <c r="N334" s="35"/>
      <c r="O334" s="35">
        <f t="shared" si="85"/>
        <v>0</v>
      </c>
      <c r="P334" s="35">
        <f t="shared" si="86"/>
        <v>0</v>
      </c>
      <c r="Q334" s="71">
        <v>0</v>
      </c>
      <c r="R334" s="85">
        <f t="shared" si="87"/>
        <v>0</v>
      </c>
    </row>
    <row r="335" spans="2:18" s="34" customFormat="1" ht="12.75" customHeight="1" x14ac:dyDescent="0.2">
      <c r="B335" s="1">
        <v>171104</v>
      </c>
      <c r="C335" s="35">
        <v>121</v>
      </c>
      <c r="D335" s="35" t="s">
        <v>144</v>
      </c>
      <c r="E335" s="35">
        <v>157</v>
      </c>
      <c r="F335" s="35">
        <v>367</v>
      </c>
      <c r="G335" s="36">
        <f t="shared" si="84"/>
        <v>81.474000000000004</v>
      </c>
      <c r="H335" s="71">
        <v>75</v>
      </c>
      <c r="I335" s="35">
        <v>0</v>
      </c>
      <c r="J335" s="70">
        <v>0</v>
      </c>
      <c r="K335" s="70">
        <v>0</v>
      </c>
      <c r="L335" s="71">
        <v>70</v>
      </c>
      <c r="M335" s="35">
        <v>0</v>
      </c>
      <c r="N335" s="35"/>
      <c r="O335" s="35">
        <f t="shared" si="85"/>
        <v>0</v>
      </c>
      <c r="P335" s="35">
        <f t="shared" si="86"/>
        <v>0</v>
      </c>
      <c r="Q335" s="71">
        <v>70</v>
      </c>
      <c r="R335" s="85">
        <f t="shared" si="87"/>
        <v>70</v>
      </c>
    </row>
    <row r="336" spans="2:18" s="34" customFormat="1" ht="12.75" customHeight="1" x14ac:dyDescent="0.2">
      <c r="B336" s="1">
        <v>232109</v>
      </c>
      <c r="C336" s="35">
        <v>115</v>
      </c>
      <c r="D336" s="35" t="s">
        <v>145</v>
      </c>
      <c r="E336" s="35">
        <v>62</v>
      </c>
      <c r="F336" s="35">
        <v>108</v>
      </c>
      <c r="G336" s="36">
        <f t="shared" si="84"/>
        <v>23.975999999999999</v>
      </c>
      <c r="H336" s="71">
        <v>17</v>
      </c>
      <c r="I336" s="35">
        <v>0</v>
      </c>
      <c r="J336" s="70">
        <v>0</v>
      </c>
      <c r="K336" s="70">
        <v>0</v>
      </c>
      <c r="L336" s="71">
        <v>20</v>
      </c>
      <c r="M336" s="35">
        <v>0</v>
      </c>
      <c r="N336" s="35"/>
      <c r="O336" s="35">
        <f t="shared" si="85"/>
        <v>0</v>
      </c>
      <c r="P336" s="35">
        <f t="shared" si="86"/>
        <v>0</v>
      </c>
      <c r="Q336" s="71">
        <v>18</v>
      </c>
      <c r="R336" s="85">
        <f t="shared" si="87"/>
        <v>18</v>
      </c>
    </row>
    <row r="337" spans="2:18" s="34" customFormat="1" ht="12.75" customHeight="1" x14ac:dyDescent="0.2">
      <c r="B337" s="1">
        <v>309102</v>
      </c>
      <c r="C337" s="35">
        <v>93</v>
      </c>
      <c r="D337" s="35" t="s">
        <v>146</v>
      </c>
      <c r="E337" s="35">
        <v>139</v>
      </c>
      <c r="F337" s="35">
        <v>249</v>
      </c>
      <c r="G337" s="36">
        <f t="shared" si="84"/>
        <v>55.277999999999999</v>
      </c>
      <c r="H337" s="71">
        <v>45</v>
      </c>
      <c r="I337" s="35">
        <v>0</v>
      </c>
      <c r="J337" s="70">
        <v>0</v>
      </c>
      <c r="K337" s="70">
        <v>0</v>
      </c>
      <c r="L337" s="71">
        <v>50</v>
      </c>
      <c r="M337" s="35">
        <v>0</v>
      </c>
      <c r="N337" s="35"/>
      <c r="O337" s="35">
        <f t="shared" si="85"/>
        <v>0</v>
      </c>
      <c r="P337" s="35">
        <f t="shared" si="86"/>
        <v>0</v>
      </c>
      <c r="Q337" s="71">
        <v>40</v>
      </c>
      <c r="R337" s="85">
        <f t="shared" si="87"/>
        <v>40</v>
      </c>
    </row>
    <row r="338" spans="2:18" s="34" customFormat="1" ht="12.75" customHeight="1" x14ac:dyDescent="0.2">
      <c r="B338" s="1">
        <v>309103</v>
      </c>
      <c r="C338" s="35">
        <v>40</v>
      </c>
      <c r="D338" s="35" t="s">
        <v>147</v>
      </c>
      <c r="E338" s="35">
        <v>151</v>
      </c>
      <c r="F338" s="35">
        <v>238</v>
      </c>
      <c r="G338" s="36">
        <f t="shared" si="84"/>
        <v>52.835999999999999</v>
      </c>
      <c r="H338" s="71">
        <v>45</v>
      </c>
      <c r="I338" s="35">
        <v>0</v>
      </c>
      <c r="J338" s="70">
        <v>0</v>
      </c>
      <c r="K338" s="70">
        <v>0</v>
      </c>
      <c r="L338" s="71">
        <v>40</v>
      </c>
      <c r="M338" s="35">
        <v>0</v>
      </c>
      <c r="N338" s="35"/>
      <c r="O338" s="35">
        <f t="shared" si="85"/>
        <v>0</v>
      </c>
      <c r="P338" s="35">
        <f t="shared" si="86"/>
        <v>0</v>
      </c>
      <c r="Q338" s="71">
        <v>43</v>
      </c>
      <c r="R338" s="85">
        <f t="shared" si="87"/>
        <v>43</v>
      </c>
    </row>
    <row r="339" spans="2:18" s="34" customFormat="1" ht="12.75" customHeight="1" x14ac:dyDescent="0.2">
      <c r="B339" s="1">
        <v>309110</v>
      </c>
      <c r="C339" s="35">
        <v>103</v>
      </c>
      <c r="D339" s="35" t="s">
        <v>148</v>
      </c>
      <c r="E339" s="35">
        <v>157</v>
      </c>
      <c r="F339" s="35">
        <v>313</v>
      </c>
      <c r="G339" s="36">
        <f t="shared" si="84"/>
        <v>69.486000000000004</v>
      </c>
      <c r="H339" s="71">
        <v>29</v>
      </c>
      <c r="I339" s="35">
        <v>0</v>
      </c>
      <c r="J339" s="70">
        <v>0</v>
      </c>
      <c r="K339" s="70">
        <v>0</v>
      </c>
      <c r="L339" s="71">
        <v>34</v>
      </c>
      <c r="M339" s="35">
        <v>0</v>
      </c>
      <c r="N339" s="35"/>
      <c r="O339" s="35">
        <f t="shared" si="85"/>
        <v>0</v>
      </c>
      <c r="P339" s="35">
        <f t="shared" si="86"/>
        <v>0</v>
      </c>
      <c r="Q339" s="71">
        <v>35</v>
      </c>
      <c r="R339" s="85">
        <f t="shared" si="87"/>
        <v>35</v>
      </c>
    </row>
    <row r="340" spans="2:18" s="34" customFormat="1" ht="12.75" customHeight="1" x14ac:dyDescent="0.2">
      <c r="B340" s="1">
        <v>309111</v>
      </c>
      <c r="C340" s="35">
        <v>159</v>
      </c>
      <c r="D340" s="35" t="s">
        <v>416</v>
      </c>
      <c r="E340" s="35">
        <v>60</v>
      </c>
      <c r="F340" s="35">
        <v>94</v>
      </c>
      <c r="G340" s="36">
        <f t="shared" si="84"/>
        <v>20.868000000000002</v>
      </c>
      <c r="H340" s="71">
        <v>18</v>
      </c>
      <c r="I340" s="35">
        <v>0</v>
      </c>
      <c r="J340" s="70">
        <v>0</v>
      </c>
      <c r="K340" s="70">
        <v>0</v>
      </c>
      <c r="L340" s="71">
        <v>19</v>
      </c>
      <c r="M340" s="35">
        <v>0</v>
      </c>
      <c r="N340" s="35"/>
      <c r="O340" s="35">
        <f t="shared" ref="O340" si="92">ROUND((+G340*N340)/100,0)</f>
        <v>0</v>
      </c>
      <c r="P340" s="35">
        <f t="shared" ref="P340" si="93">IF(M340&gt;O340,+M340-O340,0)</f>
        <v>0</v>
      </c>
      <c r="Q340" s="71">
        <v>19</v>
      </c>
      <c r="R340" s="85">
        <f t="shared" si="87"/>
        <v>19</v>
      </c>
    </row>
    <row r="341" spans="2:18" s="34" customFormat="1" ht="12.75" customHeight="1" x14ac:dyDescent="0.2">
      <c r="B341" s="1">
        <v>330105</v>
      </c>
      <c r="C341" s="35">
        <v>134</v>
      </c>
      <c r="D341" s="35" t="s">
        <v>149</v>
      </c>
      <c r="E341" s="35">
        <v>136</v>
      </c>
      <c r="F341" s="35">
        <v>208</v>
      </c>
      <c r="G341" s="36">
        <f t="shared" si="84"/>
        <v>46.176000000000009</v>
      </c>
      <c r="H341" s="71">
        <v>30</v>
      </c>
      <c r="I341" s="35">
        <v>0</v>
      </c>
      <c r="J341" s="70">
        <v>0</v>
      </c>
      <c r="K341" s="70">
        <v>0</v>
      </c>
      <c r="L341" s="71">
        <v>35</v>
      </c>
      <c r="M341" s="35">
        <v>0</v>
      </c>
      <c r="N341" s="35"/>
      <c r="O341" s="35">
        <f>ROUND((+G341*N341)/100,0)</f>
        <v>0</v>
      </c>
      <c r="P341" s="35">
        <f>IF(M341&gt;O341,+M341-O341,0)</f>
        <v>0</v>
      </c>
      <c r="Q341" s="71">
        <v>35</v>
      </c>
      <c r="R341" s="85">
        <f>+Q341</f>
        <v>35</v>
      </c>
    </row>
    <row r="342" spans="2:18" s="34" customFormat="1" ht="12.75" customHeight="1" x14ac:dyDescent="0.2">
      <c r="B342" s="1">
        <v>330106</v>
      </c>
      <c r="C342" s="35">
        <v>92</v>
      </c>
      <c r="D342" s="35" t="s">
        <v>438</v>
      </c>
      <c r="E342" s="35">
        <v>49</v>
      </c>
      <c r="F342" s="35">
        <v>91</v>
      </c>
      <c r="G342" s="36">
        <f t="shared" ref="G342" si="94">F342*0.666*24/72</f>
        <v>20.202000000000002</v>
      </c>
      <c r="H342" s="71">
        <v>10</v>
      </c>
      <c r="I342" s="35">
        <v>0</v>
      </c>
      <c r="J342" s="70">
        <v>0</v>
      </c>
      <c r="K342" s="70">
        <v>0</v>
      </c>
      <c r="L342" s="71">
        <v>11</v>
      </c>
      <c r="M342" s="35">
        <v>0</v>
      </c>
      <c r="N342" s="35"/>
      <c r="O342" s="35">
        <f t="shared" ref="O342" si="95">ROUND((+G342*N342)/100,0)</f>
        <v>0</v>
      </c>
      <c r="P342" s="35">
        <f t="shared" ref="P342" si="96">IF(M342&gt;O342,+M342-O342,0)</f>
        <v>0</v>
      </c>
      <c r="Q342" s="71">
        <v>15</v>
      </c>
      <c r="R342" s="85">
        <f t="shared" ref="R342" si="97">+Q342</f>
        <v>15</v>
      </c>
    </row>
    <row r="343" spans="2:18" s="34" customFormat="1" ht="12.75" customHeight="1" x14ac:dyDescent="0.2">
      <c r="B343" s="1">
        <v>330107</v>
      </c>
      <c r="C343" s="35"/>
      <c r="D343" s="35" t="s">
        <v>468</v>
      </c>
      <c r="E343" s="35">
        <v>54</v>
      </c>
      <c r="F343" s="35">
        <v>90</v>
      </c>
      <c r="G343" s="36">
        <f t="shared" si="84"/>
        <v>19.980000000000004</v>
      </c>
      <c r="H343" s="71">
        <v>14</v>
      </c>
      <c r="I343" s="35">
        <v>0</v>
      </c>
      <c r="J343" s="70">
        <v>0</v>
      </c>
      <c r="K343" s="70">
        <v>0</v>
      </c>
      <c r="L343" s="71">
        <v>16</v>
      </c>
      <c r="M343" s="35">
        <v>0</v>
      </c>
      <c r="N343" s="35"/>
      <c r="O343" s="35">
        <f t="shared" si="85"/>
        <v>0</v>
      </c>
      <c r="P343" s="35">
        <f t="shared" si="86"/>
        <v>0</v>
      </c>
      <c r="Q343" s="71">
        <v>17</v>
      </c>
      <c r="R343" s="85">
        <f t="shared" si="87"/>
        <v>17</v>
      </c>
    </row>
    <row r="344" spans="2:18" s="34" customFormat="1" ht="12.75" customHeight="1" x14ac:dyDescent="0.2">
      <c r="B344" s="1"/>
      <c r="C344" s="35"/>
      <c r="D344" s="35"/>
      <c r="E344" s="36"/>
      <c r="F344" s="32"/>
      <c r="G344" s="59"/>
      <c r="H344" s="32"/>
      <c r="I344" s="62"/>
      <c r="J344" s="39"/>
      <c r="K344" s="39"/>
      <c r="L344" s="42"/>
      <c r="M344" s="32"/>
      <c r="N344" s="32"/>
      <c r="O344" s="32"/>
      <c r="P344" s="32"/>
      <c r="Q344" s="251"/>
      <c r="R344" s="86"/>
    </row>
    <row r="345" spans="2:18" s="34" customFormat="1" ht="12.75" customHeight="1" x14ac:dyDescent="0.2">
      <c r="B345" s="46" t="s">
        <v>37</v>
      </c>
      <c r="C345" s="47"/>
      <c r="D345" s="47">
        <f>COUNTA(B328:B343)</f>
        <v>16</v>
      </c>
      <c r="E345" s="100">
        <f t="shared" ref="E345:K345" si="98">SUM(E328:E343)</f>
        <v>2338</v>
      </c>
      <c r="F345" s="100">
        <f t="shared" si="98"/>
        <v>3906</v>
      </c>
      <c r="G345" s="152">
        <f t="shared" si="98"/>
        <v>867.13200000000029</v>
      </c>
      <c r="H345" s="152">
        <f t="shared" si="98"/>
        <v>630</v>
      </c>
      <c r="I345" s="152">
        <f t="shared" si="98"/>
        <v>0</v>
      </c>
      <c r="J345" s="152">
        <f t="shared" si="98"/>
        <v>0</v>
      </c>
      <c r="K345" s="152">
        <f t="shared" si="98"/>
        <v>0</v>
      </c>
      <c r="L345" s="152">
        <f>SUM(L328:L344)</f>
        <v>633</v>
      </c>
      <c r="M345" s="152">
        <f t="shared" ref="M345:R345" si="99">SUM(M328:M343)</f>
        <v>0</v>
      </c>
      <c r="N345" s="152">
        <f t="shared" si="99"/>
        <v>0</v>
      </c>
      <c r="O345" s="152">
        <f t="shared" si="99"/>
        <v>0</v>
      </c>
      <c r="P345" s="152">
        <f t="shared" si="99"/>
        <v>0</v>
      </c>
      <c r="Q345" s="256">
        <f t="shared" si="99"/>
        <v>525</v>
      </c>
      <c r="R345" s="152">
        <f t="shared" si="99"/>
        <v>525</v>
      </c>
    </row>
    <row r="346" spans="2:18" s="34" customFormat="1" ht="16.5" customHeight="1" x14ac:dyDescent="0.2">
      <c r="B346" s="109" t="s">
        <v>480</v>
      </c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1"/>
      <c r="O346" s="101"/>
      <c r="P346" s="101"/>
      <c r="Q346" s="257"/>
      <c r="R346" s="153"/>
    </row>
    <row r="347" spans="2:18" s="34" customFormat="1" ht="16.5" customHeight="1" x14ac:dyDescent="0.2">
      <c r="B347" s="154"/>
      <c r="C347" s="155"/>
      <c r="D347" s="156"/>
      <c r="E347" s="155"/>
      <c r="F347" s="155"/>
      <c r="G347" s="155"/>
      <c r="H347" s="155"/>
      <c r="I347" s="155"/>
      <c r="J347" s="155"/>
      <c r="K347" s="155"/>
      <c r="L347" s="155"/>
      <c r="M347" s="157"/>
      <c r="N347" s="56"/>
      <c r="O347" s="56"/>
      <c r="P347" s="56"/>
      <c r="Q347" s="247" t="s">
        <v>39</v>
      </c>
      <c r="R347" s="96">
        <f>R345+R346</f>
        <v>525</v>
      </c>
    </row>
    <row r="348" spans="2:18" s="34" customFormat="1" ht="16.5" customHeight="1" x14ac:dyDescent="0.2">
      <c r="B348" s="154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7"/>
      <c r="N348" s="56"/>
      <c r="O348" s="56"/>
      <c r="P348" s="56"/>
      <c r="Q348" s="247"/>
      <c r="R348" s="96"/>
    </row>
    <row r="349" spans="2:18" s="34" customFormat="1" ht="16.5" customHeight="1" x14ac:dyDescent="0.2">
      <c r="B349" s="158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60"/>
      <c r="N349" s="56"/>
      <c r="O349" s="56"/>
      <c r="P349" s="56"/>
      <c r="Q349" s="247"/>
      <c r="R349" s="96"/>
    </row>
    <row r="350" spans="2:18" s="34" customFormat="1" ht="16.5" customHeight="1" x14ac:dyDescent="0.2">
      <c r="B350" s="216"/>
      <c r="C350" s="216"/>
      <c r="D350" s="216"/>
      <c r="E350" s="216"/>
      <c r="F350" s="216"/>
      <c r="G350" s="216"/>
      <c r="H350" s="216"/>
      <c r="I350" s="216"/>
      <c r="J350" s="216"/>
      <c r="K350" s="216"/>
      <c r="L350" s="216"/>
      <c r="M350" s="216"/>
      <c r="N350" s="56"/>
      <c r="O350" s="56"/>
      <c r="P350" s="56"/>
      <c r="Q350" s="247"/>
      <c r="R350" s="96"/>
    </row>
    <row r="351" spans="2:18" ht="12.75" customHeight="1" x14ac:dyDescent="0.2">
      <c r="B351" s="58"/>
      <c r="C351" s="56"/>
      <c r="D351" s="161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258"/>
      <c r="R351" s="59"/>
    </row>
    <row r="352" spans="2:18" ht="12.75" customHeight="1" x14ac:dyDescent="0.2">
      <c r="B352" s="63"/>
      <c r="C352" s="64" t="s">
        <v>150</v>
      </c>
      <c r="D352" s="65"/>
      <c r="E352" s="65"/>
      <c r="F352" s="32"/>
      <c r="G352" s="32"/>
      <c r="H352" s="138"/>
      <c r="I352" s="32"/>
      <c r="J352" s="66"/>
      <c r="K352" s="66"/>
      <c r="L352" s="138"/>
      <c r="M352" s="32"/>
      <c r="N352" s="32"/>
      <c r="O352" s="32"/>
      <c r="P352" s="32"/>
      <c r="Q352" s="35"/>
      <c r="R352" s="62"/>
    </row>
    <row r="353" spans="1:18" ht="12.75" customHeight="1" x14ac:dyDescent="0.2">
      <c r="B353" s="63"/>
      <c r="C353" s="133"/>
      <c r="D353" s="35"/>
      <c r="E353" s="35"/>
      <c r="F353" s="32"/>
      <c r="G353" s="32"/>
      <c r="H353" s="138"/>
      <c r="I353" s="32"/>
      <c r="J353" s="66"/>
      <c r="K353" s="66"/>
      <c r="L353" s="138"/>
      <c r="M353" s="32"/>
      <c r="N353" s="32"/>
      <c r="O353" s="32"/>
      <c r="P353" s="32"/>
      <c r="Q353" s="35"/>
      <c r="R353" s="62"/>
    </row>
    <row r="354" spans="1:18" ht="12.75" customHeight="1" x14ac:dyDescent="0.2">
      <c r="B354" s="30"/>
      <c r="C354" s="31"/>
      <c r="D354" s="31"/>
      <c r="E354" s="31"/>
      <c r="F354" s="31"/>
      <c r="G354" s="31"/>
      <c r="H354" s="31"/>
      <c r="I354" s="31"/>
      <c r="J354" s="68"/>
      <c r="K354" s="68"/>
      <c r="L354" s="31"/>
      <c r="M354" s="31"/>
      <c r="N354" s="31"/>
      <c r="O354" s="31"/>
      <c r="P354" s="31"/>
      <c r="Q354" s="77"/>
      <c r="R354" s="33"/>
    </row>
    <row r="355" spans="1:18" ht="12.75" customHeight="1" x14ac:dyDescent="0.2">
      <c r="B355" s="1">
        <v>205101</v>
      </c>
      <c r="C355" s="35">
        <v>275</v>
      </c>
      <c r="D355" s="35" t="s">
        <v>326</v>
      </c>
      <c r="E355" s="35">
        <v>39</v>
      </c>
      <c r="F355" s="35">
        <v>71</v>
      </c>
      <c r="G355" s="36">
        <f>F355*0.666*24/72</f>
        <v>15.762</v>
      </c>
      <c r="H355" s="35">
        <v>6</v>
      </c>
      <c r="I355" s="35">
        <v>0</v>
      </c>
      <c r="J355" s="70">
        <v>0</v>
      </c>
      <c r="K355" s="70">
        <v>0</v>
      </c>
      <c r="L355" s="35">
        <v>5</v>
      </c>
      <c r="M355" s="35">
        <v>0</v>
      </c>
      <c r="N355" s="35"/>
      <c r="O355" s="35">
        <f>ROUND((+G355*N355)/100,0)</f>
        <v>0</v>
      </c>
      <c r="P355" s="35">
        <f>IF(M355&gt;O355,+M355-O355,0)</f>
        <v>0</v>
      </c>
      <c r="Q355" s="35">
        <v>13</v>
      </c>
      <c r="R355" s="97">
        <f>+Q355</f>
        <v>13</v>
      </c>
    </row>
    <row r="356" spans="1:18" ht="12.75" customHeight="1" x14ac:dyDescent="0.2">
      <c r="B356" s="1">
        <v>468108</v>
      </c>
      <c r="C356" s="35">
        <v>33</v>
      </c>
      <c r="D356" s="35" t="s">
        <v>439</v>
      </c>
      <c r="E356" s="35">
        <v>38</v>
      </c>
      <c r="F356" s="35">
        <v>69</v>
      </c>
      <c r="G356" s="36">
        <f>F356*0.666*24/72</f>
        <v>15.318</v>
      </c>
      <c r="H356" s="35">
        <v>0</v>
      </c>
      <c r="I356" s="35">
        <v>0</v>
      </c>
      <c r="J356" s="70">
        <v>0</v>
      </c>
      <c r="K356" s="70">
        <v>0</v>
      </c>
      <c r="L356" s="35">
        <v>0</v>
      </c>
      <c r="M356" s="35">
        <v>0</v>
      </c>
      <c r="N356" s="35"/>
      <c r="O356" s="35">
        <f>ROUND((+G356*N356)/100,0)</f>
        <v>0</v>
      </c>
      <c r="P356" s="35">
        <f>IF(M356&gt;O356,+M356-O356,0)</f>
        <v>0</v>
      </c>
      <c r="Q356" s="35">
        <v>0</v>
      </c>
      <c r="R356" s="97">
        <f>+Q356</f>
        <v>0</v>
      </c>
    </row>
    <row r="357" spans="1:18" ht="12.75" customHeight="1" x14ac:dyDescent="0.2">
      <c r="B357" s="40"/>
      <c r="C357" s="41"/>
      <c r="D357" s="41"/>
      <c r="E357" s="98"/>
      <c r="F357" s="41"/>
      <c r="G357" s="93"/>
      <c r="H357" s="98"/>
      <c r="I357" s="41"/>
      <c r="J357" s="42"/>
      <c r="K357" s="42"/>
      <c r="L357" s="98"/>
      <c r="M357" s="41"/>
      <c r="N357" s="41"/>
      <c r="O357" s="41"/>
      <c r="P357" s="41"/>
      <c r="Q357" s="244"/>
      <c r="R357" s="86"/>
    </row>
    <row r="358" spans="1:18" ht="12.75" customHeight="1" x14ac:dyDescent="0.2">
      <c r="B358" s="46" t="s">
        <v>37</v>
      </c>
      <c r="C358" s="47"/>
      <c r="D358" s="47">
        <f>COUNTA(B355:B356)</f>
        <v>2</v>
      </c>
      <c r="E358" s="87">
        <f t="shared" ref="E358:R358" si="100">SUM(E355:E356)</f>
        <v>77</v>
      </c>
      <c r="F358" s="87">
        <f t="shared" si="100"/>
        <v>140</v>
      </c>
      <c r="G358" s="88">
        <f t="shared" si="100"/>
        <v>31.08</v>
      </c>
      <c r="H358" s="88">
        <f t="shared" si="100"/>
        <v>6</v>
      </c>
      <c r="I358" s="88">
        <f t="shared" si="100"/>
        <v>0</v>
      </c>
      <c r="J358" s="88">
        <f t="shared" si="100"/>
        <v>0</v>
      </c>
      <c r="K358" s="88">
        <f t="shared" si="100"/>
        <v>0</v>
      </c>
      <c r="L358" s="88">
        <f t="shared" si="100"/>
        <v>5</v>
      </c>
      <c r="M358" s="88">
        <f t="shared" si="100"/>
        <v>0</v>
      </c>
      <c r="N358" s="88">
        <f t="shared" si="100"/>
        <v>0</v>
      </c>
      <c r="O358" s="88">
        <f t="shared" si="100"/>
        <v>0</v>
      </c>
      <c r="P358" s="88">
        <f t="shared" si="100"/>
        <v>0</v>
      </c>
      <c r="Q358" s="249">
        <f t="shared" si="100"/>
        <v>13</v>
      </c>
      <c r="R358" s="88">
        <f t="shared" si="100"/>
        <v>13</v>
      </c>
    </row>
    <row r="359" spans="1:18" s="34" customFormat="1" ht="17.25" customHeight="1" x14ac:dyDescent="0.2">
      <c r="B359" s="109" t="s">
        <v>83</v>
      </c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252"/>
      <c r="R359" s="162"/>
    </row>
    <row r="360" spans="1:18" s="34" customFormat="1" ht="12.75" customHeight="1" x14ac:dyDescent="0.2">
      <c r="B360" s="212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9"/>
      <c r="N360" s="111"/>
      <c r="O360" s="111"/>
      <c r="P360" s="111"/>
      <c r="Q360" s="169" t="s">
        <v>39</v>
      </c>
      <c r="R360" s="163">
        <f>R358+R359</f>
        <v>13</v>
      </c>
    </row>
    <row r="361" spans="1:18" ht="12.75" customHeight="1" x14ac:dyDescent="0.2">
      <c r="B361" s="164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104"/>
      <c r="R361" s="59"/>
    </row>
    <row r="362" spans="1:18" ht="12.75" customHeight="1" x14ac:dyDescent="0.2">
      <c r="B362" s="80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104"/>
      <c r="R362" s="59"/>
    </row>
    <row r="363" spans="1:18" ht="12.75" customHeight="1" x14ac:dyDescent="0.2">
      <c r="B363" s="63"/>
      <c r="C363" s="64" t="s">
        <v>151</v>
      </c>
      <c r="D363" s="65"/>
      <c r="E363" s="65"/>
      <c r="F363" s="32"/>
      <c r="G363" s="32"/>
      <c r="H363" s="32"/>
      <c r="I363" s="32"/>
      <c r="J363" s="66"/>
      <c r="K363" s="66"/>
      <c r="L363" s="32"/>
      <c r="M363" s="32"/>
      <c r="N363" s="32"/>
      <c r="O363" s="32"/>
      <c r="P363" s="32"/>
      <c r="Q363" s="35"/>
      <c r="R363" s="32"/>
    </row>
    <row r="364" spans="1:18" ht="12.75" customHeight="1" x14ac:dyDescent="0.2">
      <c r="A364" s="34"/>
      <c r="B364" s="4"/>
      <c r="C364" s="133"/>
      <c r="D364" s="35"/>
      <c r="E364" s="35"/>
      <c r="F364" s="35"/>
      <c r="G364" s="35"/>
      <c r="H364" s="35"/>
      <c r="I364" s="35"/>
      <c r="J364" s="84"/>
      <c r="K364" s="84"/>
      <c r="L364" s="35"/>
      <c r="M364" s="35"/>
      <c r="N364" s="35"/>
      <c r="O364" s="35"/>
      <c r="P364" s="35"/>
      <c r="Q364" s="35"/>
      <c r="R364" s="35"/>
    </row>
    <row r="365" spans="1:18" ht="12.75" customHeight="1" x14ac:dyDescent="0.2">
      <c r="A365" s="34"/>
      <c r="B365" s="149"/>
      <c r="C365" s="77"/>
      <c r="D365" s="77"/>
      <c r="E365" s="77"/>
      <c r="F365" s="77"/>
      <c r="G365" s="77"/>
      <c r="H365" s="77"/>
      <c r="I365" s="77"/>
      <c r="J365" s="275"/>
      <c r="K365" s="275"/>
      <c r="L365" s="77"/>
      <c r="M365" s="77"/>
      <c r="N365" s="77"/>
      <c r="O365" s="77"/>
      <c r="P365" s="77"/>
      <c r="Q365" s="77"/>
      <c r="R365" s="276"/>
    </row>
    <row r="366" spans="1:18" ht="12.75" customHeight="1" x14ac:dyDescent="0.2">
      <c r="A366" s="34"/>
      <c r="B366" s="1">
        <v>120435</v>
      </c>
      <c r="C366" s="35">
        <v>26</v>
      </c>
      <c r="D366" s="35" t="s">
        <v>152</v>
      </c>
      <c r="E366" s="35">
        <v>121</v>
      </c>
      <c r="F366" s="35">
        <v>152</v>
      </c>
      <c r="G366" s="140">
        <f t="shared" ref="G366:G374" si="101">F366*0.666*24/72</f>
        <v>33.744</v>
      </c>
      <c r="H366" s="265">
        <v>28</v>
      </c>
      <c r="I366" s="35">
        <v>0</v>
      </c>
      <c r="J366" s="84">
        <v>0</v>
      </c>
      <c r="K366" s="84">
        <v>0</v>
      </c>
      <c r="L366" s="265">
        <v>0</v>
      </c>
      <c r="M366" s="35"/>
      <c r="N366" s="35"/>
      <c r="O366" s="35">
        <f t="shared" ref="O366:O374" si="102">ROUND((+G366*N366)/100,0)</f>
        <v>0</v>
      </c>
      <c r="P366" s="35">
        <f t="shared" ref="P366:P374" si="103">IF(M366&gt;O366,+M366-O366,0)</f>
        <v>0</v>
      </c>
      <c r="Q366" s="265">
        <v>27</v>
      </c>
      <c r="R366" s="277">
        <f t="shared" ref="R366:R374" si="104">+Q366</f>
        <v>27</v>
      </c>
    </row>
    <row r="367" spans="1:18" ht="12.75" customHeight="1" x14ac:dyDescent="0.2">
      <c r="A367" s="34"/>
      <c r="B367" s="1">
        <v>123105</v>
      </c>
      <c r="C367" s="35">
        <v>18</v>
      </c>
      <c r="D367" s="35" t="s">
        <v>153</v>
      </c>
      <c r="E367" s="35">
        <v>33</v>
      </c>
      <c r="F367" s="35">
        <v>46</v>
      </c>
      <c r="G367" s="140">
        <f t="shared" si="101"/>
        <v>10.212000000000002</v>
      </c>
      <c r="H367" s="265">
        <v>0</v>
      </c>
      <c r="I367" s="35">
        <v>0</v>
      </c>
      <c r="J367" s="84">
        <v>0</v>
      </c>
      <c r="K367" s="84">
        <v>0</v>
      </c>
      <c r="L367" s="265">
        <v>4</v>
      </c>
      <c r="M367" s="35"/>
      <c r="N367" s="35"/>
      <c r="O367" s="35">
        <f t="shared" si="102"/>
        <v>0</v>
      </c>
      <c r="P367" s="35">
        <f t="shared" si="103"/>
        <v>0</v>
      </c>
      <c r="Q367" s="265">
        <v>4</v>
      </c>
      <c r="R367" s="277">
        <f t="shared" si="104"/>
        <v>4</v>
      </c>
    </row>
    <row r="368" spans="1:18" ht="12.75" customHeight="1" x14ac:dyDescent="0.2">
      <c r="A368" s="34"/>
      <c r="B368" s="1">
        <v>179101</v>
      </c>
      <c r="C368" s="35">
        <v>28</v>
      </c>
      <c r="D368" s="35" t="s">
        <v>154</v>
      </c>
      <c r="E368" s="35">
        <v>60</v>
      </c>
      <c r="F368" s="35">
        <v>90</v>
      </c>
      <c r="G368" s="140">
        <f t="shared" si="101"/>
        <v>19.980000000000004</v>
      </c>
      <c r="H368" s="265">
        <v>17</v>
      </c>
      <c r="I368" s="35">
        <v>0</v>
      </c>
      <c r="J368" s="84">
        <v>0</v>
      </c>
      <c r="K368" s="84">
        <v>0</v>
      </c>
      <c r="L368" s="265">
        <v>15</v>
      </c>
      <c r="M368" s="35"/>
      <c r="N368" s="35"/>
      <c r="O368" s="35">
        <f t="shared" si="102"/>
        <v>0</v>
      </c>
      <c r="P368" s="35">
        <f t="shared" si="103"/>
        <v>0</v>
      </c>
      <c r="Q368" s="265">
        <v>14</v>
      </c>
      <c r="R368" s="277">
        <f t="shared" si="104"/>
        <v>14</v>
      </c>
    </row>
    <row r="369" spans="1:18" s="34" customFormat="1" ht="12.75" customHeight="1" x14ac:dyDescent="0.2">
      <c r="B369" s="1">
        <v>273101</v>
      </c>
      <c r="C369" s="35">
        <v>45</v>
      </c>
      <c r="D369" s="35" t="s">
        <v>155</v>
      </c>
      <c r="E369" s="35">
        <v>92</v>
      </c>
      <c r="F369" s="35">
        <v>195</v>
      </c>
      <c r="G369" s="140">
        <f t="shared" si="101"/>
        <v>43.29</v>
      </c>
      <c r="H369" s="230">
        <v>35</v>
      </c>
      <c r="I369" s="35">
        <v>0</v>
      </c>
      <c r="J369" s="84">
        <v>0</v>
      </c>
      <c r="K369" s="84">
        <v>0</v>
      </c>
      <c r="L369" s="230">
        <v>29</v>
      </c>
      <c r="M369" s="35"/>
      <c r="N369" s="35"/>
      <c r="O369" s="35">
        <f t="shared" si="102"/>
        <v>0</v>
      </c>
      <c r="P369" s="35">
        <f t="shared" si="103"/>
        <v>0</v>
      </c>
      <c r="Q369" s="230">
        <v>30</v>
      </c>
      <c r="R369" s="277">
        <f t="shared" si="104"/>
        <v>30</v>
      </c>
    </row>
    <row r="370" spans="1:18" s="34" customFormat="1" ht="12.75" customHeight="1" x14ac:dyDescent="0.2">
      <c r="B370" s="1">
        <v>273102</v>
      </c>
      <c r="C370" s="35">
        <v>15</v>
      </c>
      <c r="D370" s="35" t="s">
        <v>156</v>
      </c>
      <c r="E370" s="35">
        <v>42</v>
      </c>
      <c r="F370" s="35">
        <v>61</v>
      </c>
      <c r="G370" s="140">
        <f t="shared" si="101"/>
        <v>13.542000000000002</v>
      </c>
      <c r="H370" s="230">
        <v>10</v>
      </c>
      <c r="I370" s="35">
        <v>0</v>
      </c>
      <c r="J370" s="84">
        <v>0</v>
      </c>
      <c r="K370" s="84">
        <v>0</v>
      </c>
      <c r="L370" s="230">
        <v>9</v>
      </c>
      <c r="M370" s="35"/>
      <c r="N370" s="35"/>
      <c r="O370" s="35">
        <f t="shared" si="102"/>
        <v>0</v>
      </c>
      <c r="P370" s="35">
        <f t="shared" si="103"/>
        <v>0</v>
      </c>
      <c r="Q370" s="230">
        <v>9</v>
      </c>
      <c r="R370" s="277">
        <f t="shared" si="104"/>
        <v>9</v>
      </c>
    </row>
    <row r="371" spans="1:18" s="34" customFormat="1" ht="12.75" customHeight="1" x14ac:dyDescent="0.2">
      <c r="B371" s="1">
        <v>292102</v>
      </c>
      <c r="C371" s="35">
        <v>84</v>
      </c>
      <c r="D371" s="35" t="s">
        <v>429</v>
      </c>
      <c r="E371" s="35">
        <v>38</v>
      </c>
      <c r="F371" s="35">
        <v>56</v>
      </c>
      <c r="G371" s="140">
        <f t="shared" si="101"/>
        <v>12.432</v>
      </c>
      <c r="H371" s="230">
        <v>8</v>
      </c>
      <c r="I371" s="35">
        <v>0</v>
      </c>
      <c r="J371" s="84">
        <v>0</v>
      </c>
      <c r="K371" s="84">
        <v>0</v>
      </c>
      <c r="L371" s="230">
        <v>8</v>
      </c>
      <c r="M371" s="35"/>
      <c r="N371" s="35"/>
      <c r="O371" s="35">
        <f>ROUND((+G371*N371)/100,0)</f>
        <v>0</v>
      </c>
      <c r="P371" s="35">
        <f>IF(M371&gt;O371,+M371-O371,0)</f>
        <v>0</v>
      </c>
      <c r="Q371" s="230">
        <v>5</v>
      </c>
      <c r="R371" s="277">
        <f>+Q371</f>
        <v>5</v>
      </c>
    </row>
    <row r="372" spans="1:18" ht="12.75" customHeight="1" x14ac:dyDescent="0.2">
      <c r="A372" s="34"/>
      <c r="B372" s="1">
        <v>426101</v>
      </c>
      <c r="C372" s="35">
        <v>48</v>
      </c>
      <c r="D372" s="35" t="s">
        <v>157</v>
      </c>
      <c r="E372" s="35">
        <v>92</v>
      </c>
      <c r="F372" s="35">
        <v>163</v>
      </c>
      <c r="G372" s="140">
        <f t="shared" si="101"/>
        <v>36.186000000000007</v>
      </c>
      <c r="H372" s="265">
        <v>16</v>
      </c>
      <c r="I372" s="35">
        <v>0</v>
      </c>
      <c r="J372" s="84">
        <v>0</v>
      </c>
      <c r="K372" s="84">
        <v>0</v>
      </c>
      <c r="L372" s="265">
        <v>10</v>
      </c>
      <c r="M372" s="35"/>
      <c r="N372" s="35"/>
      <c r="O372" s="35">
        <f>ROUND((+G372*N372)/100,0)</f>
        <v>0</v>
      </c>
      <c r="P372" s="35">
        <f>IF(M372&gt;O372,+M372-O372,0)</f>
        <v>0</v>
      </c>
      <c r="Q372" s="265">
        <v>14</v>
      </c>
      <c r="R372" s="277">
        <f>+Q372</f>
        <v>14</v>
      </c>
    </row>
    <row r="373" spans="1:18" ht="12.75" customHeight="1" x14ac:dyDescent="0.2">
      <c r="A373" s="34"/>
      <c r="B373" s="1">
        <v>426102</v>
      </c>
      <c r="C373" s="35">
        <v>98</v>
      </c>
      <c r="D373" s="35" t="s">
        <v>450</v>
      </c>
      <c r="E373" s="35">
        <v>55</v>
      </c>
      <c r="F373" s="35">
        <v>103</v>
      </c>
      <c r="G373" s="140">
        <f t="shared" ref="G373" si="105">F373*0.666*24/72</f>
        <v>22.866</v>
      </c>
      <c r="H373" s="265">
        <v>13</v>
      </c>
      <c r="I373" s="35">
        <v>0</v>
      </c>
      <c r="J373" s="84">
        <v>0</v>
      </c>
      <c r="K373" s="84">
        <v>0</v>
      </c>
      <c r="L373" s="265">
        <v>17</v>
      </c>
      <c r="M373" s="35"/>
      <c r="N373" s="35"/>
      <c r="O373" s="35">
        <f>ROUND((+G373*N373)/100,0)</f>
        <v>0</v>
      </c>
      <c r="P373" s="35">
        <f>IF(M373&gt;O373,+M373-O373,0)</f>
        <v>0</v>
      </c>
      <c r="Q373" s="265">
        <v>13</v>
      </c>
      <c r="R373" s="277">
        <f>+Q373</f>
        <v>13</v>
      </c>
    </row>
    <row r="374" spans="1:18" ht="12.75" customHeight="1" x14ac:dyDescent="0.2">
      <c r="A374" s="34"/>
      <c r="B374" s="1">
        <v>494106</v>
      </c>
      <c r="C374" s="35">
        <v>49</v>
      </c>
      <c r="D374" s="35" t="s">
        <v>430</v>
      </c>
      <c r="E374" s="35">
        <v>136</v>
      </c>
      <c r="F374" s="35">
        <v>239</v>
      </c>
      <c r="G374" s="140">
        <f t="shared" si="101"/>
        <v>53.058000000000007</v>
      </c>
      <c r="H374" s="265">
        <v>45</v>
      </c>
      <c r="I374" s="35">
        <v>0</v>
      </c>
      <c r="J374" s="84">
        <v>0</v>
      </c>
      <c r="K374" s="84">
        <v>0</v>
      </c>
      <c r="L374" s="265">
        <v>40</v>
      </c>
      <c r="M374" s="35"/>
      <c r="N374" s="35"/>
      <c r="O374" s="35">
        <f t="shared" si="102"/>
        <v>0</v>
      </c>
      <c r="P374" s="35">
        <f t="shared" si="103"/>
        <v>0</v>
      </c>
      <c r="Q374" s="265">
        <v>28</v>
      </c>
      <c r="R374" s="277">
        <f t="shared" si="104"/>
        <v>28</v>
      </c>
    </row>
    <row r="375" spans="1:18" ht="12.75" customHeight="1" x14ac:dyDescent="0.2">
      <c r="A375" s="34"/>
      <c r="B375" s="114"/>
      <c r="C375" s="115"/>
      <c r="D375" s="115"/>
      <c r="E375" s="115"/>
      <c r="F375" s="115"/>
      <c r="G375" s="278"/>
      <c r="H375" s="174"/>
      <c r="I375" s="115"/>
      <c r="J375" s="251"/>
      <c r="K375" s="251"/>
      <c r="L375" s="244"/>
      <c r="M375" s="115"/>
      <c r="N375" s="115"/>
      <c r="O375" s="115"/>
      <c r="P375" s="115"/>
      <c r="Q375" s="244"/>
      <c r="R375" s="279"/>
    </row>
    <row r="376" spans="1:18" ht="12.75" customHeight="1" x14ac:dyDescent="0.2">
      <c r="A376" s="34"/>
      <c r="B376" s="149" t="s">
        <v>37</v>
      </c>
      <c r="C376" s="77"/>
      <c r="D376" s="77">
        <f>COUNTA(B366:B374)</f>
        <v>9</v>
      </c>
      <c r="E376" s="280">
        <f>SUM(E366:E374)</f>
        <v>669</v>
      </c>
      <c r="F376" s="280">
        <f t="shared" ref="F376:R376" si="106">SUM(F366:F374)</f>
        <v>1105</v>
      </c>
      <c r="G376" s="167">
        <f>SUM(G366:G374)</f>
        <v>245.31</v>
      </c>
      <c r="H376" s="167">
        <f t="shared" si="106"/>
        <v>172</v>
      </c>
      <c r="I376" s="167">
        <f t="shared" si="106"/>
        <v>0</v>
      </c>
      <c r="J376" s="167">
        <f t="shared" si="106"/>
        <v>0</v>
      </c>
      <c r="K376" s="167">
        <f t="shared" si="106"/>
        <v>0</v>
      </c>
      <c r="L376" s="167">
        <f t="shared" si="106"/>
        <v>132</v>
      </c>
      <c r="M376" s="167">
        <f t="shared" si="106"/>
        <v>0</v>
      </c>
      <c r="N376" s="167">
        <f t="shared" si="106"/>
        <v>0</v>
      </c>
      <c r="O376" s="167">
        <f t="shared" si="106"/>
        <v>0</v>
      </c>
      <c r="P376" s="167">
        <f t="shared" si="106"/>
        <v>0</v>
      </c>
      <c r="Q376" s="167">
        <f t="shared" si="106"/>
        <v>144</v>
      </c>
      <c r="R376" s="167">
        <f t="shared" si="106"/>
        <v>144</v>
      </c>
    </row>
    <row r="377" spans="1:18" s="34" customFormat="1" ht="12.75" customHeight="1" x14ac:dyDescent="0.2">
      <c r="B377" s="50" t="s">
        <v>38</v>
      </c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2"/>
      <c r="O377" s="52"/>
      <c r="P377" s="52"/>
      <c r="Q377" s="246"/>
      <c r="R377" s="78"/>
    </row>
    <row r="378" spans="1:18" ht="12.75" customHeight="1" x14ac:dyDescent="0.2">
      <c r="A378" s="34"/>
      <c r="B378" s="272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5"/>
      <c r="N378" s="104"/>
      <c r="O378" s="104"/>
      <c r="P378" s="104"/>
      <c r="Q378" s="247" t="s">
        <v>39</v>
      </c>
      <c r="R378" s="96">
        <f>R376+R377</f>
        <v>144</v>
      </c>
    </row>
    <row r="379" spans="1:18" ht="12.75" customHeight="1" x14ac:dyDescent="0.2">
      <c r="A379" s="34"/>
      <c r="B379" s="105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6"/>
    </row>
    <row r="380" spans="1:18" ht="12.75" customHeight="1" x14ac:dyDescent="0.2">
      <c r="B380" s="80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104"/>
      <c r="R380" s="59"/>
    </row>
    <row r="381" spans="1:18" ht="12.75" customHeight="1" x14ac:dyDescent="0.2">
      <c r="B381" s="63" t="s">
        <v>33</v>
      </c>
      <c r="C381" s="32"/>
      <c r="D381" s="32"/>
      <c r="E381" s="32"/>
      <c r="F381" s="32"/>
      <c r="G381" s="32"/>
      <c r="H381" s="138"/>
      <c r="I381" s="32"/>
      <c r="J381" s="66"/>
      <c r="K381" s="66"/>
      <c r="L381" s="138"/>
      <c r="M381" s="32"/>
      <c r="N381" s="32"/>
      <c r="O381" s="32"/>
      <c r="P381" s="32"/>
      <c r="Q381" s="35"/>
      <c r="R381" s="32"/>
    </row>
    <row r="382" spans="1:18" ht="12.75" customHeight="1" x14ac:dyDescent="0.2">
      <c r="B382" s="63"/>
      <c r="C382" s="64" t="s">
        <v>158</v>
      </c>
      <c r="D382" s="65"/>
      <c r="E382" s="65"/>
      <c r="F382" s="32"/>
      <c r="G382" s="32"/>
      <c r="H382" s="32"/>
      <c r="I382" s="32"/>
      <c r="J382" s="66"/>
      <c r="K382" s="66"/>
      <c r="L382" s="32"/>
      <c r="M382" s="32"/>
      <c r="N382" s="32"/>
      <c r="O382" s="32"/>
      <c r="P382" s="32"/>
      <c r="Q382" s="35"/>
      <c r="R382" s="138"/>
    </row>
    <row r="383" spans="1:18" ht="12.75" customHeight="1" x14ac:dyDescent="0.2">
      <c r="B383" s="30"/>
      <c r="C383" s="31"/>
      <c r="D383" s="31"/>
      <c r="E383" s="31"/>
      <c r="F383" s="31"/>
      <c r="G383" s="31"/>
      <c r="H383" s="31"/>
      <c r="I383" s="31"/>
      <c r="J383" s="68"/>
      <c r="K383" s="68"/>
      <c r="L383" s="31"/>
      <c r="M383" s="31"/>
      <c r="N383" s="31"/>
      <c r="O383" s="31"/>
      <c r="P383" s="31"/>
      <c r="Q383" s="77"/>
      <c r="R383" s="139"/>
    </row>
    <row r="384" spans="1:18" ht="12.75" customHeight="1" x14ac:dyDescent="0.2">
      <c r="B384" s="1">
        <v>40102</v>
      </c>
      <c r="C384" s="35">
        <v>182</v>
      </c>
      <c r="D384" s="35" t="s">
        <v>295</v>
      </c>
      <c r="E384" s="35">
        <v>409</v>
      </c>
      <c r="F384" s="35">
        <v>617</v>
      </c>
      <c r="G384" s="36">
        <f t="shared" ref="G384:G399" si="107">F384*0.666*24/72</f>
        <v>136.97400000000002</v>
      </c>
      <c r="H384" s="71">
        <v>65</v>
      </c>
      <c r="I384" s="32">
        <v>0</v>
      </c>
      <c r="J384" s="39">
        <v>0</v>
      </c>
      <c r="K384" s="39">
        <v>0</v>
      </c>
      <c r="L384" s="71">
        <v>80</v>
      </c>
      <c r="M384" s="32">
        <v>0</v>
      </c>
      <c r="N384" s="32"/>
      <c r="O384" s="32">
        <f t="shared" ref="O384:O396" si="108">ROUND((+G384*N384)/100,0)</f>
        <v>0</v>
      </c>
      <c r="P384" s="32">
        <f t="shared" ref="P384:P396" si="109">IF(M384&gt;O384,+M384-O384,0)</f>
        <v>0</v>
      </c>
      <c r="Q384" s="71">
        <v>85</v>
      </c>
      <c r="R384" s="75">
        <f>+Q384</f>
        <v>85</v>
      </c>
    </row>
    <row r="385" spans="2:18" ht="12.75" customHeight="1" x14ac:dyDescent="0.2">
      <c r="B385" s="1">
        <v>171101</v>
      </c>
      <c r="C385" s="35">
        <v>131</v>
      </c>
      <c r="D385" s="35" t="s">
        <v>318</v>
      </c>
      <c r="E385" s="35">
        <v>484</v>
      </c>
      <c r="F385" s="35">
        <v>1018</v>
      </c>
      <c r="G385" s="36">
        <f t="shared" si="107"/>
        <v>225.99600000000001</v>
      </c>
      <c r="H385" s="71">
        <v>170</v>
      </c>
      <c r="I385" s="32">
        <v>0</v>
      </c>
      <c r="J385" s="39">
        <v>0</v>
      </c>
      <c r="K385" s="39">
        <v>0</v>
      </c>
      <c r="L385" s="71">
        <v>170</v>
      </c>
      <c r="M385" s="32">
        <v>0</v>
      </c>
      <c r="N385" s="32"/>
      <c r="O385" s="32">
        <f t="shared" si="108"/>
        <v>0</v>
      </c>
      <c r="P385" s="32">
        <f t="shared" si="109"/>
        <v>0</v>
      </c>
      <c r="Q385" s="71">
        <v>165</v>
      </c>
      <c r="R385" s="75">
        <f>+Q385</f>
        <v>165</v>
      </c>
    </row>
    <row r="386" spans="2:18" ht="12.75" customHeight="1" x14ac:dyDescent="0.2">
      <c r="B386" s="1">
        <v>171102</v>
      </c>
      <c r="C386" s="35">
        <v>154</v>
      </c>
      <c r="D386" s="35" t="s">
        <v>319</v>
      </c>
      <c r="E386" s="35">
        <v>92</v>
      </c>
      <c r="F386" s="35">
        <v>147</v>
      </c>
      <c r="G386" s="36">
        <f t="shared" si="107"/>
        <v>32.634</v>
      </c>
      <c r="H386" s="71">
        <v>27</v>
      </c>
      <c r="I386" s="32">
        <v>0</v>
      </c>
      <c r="J386" s="39">
        <v>0</v>
      </c>
      <c r="K386" s="39">
        <v>0</v>
      </c>
      <c r="L386" s="71">
        <v>27</v>
      </c>
      <c r="M386" s="32">
        <v>0</v>
      </c>
      <c r="N386" s="32"/>
      <c r="O386" s="32">
        <f t="shared" si="108"/>
        <v>0</v>
      </c>
      <c r="P386" s="32">
        <f t="shared" si="109"/>
        <v>0</v>
      </c>
      <c r="Q386" s="71">
        <v>20</v>
      </c>
      <c r="R386" s="75">
        <f>+Q386</f>
        <v>20</v>
      </c>
    </row>
    <row r="387" spans="2:18" ht="12.75" customHeight="1" x14ac:dyDescent="0.2">
      <c r="B387" s="1">
        <v>171103</v>
      </c>
      <c r="C387" s="35">
        <v>101</v>
      </c>
      <c r="D387" s="35" t="s">
        <v>320</v>
      </c>
      <c r="E387" s="35">
        <v>103</v>
      </c>
      <c r="F387" s="35">
        <v>153</v>
      </c>
      <c r="G387" s="36">
        <f t="shared" si="107"/>
        <v>33.966000000000001</v>
      </c>
      <c r="H387" s="71">
        <v>28</v>
      </c>
      <c r="I387" s="32">
        <v>0</v>
      </c>
      <c r="J387" s="39">
        <v>0</v>
      </c>
      <c r="K387" s="39">
        <v>0</v>
      </c>
      <c r="L387" s="71">
        <v>26</v>
      </c>
      <c r="M387" s="32">
        <v>0</v>
      </c>
      <c r="N387" s="32"/>
      <c r="O387" s="32">
        <f t="shared" si="108"/>
        <v>0</v>
      </c>
      <c r="P387" s="32">
        <f t="shared" si="109"/>
        <v>0</v>
      </c>
      <c r="Q387" s="71">
        <v>26</v>
      </c>
      <c r="R387" s="75">
        <f>Q387</f>
        <v>26</v>
      </c>
    </row>
    <row r="388" spans="2:18" ht="12.75" customHeight="1" x14ac:dyDescent="0.2">
      <c r="B388" s="1">
        <v>171105</v>
      </c>
      <c r="C388" s="35">
        <v>187</v>
      </c>
      <c r="D388" s="35" t="s">
        <v>386</v>
      </c>
      <c r="E388" s="35">
        <v>225</v>
      </c>
      <c r="F388" s="35">
        <v>363</v>
      </c>
      <c r="G388" s="36">
        <f t="shared" si="107"/>
        <v>80.585999999999999</v>
      </c>
      <c r="H388" s="71">
        <v>60</v>
      </c>
      <c r="I388" s="32">
        <v>0</v>
      </c>
      <c r="J388" s="39">
        <v>0</v>
      </c>
      <c r="K388" s="39">
        <v>0</v>
      </c>
      <c r="L388" s="71">
        <v>55</v>
      </c>
      <c r="M388" s="32">
        <v>0</v>
      </c>
      <c r="N388" s="32"/>
      <c r="O388" s="32">
        <f>ROUND((+G388*N388)/100,0)</f>
        <v>0</v>
      </c>
      <c r="P388" s="32">
        <f>IF(M388&gt;O388,+M388-O388,0)</f>
        <v>0</v>
      </c>
      <c r="Q388" s="71">
        <v>60</v>
      </c>
      <c r="R388" s="75">
        <f>Q388</f>
        <v>60</v>
      </c>
    </row>
    <row r="389" spans="2:18" ht="12.75" customHeight="1" x14ac:dyDescent="0.2">
      <c r="B389" s="229">
        <v>171106</v>
      </c>
      <c r="C389" s="230">
        <v>143</v>
      </c>
      <c r="D389" s="230" t="s">
        <v>434</v>
      </c>
      <c r="E389" s="35">
        <v>70</v>
      </c>
      <c r="F389" s="35">
        <v>140</v>
      </c>
      <c r="G389" s="36">
        <f t="shared" si="107"/>
        <v>31.080000000000002</v>
      </c>
      <c r="H389" s="71">
        <v>18</v>
      </c>
      <c r="I389" s="32">
        <v>0</v>
      </c>
      <c r="J389" s="39">
        <v>0</v>
      </c>
      <c r="K389" s="39">
        <v>0</v>
      </c>
      <c r="L389" s="71">
        <v>18</v>
      </c>
      <c r="M389" s="32">
        <v>0</v>
      </c>
      <c r="N389" s="32"/>
      <c r="O389" s="32">
        <f>ROUND((+G389*N389)/100,0)</f>
        <v>0</v>
      </c>
      <c r="P389" s="32">
        <f>IF(M389&gt;O389,+M389-O389,0)</f>
        <v>0</v>
      </c>
      <c r="Q389" s="71">
        <v>17</v>
      </c>
      <c r="R389" s="75">
        <f>Q389</f>
        <v>17</v>
      </c>
    </row>
    <row r="390" spans="2:18" ht="12.75" customHeight="1" x14ac:dyDescent="0.2">
      <c r="B390" s="229">
        <v>171107</v>
      </c>
      <c r="C390" s="230">
        <v>136</v>
      </c>
      <c r="D390" s="230" t="s">
        <v>449</v>
      </c>
      <c r="E390" s="35">
        <v>110</v>
      </c>
      <c r="F390" s="35">
        <v>190</v>
      </c>
      <c r="G390" s="36">
        <f t="shared" ref="G390" si="110">F390*0.666*24/72</f>
        <v>42.18</v>
      </c>
      <c r="H390" s="71">
        <v>33</v>
      </c>
      <c r="I390" s="32">
        <v>0</v>
      </c>
      <c r="J390" s="39">
        <v>0</v>
      </c>
      <c r="K390" s="39">
        <v>0</v>
      </c>
      <c r="L390" s="71">
        <v>33</v>
      </c>
      <c r="M390" s="32">
        <v>0</v>
      </c>
      <c r="N390" s="32"/>
      <c r="O390" s="32">
        <f>ROUND((+G390*N390)/100,0)</f>
        <v>0</v>
      </c>
      <c r="P390" s="32">
        <f>IF(M390&gt;O390,+M390-O390,0)</f>
        <v>0</v>
      </c>
      <c r="Q390" s="71">
        <v>31</v>
      </c>
      <c r="R390" s="75">
        <f>Q390</f>
        <v>31</v>
      </c>
    </row>
    <row r="391" spans="2:18" ht="12.75" customHeight="1" x14ac:dyDescent="0.2">
      <c r="B391" s="1">
        <v>187103</v>
      </c>
      <c r="C391" s="35">
        <v>193</v>
      </c>
      <c r="D391" s="35" t="s">
        <v>322</v>
      </c>
      <c r="E391" s="35">
        <v>133</v>
      </c>
      <c r="F391" s="35">
        <v>168</v>
      </c>
      <c r="G391" s="36">
        <f t="shared" si="107"/>
        <v>37.295999999999999</v>
      </c>
      <c r="H391" s="71">
        <v>25</v>
      </c>
      <c r="I391" s="32">
        <v>0</v>
      </c>
      <c r="J391" s="39">
        <v>0</v>
      </c>
      <c r="K391" s="39">
        <v>0</v>
      </c>
      <c r="L391" s="71">
        <v>22</v>
      </c>
      <c r="M391" s="32">
        <v>0</v>
      </c>
      <c r="N391" s="32"/>
      <c r="O391" s="32">
        <f t="shared" si="108"/>
        <v>0</v>
      </c>
      <c r="P391" s="32">
        <f t="shared" si="109"/>
        <v>0</v>
      </c>
      <c r="Q391" s="71">
        <v>25</v>
      </c>
      <c r="R391" s="75">
        <f t="shared" ref="R391:R396" si="111">+Q391</f>
        <v>25</v>
      </c>
    </row>
    <row r="392" spans="2:18" ht="12.75" customHeight="1" x14ac:dyDescent="0.2">
      <c r="B392" s="1">
        <v>396101</v>
      </c>
      <c r="C392" s="35">
        <v>142</v>
      </c>
      <c r="D392" s="35" t="s">
        <v>349</v>
      </c>
      <c r="E392" s="35">
        <v>220</v>
      </c>
      <c r="F392" s="35">
        <v>327</v>
      </c>
      <c r="G392" s="36">
        <f t="shared" si="107"/>
        <v>72.593999999999994</v>
      </c>
      <c r="H392" s="71">
        <v>45</v>
      </c>
      <c r="I392" s="32">
        <v>0</v>
      </c>
      <c r="J392" s="39">
        <v>0</v>
      </c>
      <c r="K392" s="39">
        <v>0</v>
      </c>
      <c r="L392" s="71">
        <v>40</v>
      </c>
      <c r="M392" s="32">
        <v>0</v>
      </c>
      <c r="N392" s="32"/>
      <c r="O392" s="32">
        <f t="shared" si="108"/>
        <v>0</v>
      </c>
      <c r="P392" s="32">
        <f t="shared" si="109"/>
        <v>0</v>
      </c>
      <c r="Q392" s="71">
        <v>48</v>
      </c>
      <c r="R392" s="75">
        <f t="shared" si="111"/>
        <v>48</v>
      </c>
    </row>
    <row r="393" spans="2:18" ht="12.75" customHeight="1" x14ac:dyDescent="0.2">
      <c r="B393" s="1">
        <v>406101</v>
      </c>
      <c r="C393" s="35">
        <v>130</v>
      </c>
      <c r="D393" s="35" t="s">
        <v>350</v>
      </c>
      <c r="E393" s="35">
        <v>128</v>
      </c>
      <c r="F393" s="35">
        <v>217</v>
      </c>
      <c r="G393" s="36">
        <f t="shared" si="107"/>
        <v>48.174000000000007</v>
      </c>
      <c r="H393" s="71">
        <v>38</v>
      </c>
      <c r="I393" s="32">
        <v>0</v>
      </c>
      <c r="J393" s="39">
        <v>0</v>
      </c>
      <c r="K393" s="39">
        <v>0</v>
      </c>
      <c r="L393" s="71">
        <v>38</v>
      </c>
      <c r="M393" s="32">
        <v>0</v>
      </c>
      <c r="N393" s="32"/>
      <c r="O393" s="32">
        <f t="shared" si="108"/>
        <v>0</v>
      </c>
      <c r="P393" s="32">
        <f t="shared" si="109"/>
        <v>0</v>
      </c>
      <c r="Q393" s="71">
        <v>38</v>
      </c>
      <c r="R393" s="75">
        <f t="shared" si="111"/>
        <v>38</v>
      </c>
    </row>
    <row r="394" spans="2:18" ht="12.75" customHeight="1" x14ac:dyDescent="0.2">
      <c r="B394" s="1">
        <v>406103</v>
      </c>
      <c r="C394" s="35">
        <v>176</v>
      </c>
      <c r="D394" s="35" t="s">
        <v>351</v>
      </c>
      <c r="E394" s="35">
        <v>315</v>
      </c>
      <c r="F394" s="35">
        <v>569</v>
      </c>
      <c r="G394" s="36">
        <f t="shared" si="107"/>
        <v>126.31800000000001</v>
      </c>
      <c r="H394" s="71">
        <v>75</v>
      </c>
      <c r="I394" s="32">
        <v>0</v>
      </c>
      <c r="J394" s="39">
        <v>0</v>
      </c>
      <c r="K394" s="39">
        <v>0</v>
      </c>
      <c r="L394" s="71">
        <v>75</v>
      </c>
      <c r="M394" s="32">
        <v>0</v>
      </c>
      <c r="N394" s="32"/>
      <c r="O394" s="32">
        <f t="shared" si="108"/>
        <v>0</v>
      </c>
      <c r="P394" s="32">
        <f t="shared" si="109"/>
        <v>0</v>
      </c>
      <c r="Q394" s="71">
        <v>75</v>
      </c>
      <c r="R394" s="75">
        <f t="shared" si="111"/>
        <v>75</v>
      </c>
    </row>
    <row r="395" spans="2:18" ht="12.75" customHeight="1" x14ac:dyDescent="0.2">
      <c r="B395" s="1">
        <v>406104</v>
      </c>
      <c r="C395" s="35">
        <v>169</v>
      </c>
      <c r="D395" s="35" t="s">
        <v>352</v>
      </c>
      <c r="E395" s="35">
        <v>226</v>
      </c>
      <c r="F395" s="35">
        <v>328</v>
      </c>
      <c r="G395" s="36">
        <f t="shared" si="107"/>
        <v>72.816000000000003</v>
      </c>
      <c r="H395" s="71">
        <v>50</v>
      </c>
      <c r="I395" s="32">
        <v>0</v>
      </c>
      <c r="J395" s="39">
        <v>0</v>
      </c>
      <c r="K395" s="39">
        <v>0</v>
      </c>
      <c r="L395" s="71">
        <v>48</v>
      </c>
      <c r="M395" s="32">
        <v>0</v>
      </c>
      <c r="N395" s="32"/>
      <c r="O395" s="32">
        <f t="shared" si="108"/>
        <v>0</v>
      </c>
      <c r="P395" s="32">
        <f t="shared" si="109"/>
        <v>0</v>
      </c>
      <c r="Q395" s="71">
        <v>50</v>
      </c>
      <c r="R395" s="75">
        <f t="shared" si="111"/>
        <v>50</v>
      </c>
    </row>
    <row r="396" spans="2:18" ht="12.75" customHeight="1" x14ac:dyDescent="0.2">
      <c r="B396" s="1">
        <v>406105</v>
      </c>
      <c r="C396" s="35">
        <v>162</v>
      </c>
      <c r="D396" s="35" t="s">
        <v>353</v>
      </c>
      <c r="E396" s="35">
        <v>85</v>
      </c>
      <c r="F396" s="35">
        <v>154</v>
      </c>
      <c r="G396" s="36">
        <f t="shared" si="107"/>
        <v>34.188000000000002</v>
      </c>
      <c r="H396" s="71">
        <v>20</v>
      </c>
      <c r="I396" s="32">
        <v>0</v>
      </c>
      <c r="J396" s="39">
        <v>0</v>
      </c>
      <c r="K396" s="39">
        <v>0</v>
      </c>
      <c r="L396" s="71">
        <v>0</v>
      </c>
      <c r="M396" s="32">
        <v>0</v>
      </c>
      <c r="N396" s="32"/>
      <c r="O396" s="32">
        <f t="shared" si="108"/>
        <v>0</v>
      </c>
      <c r="P396" s="32">
        <f t="shared" si="109"/>
        <v>0</v>
      </c>
      <c r="Q396" s="71">
        <v>20</v>
      </c>
      <c r="R396" s="75">
        <f t="shared" si="111"/>
        <v>20</v>
      </c>
    </row>
    <row r="397" spans="2:18" ht="12.75" customHeight="1" x14ac:dyDescent="0.2">
      <c r="B397" s="1">
        <v>406106</v>
      </c>
      <c r="C397" s="35">
        <v>28</v>
      </c>
      <c r="D397" s="35" t="s">
        <v>354</v>
      </c>
      <c r="E397" s="35">
        <v>78</v>
      </c>
      <c r="F397" s="35">
        <v>104</v>
      </c>
      <c r="G397" s="36">
        <f t="shared" si="107"/>
        <v>23.088000000000005</v>
      </c>
      <c r="H397" s="71">
        <v>17</v>
      </c>
      <c r="I397" s="32">
        <v>0</v>
      </c>
      <c r="J397" s="39">
        <v>0</v>
      </c>
      <c r="K397" s="39">
        <v>0</v>
      </c>
      <c r="L397" s="71">
        <v>17</v>
      </c>
      <c r="M397" s="32">
        <v>0</v>
      </c>
      <c r="N397" s="32"/>
      <c r="O397" s="32">
        <f>ROUND((+G397*N397)/100,0)</f>
        <v>0</v>
      </c>
      <c r="P397" s="32">
        <f>IF(M397&gt;O397,+M397-O397,0)</f>
        <v>0</v>
      </c>
      <c r="Q397" s="71">
        <v>15</v>
      </c>
      <c r="R397" s="75">
        <f>+Q397</f>
        <v>15</v>
      </c>
    </row>
    <row r="398" spans="2:18" ht="12.75" customHeight="1" x14ac:dyDescent="0.2">
      <c r="B398" s="1">
        <v>406107</v>
      </c>
      <c r="C398" s="35">
        <v>170</v>
      </c>
      <c r="D398" s="35" t="s">
        <v>395</v>
      </c>
      <c r="E398" s="35">
        <v>115</v>
      </c>
      <c r="F398" s="35">
        <v>193</v>
      </c>
      <c r="G398" s="36">
        <f t="shared" si="107"/>
        <v>42.846000000000004</v>
      </c>
      <c r="H398" s="71">
        <v>25</v>
      </c>
      <c r="I398" s="32">
        <v>0</v>
      </c>
      <c r="J398" s="39">
        <v>0</v>
      </c>
      <c r="K398" s="39">
        <v>0</v>
      </c>
      <c r="L398" s="71">
        <v>22</v>
      </c>
      <c r="M398" s="32">
        <v>0</v>
      </c>
      <c r="N398" s="32"/>
      <c r="O398" s="32">
        <f>ROUND((+G398*N398)/100,0)</f>
        <v>0</v>
      </c>
      <c r="P398" s="32">
        <f>IF(M398&gt;O398,+M398-O398,0)</f>
        <v>0</v>
      </c>
      <c r="Q398" s="71">
        <v>23</v>
      </c>
      <c r="R398" s="75">
        <f>+Q398</f>
        <v>23</v>
      </c>
    </row>
    <row r="399" spans="2:18" ht="12.75" customHeight="1" x14ac:dyDescent="0.2">
      <c r="B399" s="1">
        <v>406108</v>
      </c>
      <c r="C399" s="35">
        <v>185</v>
      </c>
      <c r="D399" s="35" t="s">
        <v>408</v>
      </c>
      <c r="E399" s="35">
        <v>96</v>
      </c>
      <c r="F399" s="35">
        <v>216</v>
      </c>
      <c r="G399" s="36">
        <f t="shared" si="107"/>
        <v>47.951999999999998</v>
      </c>
      <c r="H399" s="71">
        <v>25</v>
      </c>
      <c r="I399" s="32">
        <v>0</v>
      </c>
      <c r="J399" s="39">
        <v>0</v>
      </c>
      <c r="K399" s="39">
        <v>0</v>
      </c>
      <c r="L399" s="71">
        <v>25</v>
      </c>
      <c r="M399" s="32">
        <v>0</v>
      </c>
      <c r="N399" s="32"/>
      <c r="O399" s="32">
        <f>ROUND((+G399*N399)/100,0)</f>
        <v>0</v>
      </c>
      <c r="P399" s="32">
        <f>IF(M399&gt;O399,+M399-O399,0)</f>
        <v>0</v>
      </c>
      <c r="Q399" s="71">
        <v>25</v>
      </c>
      <c r="R399" s="75">
        <f>+Q399</f>
        <v>25</v>
      </c>
    </row>
    <row r="400" spans="2:18" ht="12.75" customHeight="1" x14ac:dyDescent="0.2">
      <c r="B400" s="1">
        <v>406109</v>
      </c>
      <c r="C400" s="35">
        <v>196</v>
      </c>
      <c r="D400" s="35" t="s">
        <v>420</v>
      </c>
      <c r="E400" s="35">
        <v>143</v>
      </c>
      <c r="F400" s="35">
        <v>232</v>
      </c>
      <c r="G400" s="36">
        <f t="shared" ref="G400:G401" si="112">F400*0.666*24/72</f>
        <v>51.503999999999998</v>
      </c>
      <c r="H400" s="71">
        <v>22</v>
      </c>
      <c r="I400" s="32">
        <v>0</v>
      </c>
      <c r="J400" s="39">
        <v>0</v>
      </c>
      <c r="K400" s="39">
        <v>0</v>
      </c>
      <c r="L400" s="71">
        <v>20</v>
      </c>
      <c r="M400" s="32">
        <v>0</v>
      </c>
      <c r="N400" s="32"/>
      <c r="O400" s="32">
        <f t="shared" ref="O400:O401" si="113">ROUND((+G400*N400)/100,0)</f>
        <v>0</v>
      </c>
      <c r="P400" s="32">
        <f t="shared" ref="P400:P401" si="114">IF(M400&gt;O400,+M400-O400,0)</f>
        <v>0</v>
      </c>
      <c r="Q400" s="71">
        <v>16</v>
      </c>
      <c r="R400" s="75">
        <f t="shared" ref="R400:R401" si="115">+Q400</f>
        <v>16</v>
      </c>
    </row>
    <row r="401" spans="2:18" ht="12.75" customHeight="1" x14ac:dyDescent="0.2">
      <c r="B401" s="1">
        <v>406110</v>
      </c>
      <c r="C401" s="35">
        <v>181</v>
      </c>
      <c r="D401" s="35" t="s">
        <v>453</v>
      </c>
      <c r="E401" s="35">
        <v>63</v>
      </c>
      <c r="F401" s="35">
        <v>94</v>
      </c>
      <c r="G401" s="36">
        <f t="shared" si="112"/>
        <v>20.868000000000002</v>
      </c>
      <c r="H401" s="71">
        <v>10</v>
      </c>
      <c r="I401" s="32">
        <v>0</v>
      </c>
      <c r="J401" s="39">
        <v>0</v>
      </c>
      <c r="K401" s="39">
        <v>0</v>
      </c>
      <c r="L401" s="71">
        <v>10</v>
      </c>
      <c r="M401" s="32">
        <v>0</v>
      </c>
      <c r="N401" s="32"/>
      <c r="O401" s="32">
        <f t="shared" si="113"/>
        <v>0</v>
      </c>
      <c r="P401" s="32">
        <f t="shared" si="114"/>
        <v>0</v>
      </c>
      <c r="Q401" s="71">
        <v>10</v>
      </c>
      <c r="R401" s="75">
        <f t="shared" si="115"/>
        <v>10</v>
      </c>
    </row>
    <row r="402" spans="2:18" ht="12.75" customHeight="1" x14ac:dyDescent="0.2">
      <c r="B402" s="40"/>
      <c r="C402" s="41"/>
      <c r="D402" s="41"/>
      <c r="E402" s="98"/>
      <c r="F402" s="98"/>
      <c r="G402" s="93"/>
      <c r="H402" s="41"/>
      <c r="I402" s="41"/>
      <c r="J402" s="42"/>
      <c r="K402" s="42"/>
      <c r="L402" s="41"/>
      <c r="M402" s="41"/>
      <c r="N402" s="41"/>
      <c r="O402" s="41"/>
      <c r="P402" s="41"/>
      <c r="Q402" s="244"/>
      <c r="R402" s="86"/>
    </row>
    <row r="403" spans="2:18" ht="12.75" customHeight="1" x14ac:dyDescent="0.2">
      <c r="B403" s="46" t="s">
        <v>37</v>
      </c>
      <c r="C403" s="47"/>
      <c r="D403" s="47">
        <f>COUNTA(B384:B401)</f>
        <v>18</v>
      </c>
      <c r="E403" s="100">
        <f t="shared" ref="E403:R403" si="116">SUM(E384:E401)</f>
        <v>3095</v>
      </c>
      <c r="F403" s="100">
        <f t="shared" si="116"/>
        <v>5230</v>
      </c>
      <c r="G403" s="152">
        <f t="shared" si="116"/>
        <v>1161.0599999999997</v>
      </c>
      <c r="H403" s="152">
        <f t="shared" si="116"/>
        <v>753</v>
      </c>
      <c r="I403" s="152">
        <f t="shared" si="116"/>
        <v>0</v>
      </c>
      <c r="J403" s="152">
        <f t="shared" si="116"/>
        <v>0</v>
      </c>
      <c r="K403" s="152">
        <f t="shared" si="116"/>
        <v>0</v>
      </c>
      <c r="L403" s="152">
        <f t="shared" si="116"/>
        <v>726</v>
      </c>
      <c r="M403" s="152">
        <f t="shared" si="116"/>
        <v>0</v>
      </c>
      <c r="N403" s="152">
        <f t="shared" si="116"/>
        <v>0</v>
      </c>
      <c r="O403" s="152">
        <f t="shared" si="116"/>
        <v>0</v>
      </c>
      <c r="P403" s="152">
        <f t="shared" si="116"/>
        <v>0</v>
      </c>
      <c r="Q403" s="256">
        <f t="shared" si="116"/>
        <v>749</v>
      </c>
      <c r="R403" s="152">
        <f t="shared" si="116"/>
        <v>749</v>
      </c>
    </row>
    <row r="404" spans="2:18" ht="12.75" customHeight="1" x14ac:dyDescent="0.2">
      <c r="B404" s="50" t="s">
        <v>475</v>
      </c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2"/>
      <c r="O404" s="52"/>
      <c r="P404" s="52"/>
      <c r="Q404" s="52"/>
      <c r="R404" s="92"/>
    </row>
    <row r="405" spans="2:18" ht="12.75" customHeight="1" x14ac:dyDescent="0.2">
      <c r="B405" s="229" t="s">
        <v>476</v>
      </c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270"/>
      <c r="O405" s="127"/>
      <c r="P405" s="127"/>
      <c r="Q405" s="127"/>
      <c r="R405" s="59"/>
    </row>
    <row r="406" spans="2:18" ht="12.75" customHeight="1" x14ac:dyDescent="0.2">
      <c r="B406" s="165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9"/>
      <c r="N406" s="56"/>
      <c r="O406" s="56"/>
      <c r="P406" s="56"/>
      <c r="Q406" s="247" t="s">
        <v>39</v>
      </c>
      <c r="R406" s="96">
        <f>R403+R404</f>
        <v>749</v>
      </c>
    </row>
    <row r="407" spans="2:18" ht="12.75" customHeight="1" x14ac:dyDescent="0.2">
      <c r="B407" s="58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258"/>
      <c r="R407" s="59"/>
    </row>
    <row r="408" spans="2:18" ht="12.75" customHeight="1" x14ac:dyDescent="0.2">
      <c r="B408" s="80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104"/>
      <c r="R408" s="59"/>
    </row>
    <row r="409" spans="2:18" ht="12.75" customHeight="1" x14ac:dyDescent="0.2">
      <c r="B409" s="63" t="s">
        <v>33</v>
      </c>
      <c r="C409" s="32"/>
      <c r="D409" s="32"/>
      <c r="E409" s="32"/>
      <c r="F409" s="32"/>
      <c r="G409" s="32"/>
      <c r="H409" s="138"/>
      <c r="I409" s="32"/>
      <c r="J409" s="66"/>
      <c r="K409" s="66"/>
      <c r="L409" s="138"/>
      <c r="M409" s="32"/>
      <c r="N409" s="32"/>
      <c r="O409" s="32"/>
      <c r="P409" s="32"/>
      <c r="Q409" s="35"/>
      <c r="R409" s="166"/>
    </row>
    <row r="410" spans="2:18" ht="12.75" customHeight="1" x14ac:dyDescent="0.2">
      <c r="B410" s="63"/>
      <c r="C410" s="64" t="s">
        <v>159</v>
      </c>
      <c r="D410" s="65"/>
      <c r="E410" s="65"/>
      <c r="F410" s="32"/>
      <c r="G410" s="32"/>
      <c r="H410" s="32"/>
      <c r="I410" s="32"/>
      <c r="J410" s="66"/>
      <c r="K410" s="66"/>
      <c r="L410" s="32"/>
      <c r="M410" s="32"/>
      <c r="N410" s="32"/>
      <c r="O410" s="32"/>
      <c r="P410" s="32"/>
      <c r="Q410" s="35"/>
      <c r="R410" s="32"/>
    </row>
    <row r="411" spans="2:18" ht="12.75" customHeight="1" x14ac:dyDescent="0.2">
      <c r="B411" s="30"/>
      <c r="C411" s="31"/>
      <c r="D411" s="31"/>
      <c r="E411" s="31"/>
      <c r="F411" s="31"/>
      <c r="G411" s="31"/>
      <c r="H411" s="31"/>
      <c r="I411" s="31"/>
      <c r="J411" s="68"/>
      <c r="K411" s="68"/>
      <c r="L411" s="31"/>
      <c r="M411" s="31"/>
      <c r="N411" s="31"/>
      <c r="O411" s="31"/>
      <c r="P411" s="31"/>
      <c r="Q411" s="77"/>
      <c r="R411" s="139"/>
    </row>
    <row r="412" spans="2:18" ht="12.75" customHeight="1" x14ac:dyDescent="0.2">
      <c r="B412" s="1">
        <v>19101</v>
      </c>
      <c r="C412" s="35">
        <v>13</v>
      </c>
      <c r="D412" s="35" t="s">
        <v>160</v>
      </c>
      <c r="E412" s="35">
        <v>75</v>
      </c>
      <c r="F412" s="35">
        <v>120</v>
      </c>
      <c r="G412" s="36">
        <f t="shared" ref="G412:G426" si="117">F412*0.666*24/72</f>
        <v>26.64</v>
      </c>
      <c r="H412" s="71">
        <v>22</v>
      </c>
      <c r="I412" s="35">
        <v>0</v>
      </c>
      <c r="J412" s="84">
        <v>0</v>
      </c>
      <c r="K412" s="84">
        <v>0</v>
      </c>
      <c r="L412" s="71">
        <v>20</v>
      </c>
      <c r="M412" s="35">
        <v>0</v>
      </c>
      <c r="N412" s="35"/>
      <c r="O412" s="35">
        <f t="shared" ref="O412:O426" si="118">ROUND((+G412*N412)/100,0)</f>
        <v>0</v>
      </c>
      <c r="P412" s="35">
        <f t="shared" ref="P412:P426" si="119">IF(M412&gt;O412,+M412-O412,0)</f>
        <v>0</v>
      </c>
      <c r="Q412" s="71">
        <v>20</v>
      </c>
      <c r="R412" s="85">
        <f t="shared" ref="R412:R426" si="120">+Q412</f>
        <v>20</v>
      </c>
    </row>
    <row r="413" spans="2:18" ht="12.75" customHeight="1" x14ac:dyDescent="0.2">
      <c r="B413" s="1">
        <v>24102</v>
      </c>
      <c r="C413" s="35">
        <v>5</v>
      </c>
      <c r="D413" s="35" t="s">
        <v>161</v>
      </c>
      <c r="E413" s="35">
        <v>191</v>
      </c>
      <c r="F413" s="35">
        <v>312</v>
      </c>
      <c r="G413" s="36">
        <f t="shared" si="117"/>
        <v>69.263999999999996</v>
      </c>
      <c r="H413" s="71">
        <v>25</v>
      </c>
      <c r="I413" s="35">
        <v>0</v>
      </c>
      <c r="J413" s="84">
        <v>0</v>
      </c>
      <c r="K413" s="84">
        <v>0</v>
      </c>
      <c r="L413" s="71">
        <v>0</v>
      </c>
      <c r="M413" s="35">
        <v>0</v>
      </c>
      <c r="N413" s="35"/>
      <c r="O413" s="35">
        <f t="shared" si="118"/>
        <v>0</v>
      </c>
      <c r="P413" s="35">
        <f t="shared" si="119"/>
        <v>0</v>
      </c>
      <c r="Q413" s="71">
        <v>0</v>
      </c>
      <c r="R413" s="85">
        <f t="shared" si="120"/>
        <v>0</v>
      </c>
    </row>
    <row r="414" spans="2:18" ht="12.75" customHeight="1" x14ac:dyDescent="0.2">
      <c r="B414" s="1">
        <v>27102</v>
      </c>
      <c r="C414" s="35">
        <v>12</v>
      </c>
      <c r="D414" s="35" t="s">
        <v>162</v>
      </c>
      <c r="E414" s="35">
        <v>84</v>
      </c>
      <c r="F414" s="35">
        <v>118</v>
      </c>
      <c r="G414" s="36">
        <f t="shared" si="117"/>
        <v>26.196000000000002</v>
      </c>
      <c r="H414" s="71">
        <v>22</v>
      </c>
      <c r="I414" s="35">
        <v>0</v>
      </c>
      <c r="J414" s="84">
        <v>0</v>
      </c>
      <c r="K414" s="84">
        <v>0</v>
      </c>
      <c r="L414" s="71">
        <v>0</v>
      </c>
      <c r="M414" s="35">
        <v>0</v>
      </c>
      <c r="N414" s="35"/>
      <c r="O414" s="35">
        <f t="shared" si="118"/>
        <v>0</v>
      </c>
      <c r="P414" s="35">
        <f t="shared" si="119"/>
        <v>0</v>
      </c>
      <c r="Q414" s="71">
        <v>0</v>
      </c>
      <c r="R414" s="85">
        <f t="shared" si="120"/>
        <v>0</v>
      </c>
    </row>
    <row r="415" spans="2:18" ht="12.75" customHeight="1" x14ac:dyDescent="0.2">
      <c r="B415" s="1">
        <v>139106</v>
      </c>
      <c r="C415" s="35">
        <v>64</v>
      </c>
      <c r="D415" s="35" t="s">
        <v>163</v>
      </c>
      <c r="E415" s="35">
        <v>48</v>
      </c>
      <c r="F415" s="35">
        <v>97</v>
      </c>
      <c r="G415" s="36">
        <f t="shared" si="117"/>
        <v>21.534000000000002</v>
      </c>
      <c r="H415" s="71">
        <v>19</v>
      </c>
      <c r="I415" s="35">
        <v>0</v>
      </c>
      <c r="J415" s="84">
        <v>0</v>
      </c>
      <c r="K415" s="84">
        <v>0</v>
      </c>
      <c r="L415" s="71">
        <v>17</v>
      </c>
      <c r="M415" s="35">
        <v>0</v>
      </c>
      <c r="N415" s="35"/>
      <c r="O415" s="35">
        <f t="shared" si="118"/>
        <v>0</v>
      </c>
      <c r="P415" s="35">
        <f t="shared" si="119"/>
        <v>0</v>
      </c>
      <c r="Q415" s="71">
        <v>17</v>
      </c>
      <c r="R415" s="85">
        <f t="shared" si="120"/>
        <v>17</v>
      </c>
    </row>
    <row r="416" spans="2:18" ht="12.75" customHeight="1" x14ac:dyDescent="0.2">
      <c r="B416" s="1">
        <v>139107</v>
      </c>
      <c r="C416" s="35">
        <v>65</v>
      </c>
      <c r="D416" s="35" t="s">
        <v>409</v>
      </c>
      <c r="E416" s="35">
        <v>60</v>
      </c>
      <c r="F416" s="35">
        <v>105</v>
      </c>
      <c r="G416" s="36">
        <f t="shared" si="117"/>
        <v>23.310000000000002</v>
      </c>
      <c r="H416" s="71">
        <v>18</v>
      </c>
      <c r="I416" s="35">
        <v>0</v>
      </c>
      <c r="J416" s="84">
        <v>0</v>
      </c>
      <c r="K416" s="84">
        <v>0</v>
      </c>
      <c r="L416" s="71">
        <v>0</v>
      </c>
      <c r="M416" s="35">
        <v>0</v>
      </c>
      <c r="N416" s="35"/>
      <c r="O416" s="35">
        <f>ROUND((+G416*N416)/100,0)</f>
        <v>0</v>
      </c>
      <c r="P416" s="35">
        <f>IF(M416&gt;O416,+M416-O416,0)</f>
        <v>0</v>
      </c>
      <c r="Q416" s="71">
        <v>18</v>
      </c>
      <c r="R416" s="85">
        <f>+Q416</f>
        <v>18</v>
      </c>
    </row>
    <row r="417" spans="2:18" ht="12.75" customHeight="1" x14ac:dyDescent="0.2">
      <c r="B417" s="1">
        <v>175103</v>
      </c>
      <c r="C417" s="35">
        <v>16</v>
      </c>
      <c r="D417" s="35" t="s">
        <v>164</v>
      </c>
      <c r="E417" s="35">
        <v>57</v>
      </c>
      <c r="F417" s="35">
        <v>103</v>
      </c>
      <c r="G417" s="36">
        <f t="shared" si="117"/>
        <v>22.866</v>
      </c>
      <c r="H417" s="71">
        <v>18</v>
      </c>
      <c r="I417" s="35">
        <v>0</v>
      </c>
      <c r="J417" s="84">
        <v>0</v>
      </c>
      <c r="K417" s="84">
        <v>0</v>
      </c>
      <c r="L417" s="71">
        <v>18</v>
      </c>
      <c r="M417" s="35">
        <v>0</v>
      </c>
      <c r="N417" s="35"/>
      <c r="O417" s="35">
        <f t="shared" si="118"/>
        <v>0</v>
      </c>
      <c r="P417" s="35">
        <f t="shared" si="119"/>
        <v>0</v>
      </c>
      <c r="Q417" s="71">
        <v>17</v>
      </c>
      <c r="R417" s="85">
        <f t="shared" si="120"/>
        <v>17</v>
      </c>
    </row>
    <row r="418" spans="2:18" s="34" customFormat="1" ht="12.75" customHeight="1" x14ac:dyDescent="0.2">
      <c r="B418" s="1">
        <v>220102</v>
      </c>
      <c r="C418" s="35">
        <v>31</v>
      </c>
      <c r="D418" s="35" t="s">
        <v>165</v>
      </c>
      <c r="E418" s="35">
        <v>53</v>
      </c>
      <c r="F418" s="35">
        <v>97</v>
      </c>
      <c r="G418" s="36">
        <f t="shared" si="117"/>
        <v>21.534000000000002</v>
      </c>
      <c r="H418" s="71">
        <v>19</v>
      </c>
      <c r="I418" s="35">
        <v>0</v>
      </c>
      <c r="J418" s="84">
        <v>0</v>
      </c>
      <c r="K418" s="84">
        <v>0</v>
      </c>
      <c r="L418" s="71">
        <v>16</v>
      </c>
      <c r="M418" s="35">
        <v>0</v>
      </c>
      <c r="N418" s="35"/>
      <c r="O418" s="35">
        <f t="shared" si="118"/>
        <v>0</v>
      </c>
      <c r="P418" s="35">
        <f t="shared" si="119"/>
        <v>0</v>
      </c>
      <c r="Q418" s="71">
        <v>10</v>
      </c>
      <c r="R418" s="85">
        <f t="shared" si="120"/>
        <v>10</v>
      </c>
    </row>
    <row r="419" spans="2:18" ht="12.75" customHeight="1" x14ac:dyDescent="0.2">
      <c r="B419" s="1">
        <v>220103</v>
      </c>
      <c r="C419" s="35">
        <v>68</v>
      </c>
      <c r="D419" s="35" t="s">
        <v>166</v>
      </c>
      <c r="E419" s="35">
        <v>51</v>
      </c>
      <c r="F419" s="35">
        <v>76</v>
      </c>
      <c r="G419" s="36">
        <f t="shared" si="117"/>
        <v>16.872</v>
      </c>
      <c r="H419" s="71">
        <v>16</v>
      </c>
      <c r="I419" s="35">
        <v>0</v>
      </c>
      <c r="J419" s="84">
        <v>0</v>
      </c>
      <c r="K419" s="84">
        <v>0</v>
      </c>
      <c r="L419" s="71">
        <v>15</v>
      </c>
      <c r="M419" s="35">
        <v>0</v>
      </c>
      <c r="N419" s="35"/>
      <c r="O419" s="35">
        <f t="shared" si="118"/>
        <v>0</v>
      </c>
      <c r="P419" s="35">
        <f t="shared" si="119"/>
        <v>0</v>
      </c>
      <c r="Q419" s="71">
        <v>15</v>
      </c>
      <c r="R419" s="85">
        <f t="shared" si="120"/>
        <v>15</v>
      </c>
    </row>
    <row r="420" spans="2:18" ht="12.75" customHeight="1" x14ac:dyDescent="0.2">
      <c r="B420" s="1">
        <v>220104</v>
      </c>
      <c r="C420" s="35">
        <v>62</v>
      </c>
      <c r="D420" s="35" t="s">
        <v>285</v>
      </c>
      <c r="E420" s="35">
        <v>26</v>
      </c>
      <c r="F420" s="35">
        <v>48</v>
      </c>
      <c r="G420" s="36">
        <f t="shared" si="117"/>
        <v>10.656000000000001</v>
      </c>
      <c r="H420" s="71">
        <v>9</v>
      </c>
      <c r="I420" s="35">
        <v>0</v>
      </c>
      <c r="J420" s="84">
        <v>0</v>
      </c>
      <c r="K420" s="84">
        <v>0</v>
      </c>
      <c r="L420" s="71">
        <v>8</v>
      </c>
      <c r="M420" s="35">
        <v>0</v>
      </c>
      <c r="N420" s="35"/>
      <c r="O420" s="35">
        <f>ROUND((+G420*N420)/100,0)</f>
        <v>0</v>
      </c>
      <c r="P420" s="35">
        <f>IF(M420&gt;O420,+M420-O420,0)</f>
        <v>0</v>
      </c>
      <c r="Q420" s="71">
        <v>9</v>
      </c>
      <c r="R420" s="85">
        <f t="shared" si="120"/>
        <v>9</v>
      </c>
    </row>
    <row r="421" spans="2:18" ht="12.75" customHeight="1" x14ac:dyDescent="0.2">
      <c r="B421" s="1">
        <v>276103</v>
      </c>
      <c r="C421" s="35">
        <v>8</v>
      </c>
      <c r="D421" s="35" t="s">
        <v>461</v>
      </c>
      <c r="E421" s="35">
        <v>54</v>
      </c>
      <c r="F421" s="35">
        <v>67</v>
      </c>
      <c r="G421" s="36">
        <f t="shared" ref="G421" si="121">F421*0.666*24/72</f>
        <v>14.873999999999999</v>
      </c>
      <c r="H421" s="71">
        <v>14</v>
      </c>
      <c r="I421" s="35">
        <v>0</v>
      </c>
      <c r="J421" s="84">
        <v>0</v>
      </c>
      <c r="K421" s="84">
        <v>0</v>
      </c>
      <c r="L421" s="71">
        <v>0</v>
      </c>
      <c r="M421" s="35">
        <v>0</v>
      </c>
      <c r="N421" s="35"/>
      <c r="O421" s="35">
        <f>ROUND((+G421*N421)/100,0)</f>
        <v>0</v>
      </c>
      <c r="P421" s="35">
        <f>IF(M421&gt;O421,+M421-O421,0)</f>
        <v>0</v>
      </c>
      <c r="Q421" s="71">
        <v>9</v>
      </c>
      <c r="R421" s="85">
        <f t="shared" ref="R421" si="122">+Q421</f>
        <v>9</v>
      </c>
    </row>
    <row r="422" spans="2:18" s="34" customFormat="1" ht="12.75" customHeight="1" x14ac:dyDescent="0.2">
      <c r="B422" s="1">
        <v>326102</v>
      </c>
      <c r="C422" s="35">
        <v>78</v>
      </c>
      <c r="D422" s="35" t="s">
        <v>167</v>
      </c>
      <c r="E422" s="35">
        <v>86</v>
      </c>
      <c r="F422" s="35">
        <v>98</v>
      </c>
      <c r="G422" s="36">
        <f t="shared" si="117"/>
        <v>21.756</v>
      </c>
      <c r="H422" s="71">
        <v>18</v>
      </c>
      <c r="I422" s="35">
        <v>0</v>
      </c>
      <c r="J422" s="84">
        <v>0</v>
      </c>
      <c r="K422" s="84">
        <v>0</v>
      </c>
      <c r="L422" s="71">
        <v>0</v>
      </c>
      <c r="M422" s="35">
        <v>0</v>
      </c>
      <c r="N422" s="35"/>
      <c r="O422" s="35">
        <f t="shared" si="118"/>
        <v>0</v>
      </c>
      <c r="P422" s="35">
        <f t="shared" si="119"/>
        <v>0</v>
      </c>
      <c r="Q422" s="71">
        <v>18</v>
      </c>
      <c r="R422" s="85">
        <f t="shared" si="120"/>
        <v>18</v>
      </c>
    </row>
    <row r="423" spans="2:18" s="34" customFormat="1" ht="12.75" customHeight="1" x14ac:dyDescent="0.2">
      <c r="B423" s="1">
        <v>326103</v>
      </c>
      <c r="C423" s="35">
        <v>57</v>
      </c>
      <c r="D423" s="35" t="s">
        <v>168</v>
      </c>
      <c r="E423" s="35">
        <v>59</v>
      </c>
      <c r="F423" s="35">
        <v>87</v>
      </c>
      <c r="G423" s="36">
        <f t="shared" si="117"/>
        <v>19.314</v>
      </c>
      <c r="H423" s="71">
        <v>14</v>
      </c>
      <c r="I423" s="35">
        <v>0</v>
      </c>
      <c r="J423" s="84">
        <v>0</v>
      </c>
      <c r="K423" s="84">
        <v>0</v>
      </c>
      <c r="L423" s="71">
        <v>0</v>
      </c>
      <c r="M423" s="35">
        <v>0</v>
      </c>
      <c r="N423" s="35"/>
      <c r="O423" s="35">
        <f t="shared" si="118"/>
        <v>0</v>
      </c>
      <c r="P423" s="35">
        <f t="shared" si="119"/>
        <v>0</v>
      </c>
      <c r="Q423" s="71">
        <v>14</v>
      </c>
      <c r="R423" s="85">
        <f t="shared" si="120"/>
        <v>14</v>
      </c>
    </row>
    <row r="424" spans="2:18" s="34" customFormat="1" ht="12.75" customHeight="1" x14ac:dyDescent="0.2">
      <c r="B424" s="1">
        <v>355102</v>
      </c>
      <c r="C424" s="35">
        <v>17</v>
      </c>
      <c r="D424" s="35" t="s">
        <v>169</v>
      </c>
      <c r="E424" s="35">
        <v>65</v>
      </c>
      <c r="F424" s="35">
        <v>92</v>
      </c>
      <c r="G424" s="36">
        <f t="shared" si="117"/>
        <v>20.424000000000003</v>
      </c>
      <c r="H424" s="71">
        <v>17</v>
      </c>
      <c r="I424" s="35">
        <v>0</v>
      </c>
      <c r="J424" s="84">
        <v>0</v>
      </c>
      <c r="K424" s="84">
        <v>0</v>
      </c>
      <c r="L424" s="71">
        <v>0</v>
      </c>
      <c r="M424" s="35">
        <v>0</v>
      </c>
      <c r="N424" s="35"/>
      <c r="O424" s="35">
        <f t="shared" si="118"/>
        <v>0</v>
      </c>
      <c r="P424" s="35">
        <f t="shared" si="119"/>
        <v>0</v>
      </c>
      <c r="Q424" s="71">
        <v>18</v>
      </c>
      <c r="R424" s="85">
        <f t="shared" si="120"/>
        <v>18</v>
      </c>
    </row>
    <row r="425" spans="2:18" s="34" customFormat="1" ht="12.75" customHeight="1" x14ac:dyDescent="0.2">
      <c r="B425" s="1">
        <v>438103</v>
      </c>
      <c r="C425" s="35">
        <v>27</v>
      </c>
      <c r="D425" s="35" t="s">
        <v>170</v>
      </c>
      <c r="E425" s="35">
        <v>52</v>
      </c>
      <c r="F425" s="35">
        <v>75</v>
      </c>
      <c r="G425" s="36">
        <f t="shared" si="117"/>
        <v>16.650000000000002</v>
      </c>
      <c r="H425" s="71">
        <v>13</v>
      </c>
      <c r="I425" s="35">
        <v>0</v>
      </c>
      <c r="J425" s="84">
        <v>0</v>
      </c>
      <c r="K425" s="84">
        <v>0</v>
      </c>
      <c r="L425" s="71">
        <v>12</v>
      </c>
      <c r="M425" s="35">
        <v>0</v>
      </c>
      <c r="N425" s="35"/>
      <c r="O425" s="35">
        <f>ROUND((+G425*N425)/100,0)</f>
        <v>0</v>
      </c>
      <c r="P425" s="35">
        <f>IF(M425&gt;O425,+M425-O425,0)</f>
        <v>0</v>
      </c>
      <c r="Q425" s="71">
        <v>12</v>
      </c>
      <c r="R425" s="85">
        <f>+Q425</f>
        <v>12</v>
      </c>
    </row>
    <row r="426" spans="2:18" s="34" customFormat="1" ht="12.75" customHeight="1" x14ac:dyDescent="0.2">
      <c r="B426" s="1">
        <v>527103</v>
      </c>
      <c r="C426" s="35">
        <v>54</v>
      </c>
      <c r="D426" s="35" t="s">
        <v>440</v>
      </c>
      <c r="E426" s="35">
        <v>75</v>
      </c>
      <c r="F426" s="35">
        <v>96</v>
      </c>
      <c r="G426" s="36">
        <f t="shared" si="117"/>
        <v>21.312000000000001</v>
      </c>
      <c r="H426" s="71">
        <v>17</v>
      </c>
      <c r="I426" s="35">
        <v>0</v>
      </c>
      <c r="J426" s="84">
        <v>0</v>
      </c>
      <c r="K426" s="84">
        <v>0</v>
      </c>
      <c r="L426" s="71">
        <v>27</v>
      </c>
      <c r="M426" s="35">
        <v>0</v>
      </c>
      <c r="N426" s="35"/>
      <c r="O426" s="35">
        <f t="shared" si="118"/>
        <v>0</v>
      </c>
      <c r="P426" s="35">
        <f t="shared" si="119"/>
        <v>0</v>
      </c>
      <c r="Q426" s="71">
        <v>16</v>
      </c>
      <c r="R426" s="85">
        <f t="shared" si="120"/>
        <v>16</v>
      </c>
    </row>
    <row r="427" spans="2:18" ht="12.75" customHeight="1" x14ac:dyDescent="0.2">
      <c r="B427" s="40"/>
      <c r="C427" s="41"/>
      <c r="D427" s="41"/>
      <c r="E427" s="98"/>
      <c r="F427" s="98"/>
      <c r="G427" s="93"/>
      <c r="H427" s="41"/>
      <c r="I427" s="41"/>
      <c r="J427" s="42"/>
      <c r="K427" s="42"/>
      <c r="L427" s="41"/>
      <c r="M427" s="41"/>
      <c r="N427" s="41"/>
      <c r="O427" s="41"/>
      <c r="P427" s="41"/>
      <c r="Q427" s="251"/>
      <c r="R427" s="86"/>
    </row>
    <row r="428" spans="2:18" ht="12.75" customHeight="1" x14ac:dyDescent="0.2">
      <c r="B428" s="30" t="s">
        <v>37</v>
      </c>
      <c r="C428" s="31"/>
      <c r="D428" s="31">
        <f>COUNTA(B412:B426)</f>
        <v>15</v>
      </c>
      <c r="E428" s="116">
        <f t="shared" ref="E428:R428" si="123">SUM(E412:E426)</f>
        <v>1036</v>
      </c>
      <c r="F428" s="116">
        <f t="shared" si="123"/>
        <v>1591</v>
      </c>
      <c r="G428" s="117">
        <f t="shared" si="123"/>
        <v>353.202</v>
      </c>
      <c r="H428" s="117">
        <f t="shared" si="123"/>
        <v>261</v>
      </c>
      <c r="I428" s="117">
        <f t="shared" si="123"/>
        <v>0</v>
      </c>
      <c r="J428" s="117">
        <f t="shared" si="123"/>
        <v>0</v>
      </c>
      <c r="K428" s="117">
        <f t="shared" si="123"/>
        <v>0</v>
      </c>
      <c r="L428" s="117">
        <f t="shared" si="123"/>
        <v>133</v>
      </c>
      <c r="M428" s="117">
        <f t="shared" si="123"/>
        <v>0</v>
      </c>
      <c r="N428" s="117">
        <f t="shared" si="123"/>
        <v>0</v>
      </c>
      <c r="O428" s="117">
        <f t="shared" si="123"/>
        <v>0</v>
      </c>
      <c r="P428" s="117">
        <f t="shared" si="123"/>
        <v>0</v>
      </c>
      <c r="Q428" s="167">
        <f t="shared" si="123"/>
        <v>193</v>
      </c>
      <c r="R428" s="167">
        <f t="shared" si="123"/>
        <v>193</v>
      </c>
    </row>
    <row r="429" spans="2:18" ht="15.75" customHeight="1" x14ac:dyDescent="0.2">
      <c r="B429" s="109" t="s">
        <v>477</v>
      </c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252"/>
      <c r="R429" s="168"/>
    </row>
    <row r="430" spans="2:18" ht="12.75" customHeight="1" x14ac:dyDescent="0.2">
      <c r="B430" s="4"/>
      <c r="C430" s="127"/>
      <c r="D430" s="35"/>
      <c r="E430" s="127"/>
      <c r="F430" s="127"/>
      <c r="G430" s="127"/>
      <c r="H430" s="127"/>
      <c r="I430" s="127"/>
      <c r="J430" s="127"/>
      <c r="K430" s="127"/>
      <c r="L430" s="127"/>
      <c r="M430" s="97"/>
      <c r="N430" s="134"/>
      <c r="O430" s="134"/>
      <c r="P430" s="134"/>
      <c r="Q430" s="169" t="s">
        <v>39</v>
      </c>
      <c r="R430" s="96">
        <f>R428+R429</f>
        <v>193</v>
      </c>
    </row>
    <row r="431" spans="2:18" ht="12.75" customHeight="1" x14ac:dyDescent="0.2">
      <c r="B431" s="238"/>
      <c r="C431" s="236"/>
      <c r="D431" s="236"/>
      <c r="E431" s="236"/>
      <c r="F431" s="236"/>
      <c r="G431" s="236"/>
      <c r="H431" s="236"/>
      <c r="I431" s="236"/>
      <c r="J431" s="236"/>
      <c r="K431" s="236"/>
      <c r="L431" s="236"/>
      <c r="M431" s="237"/>
      <c r="N431" s="104"/>
      <c r="O431" s="104"/>
      <c r="P431" s="104"/>
      <c r="Q431" s="104"/>
      <c r="R431" s="106"/>
    </row>
    <row r="432" spans="2:18" ht="12.75" customHeight="1" x14ac:dyDescent="0.2">
      <c r="B432" s="80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104"/>
      <c r="R432" s="59"/>
    </row>
    <row r="433" spans="1:18" s="34" customFormat="1" ht="12.75" customHeight="1" x14ac:dyDescent="0.2">
      <c r="B433" s="63" t="s">
        <v>33</v>
      </c>
      <c r="C433" s="32"/>
      <c r="D433" s="32"/>
      <c r="E433" s="32"/>
      <c r="F433" s="32"/>
      <c r="G433" s="62"/>
      <c r="H433" s="32"/>
      <c r="I433" s="32"/>
      <c r="J433" s="32"/>
      <c r="K433" s="32"/>
      <c r="L433" s="32"/>
      <c r="M433" s="32"/>
      <c r="N433" s="32"/>
      <c r="O433" s="32"/>
      <c r="P433" s="32"/>
      <c r="Q433" s="35"/>
      <c r="R433" s="62"/>
    </row>
    <row r="434" spans="1:18" s="34" customFormat="1" ht="12.75" customHeight="1" x14ac:dyDescent="0.2">
      <c r="B434" s="63"/>
      <c r="C434" s="64" t="s">
        <v>282</v>
      </c>
      <c r="D434" s="65"/>
      <c r="E434" s="65"/>
      <c r="F434" s="65"/>
      <c r="G434" s="32"/>
      <c r="H434" s="32"/>
      <c r="I434" s="32"/>
      <c r="J434" s="66"/>
      <c r="K434" s="66"/>
      <c r="L434" s="32"/>
      <c r="M434" s="32"/>
      <c r="N434" s="32"/>
      <c r="O434" s="32"/>
      <c r="P434" s="32"/>
      <c r="Q434" s="35"/>
      <c r="R434" s="166"/>
    </row>
    <row r="435" spans="1:18" s="34" customFormat="1" ht="12.75" customHeight="1" x14ac:dyDescent="0.2">
      <c r="B435" s="149"/>
      <c r="C435" s="77"/>
      <c r="D435" s="77"/>
      <c r="E435" s="77"/>
      <c r="F435" s="77"/>
      <c r="G435" s="77"/>
      <c r="H435" s="77"/>
      <c r="I435" s="77"/>
      <c r="J435" s="275"/>
      <c r="K435" s="275"/>
      <c r="L435" s="77"/>
      <c r="M435" s="77"/>
      <c r="N435" s="77"/>
      <c r="O435" s="77"/>
      <c r="P435" s="77"/>
      <c r="Q435" s="77"/>
      <c r="R435" s="276"/>
    </row>
    <row r="436" spans="1:18" ht="12.75" customHeight="1" x14ac:dyDescent="0.2">
      <c r="A436" s="34"/>
      <c r="B436" s="1">
        <v>29102</v>
      </c>
      <c r="C436" s="35">
        <v>37</v>
      </c>
      <c r="D436" s="35" t="s">
        <v>171</v>
      </c>
      <c r="E436" s="35">
        <v>82</v>
      </c>
      <c r="F436" s="35">
        <v>117</v>
      </c>
      <c r="G436" s="140">
        <f t="shared" ref="G436:G461" si="124">F436*0.666*24/72</f>
        <v>25.974000000000004</v>
      </c>
      <c r="H436" s="71">
        <v>25</v>
      </c>
      <c r="I436" s="35">
        <v>0</v>
      </c>
      <c r="J436" s="70">
        <v>0</v>
      </c>
      <c r="K436" s="70">
        <v>0</v>
      </c>
      <c r="L436" s="71">
        <v>24</v>
      </c>
      <c r="M436" s="35">
        <v>0</v>
      </c>
      <c r="N436" s="35"/>
      <c r="O436" s="35">
        <f t="shared" ref="O436:O461" si="125">ROUND((+G436*N436)/100,0)</f>
        <v>0</v>
      </c>
      <c r="P436" s="35">
        <f t="shared" ref="P436:P461" si="126">IF(M436&gt;O436,+M436-O436,0)</f>
        <v>0</v>
      </c>
      <c r="Q436" s="71">
        <v>20</v>
      </c>
      <c r="R436" s="85">
        <f t="shared" ref="R436:R462" si="127">+Q436</f>
        <v>20</v>
      </c>
    </row>
    <row r="437" spans="1:18" ht="12.75" customHeight="1" x14ac:dyDescent="0.2">
      <c r="A437" s="34"/>
      <c r="B437" s="1">
        <v>29103</v>
      </c>
      <c r="C437" s="35">
        <v>73</v>
      </c>
      <c r="D437" s="35" t="s">
        <v>415</v>
      </c>
      <c r="E437" s="35">
        <v>74</v>
      </c>
      <c r="F437" s="35">
        <v>98</v>
      </c>
      <c r="G437" s="140">
        <f t="shared" si="124"/>
        <v>21.756</v>
      </c>
      <c r="H437" s="71">
        <v>20</v>
      </c>
      <c r="I437" s="35">
        <v>0</v>
      </c>
      <c r="J437" s="70">
        <v>0</v>
      </c>
      <c r="K437" s="70">
        <v>0</v>
      </c>
      <c r="L437" s="71">
        <v>15</v>
      </c>
      <c r="M437" s="35">
        <v>0</v>
      </c>
      <c r="N437" s="35"/>
      <c r="O437" s="35">
        <f>ROUND((+G437*N437)/100,0)</f>
        <v>0</v>
      </c>
      <c r="P437" s="35">
        <f>IF(M437&gt;O437,+M437-O437,0)</f>
        <v>0</v>
      </c>
      <c r="Q437" s="71">
        <v>12</v>
      </c>
      <c r="R437" s="85">
        <f>+Q437</f>
        <v>12</v>
      </c>
    </row>
    <row r="438" spans="1:18" ht="12.75" customHeight="1" x14ac:dyDescent="0.2">
      <c r="A438" s="34"/>
      <c r="B438" s="1">
        <v>29104</v>
      </c>
      <c r="C438" s="35">
        <v>103</v>
      </c>
      <c r="D438" s="35" t="s">
        <v>424</v>
      </c>
      <c r="E438" s="35">
        <v>90</v>
      </c>
      <c r="F438" s="35">
        <v>129</v>
      </c>
      <c r="G438" s="140">
        <f t="shared" si="124"/>
        <v>28.638000000000002</v>
      </c>
      <c r="H438" s="71">
        <v>25</v>
      </c>
      <c r="I438" s="35">
        <v>0</v>
      </c>
      <c r="J438" s="70">
        <v>0</v>
      </c>
      <c r="K438" s="70">
        <v>0</v>
      </c>
      <c r="L438" s="71">
        <v>20</v>
      </c>
      <c r="M438" s="35">
        <v>0</v>
      </c>
      <c r="N438" s="35"/>
      <c r="O438" s="35">
        <f>ROUND((+G438*N438)/100,0)</f>
        <v>0</v>
      </c>
      <c r="P438" s="35">
        <f>IF(M438&gt;O438,+M438-O438,0)</f>
        <v>0</v>
      </c>
      <c r="Q438" s="71">
        <v>17</v>
      </c>
      <c r="R438" s="85">
        <f>+Q438</f>
        <v>17</v>
      </c>
    </row>
    <row r="439" spans="1:18" ht="12.75" customHeight="1" x14ac:dyDescent="0.2">
      <c r="A439" s="34"/>
      <c r="B439" s="1">
        <v>58103</v>
      </c>
      <c r="C439" s="35">
        <v>8</v>
      </c>
      <c r="D439" s="35" t="s">
        <v>172</v>
      </c>
      <c r="E439" s="35">
        <v>172</v>
      </c>
      <c r="F439" s="35">
        <v>264</v>
      </c>
      <c r="G439" s="140">
        <f t="shared" si="124"/>
        <v>58.607999999999997</v>
      </c>
      <c r="H439" s="71">
        <v>46</v>
      </c>
      <c r="I439" s="35">
        <v>0</v>
      </c>
      <c r="J439" s="70">
        <v>0</v>
      </c>
      <c r="K439" s="70">
        <v>0</v>
      </c>
      <c r="L439" s="71">
        <v>0</v>
      </c>
      <c r="M439" s="35">
        <v>0</v>
      </c>
      <c r="N439" s="35"/>
      <c r="O439" s="35">
        <f t="shared" si="125"/>
        <v>0</v>
      </c>
      <c r="P439" s="35">
        <f t="shared" si="126"/>
        <v>0</v>
      </c>
      <c r="Q439" s="71">
        <v>0</v>
      </c>
      <c r="R439" s="85">
        <f t="shared" si="127"/>
        <v>0</v>
      </c>
    </row>
    <row r="440" spans="1:18" ht="12.75" customHeight="1" x14ac:dyDescent="0.2">
      <c r="A440" s="34"/>
      <c r="B440" s="1">
        <v>58108</v>
      </c>
      <c r="C440" s="35">
        <v>16</v>
      </c>
      <c r="D440" s="35" t="s">
        <v>173</v>
      </c>
      <c r="E440" s="35">
        <v>29</v>
      </c>
      <c r="F440" s="35">
        <v>38</v>
      </c>
      <c r="G440" s="140">
        <f t="shared" si="124"/>
        <v>8.4359999999999999</v>
      </c>
      <c r="H440" s="71">
        <v>7</v>
      </c>
      <c r="I440" s="35">
        <v>0</v>
      </c>
      <c r="J440" s="70">
        <v>0</v>
      </c>
      <c r="K440" s="70">
        <v>0</v>
      </c>
      <c r="L440" s="71">
        <v>7</v>
      </c>
      <c r="M440" s="35">
        <v>0</v>
      </c>
      <c r="N440" s="35"/>
      <c r="O440" s="35">
        <f t="shared" si="125"/>
        <v>0</v>
      </c>
      <c r="P440" s="35">
        <f t="shared" si="126"/>
        <v>0</v>
      </c>
      <c r="Q440" s="71">
        <v>0</v>
      </c>
      <c r="R440" s="85">
        <f t="shared" si="127"/>
        <v>0</v>
      </c>
    </row>
    <row r="441" spans="1:18" ht="12.75" customHeight="1" x14ac:dyDescent="0.2">
      <c r="A441" s="34"/>
      <c r="B441" s="1">
        <v>58109</v>
      </c>
      <c r="C441" s="35">
        <v>49</v>
      </c>
      <c r="D441" s="35" t="s">
        <v>174</v>
      </c>
      <c r="E441" s="35">
        <v>46</v>
      </c>
      <c r="F441" s="35">
        <v>60</v>
      </c>
      <c r="G441" s="140">
        <f t="shared" si="124"/>
        <v>13.32</v>
      </c>
      <c r="H441" s="71">
        <v>10</v>
      </c>
      <c r="I441" s="35">
        <v>0</v>
      </c>
      <c r="J441" s="70">
        <v>0</v>
      </c>
      <c r="K441" s="70">
        <v>0</v>
      </c>
      <c r="L441" s="71">
        <v>10</v>
      </c>
      <c r="M441" s="35">
        <v>0</v>
      </c>
      <c r="N441" s="35"/>
      <c r="O441" s="35">
        <f t="shared" si="125"/>
        <v>0</v>
      </c>
      <c r="P441" s="35">
        <f t="shared" si="126"/>
        <v>0</v>
      </c>
      <c r="Q441" s="71">
        <v>0</v>
      </c>
      <c r="R441" s="85">
        <f t="shared" si="127"/>
        <v>0</v>
      </c>
    </row>
    <row r="442" spans="1:18" ht="12.75" customHeight="1" x14ac:dyDescent="0.2">
      <c r="A442" s="34"/>
      <c r="B442" s="1">
        <v>58110</v>
      </c>
      <c r="C442" s="35">
        <v>9</v>
      </c>
      <c r="D442" s="35" t="s">
        <v>445</v>
      </c>
      <c r="E442" s="35">
        <v>59</v>
      </c>
      <c r="F442" s="35">
        <v>95</v>
      </c>
      <c r="G442" s="140">
        <f t="shared" si="124"/>
        <v>21.09</v>
      </c>
      <c r="H442" s="71">
        <v>17</v>
      </c>
      <c r="I442" s="35">
        <v>0</v>
      </c>
      <c r="J442" s="70">
        <v>0</v>
      </c>
      <c r="K442" s="70">
        <v>0</v>
      </c>
      <c r="L442" s="71">
        <v>16</v>
      </c>
      <c r="M442" s="35">
        <v>0</v>
      </c>
      <c r="N442" s="35"/>
      <c r="O442" s="35">
        <f>ROUND((+G442*N442)/100,0)</f>
        <v>0</v>
      </c>
      <c r="P442" s="35">
        <f>IF(M442&gt;O442,+M442-O442,0)</f>
        <v>0</v>
      </c>
      <c r="Q442" s="71">
        <v>0</v>
      </c>
      <c r="R442" s="85">
        <f>+Q442</f>
        <v>0</v>
      </c>
    </row>
    <row r="443" spans="1:18" ht="12.75" customHeight="1" x14ac:dyDescent="0.2">
      <c r="A443" s="34"/>
      <c r="B443" s="1">
        <v>58111</v>
      </c>
      <c r="C443" s="35">
        <v>17</v>
      </c>
      <c r="D443" s="35" t="s">
        <v>385</v>
      </c>
      <c r="E443" s="35">
        <v>89</v>
      </c>
      <c r="F443" s="35">
        <v>141</v>
      </c>
      <c r="G443" s="140">
        <f t="shared" si="124"/>
        <v>31.302000000000003</v>
      </c>
      <c r="H443" s="71">
        <v>22</v>
      </c>
      <c r="I443" s="35">
        <v>0</v>
      </c>
      <c r="J443" s="70">
        <v>0</v>
      </c>
      <c r="K443" s="70">
        <v>0</v>
      </c>
      <c r="L443" s="71">
        <v>22</v>
      </c>
      <c r="M443" s="35">
        <v>0</v>
      </c>
      <c r="N443" s="35"/>
      <c r="O443" s="35">
        <f>ROUND((+G443*N443)/100,0)</f>
        <v>0</v>
      </c>
      <c r="P443" s="35">
        <f>IF(M443&gt;O443,+M443-O443,0)</f>
        <v>0</v>
      </c>
      <c r="Q443" s="71">
        <v>20</v>
      </c>
      <c r="R443" s="85">
        <f>+Q443</f>
        <v>20</v>
      </c>
    </row>
    <row r="444" spans="1:18" ht="12.75" customHeight="1" x14ac:dyDescent="0.2">
      <c r="A444" s="34"/>
      <c r="B444" s="1">
        <v>58112</v>
      </c>
      <c r="C444" s="35">
        <v>105</v>
      </c>
      <c r="D444" s="35" t="s">
        <v>388</v>
      </c>
      <c r="E444" s="35">
        <v>29</v>
      </c>
      <c r="F444" s="35">
        <v>56</v>
      </c>
      <c r="G444" s="140">
        <f t="shared" si="124"/>
        <v>12.432</v>
      </c>
      <c r="H444" s="71">
        <v>9</v>
      </c>
      <c r="I444" s="35">
        <v>0</v>
      </c>
      <c r="J444" s="70">
        <v>0</v>
      </c>
      <c r="K444" s="70">
        <v>0</v>
      </c>
      <c r="L444" s="71">
        <v>9</v>
      </c>
      <c r="M444" s="35">
        <v>0</v>
      </c>
      <c r="N444" s="35"/>
      <c r="O444" s="35">
        <f>ROUND((+G444*N444)/100,0)</f>
        <v>0</v>
      </c>
      <c r="P444" s="35">
        <f>IF(M444&gt;O444,+M444-O444,0)</f>
        <v>0</v>
      </c>
      <c r="Q444" s="71">
        <v>0</v>
      </c>
      <c r="R444" s="85">
        <f>+Q444</f>
        <v>0</v>
      </c>
    </row>
    <row r="445" spans="1:18" ht="12.75" customHeight="1" x14ac:dyDescent="0.2">
      <c r="A445" s="34"/>
      <c r="B445" s="1">
        <v>58113</v>
      </c>
      <c r="C445" s="35">
        <v>74</v>
      </c>
      <c r="D445" s="35" t="s">
        <v>416</v>
      </c>
      <c r="E445" s="35">
        <v>65</v>
      </c>
      <c r="F445" s="35">
        <v>101</v>
      </c>
      <c r="G445" s="140">
        <f t="shared" si="124"/>
        <v>22.422000000000001</v>
      </c>
      <c r="H445" s="71">
        <v>12</v>
      </c>
      <c r="I445" s="35">
        <v>0</v>
      </c>
      <c r="J445" s="70">
        <v>0</v>
      </c>
      <c r="K445" s="70">
        <v>0</v>
      </c>
      <c r="L445" s="71">
        <v>11</v>
      </c>
      <c r="M445" s="35">
        <v>0</v>
      </c>
      <c r="N445" s="35"/>
      <c r="O445" s="35">
        <f>ROUND((+G445*N445)/100,0)</f>
        <v>0</v>
      </c>
      <c r="P445" s="35">
        <f>IF(M445&gt;O445,+M445-O445,0)</f>
        <v>0</v>
      </c>
      <c r="Q445" s="71">
        <v>0</v>
      </c>
      <c r="R445" s="85">
        <f>+Q445</f>
        <v>0</v>
      </c>
    </row>
    <row r="446" spans="1:18" ht="12.75" customHeight="1" x14ac:dyDescent="0.2">
      <c r="A446" s="34"/>
      <c r="B446" s="1">
        <v>120401</v>
      </c>
      <c r="C446" s="35">
        <v>4</v>
      </c>
      <c r="D446" s="35" t="s">
        <v>175</v>
      </c>
      <c r="E446" s="35">
        <v>64</v>
      </c>
      <c r="F446" s="35">
        <v>94</v>
      </c>
      <c r="G446" s="140">
        <f t="shared" si="124"/>
        <v>20.868000000000002</v>
      </c>
      <c r="H446" s="71">
        <v>19</v>
      </c>
      <c r="I446" s="35">
        <v>0</v>
      </c>
      <c r="J446" s="70">
        <v>0</v>
      </c>
      <c r="K446" s="70">
        <v>0</v>
      </c>
      <c r="L446" s="71">
        <v>17</v>
      </c>
      <c r="M446" s="35">
        <v>0</v>
      </c>
      <c r="N446" s="35"/>
      <c r="O446" s="35">
        <f t="shared" si="125"/>
        <v>0</v>
      </c>
      <c r="P446" s="35">
        <f t="shared" si="126"/>
        <v>0</v>
      </c>
      <c r="Q446" s="71">
        <v>20</v>
      </c>
      <c r="R446" s="85">
        <f t="shared" si="127"/>
        <v>20</v>
      </c>
    </row>
    <row r="447" spans="1:18" ht="12.75" customHeight="1" x14ac:dyDescent="0.2">
      <c r="A447" s="34"/>
      <c r="B447" s="1">
        <v>234104</v>
      </c>
      <c r="C447" s="35">
        <v>97</v>
      </c>
      <c r="D447" s="35" t="s">
        <v>176</v>
      </c>
      <c r="E447" s="35">
        <v>51</v>
      </c>
      <c r="F447" s="35">
        <v>65</v>
      </c>
      <c r="G447" s="140">
        <f t="shared" si="124"/>
        <v>14.43</v>
      </c>
      <c r="H447" s="71">
        <v>10</v>
      </c>
      <c r="I447" s="35">
        <v>0</v>
      </c>
      <c r="J447" s="70">
        <v>0</v>
      </c>
      <c r="K447" s="70">
        <v>0</v>
      </c>
      <c r="L447" s="71">
        <v>0</v>
      </c>
      <c r="M447" s="35">
        <v>0</v>
      </c>
      <c r="N447" s="35"/>
      <c r="O447" s="35">
        <f t="shared" si="125"/>
        <v>0</v>
      </c>
      <c r="P447" s="35">
        <f t="shared" si="126"/>
        <v>0</v>
      </c>
      <c r="Q447" s="71">
        <v>0</v>
      </c>
      <c r="R447" s="85">
        <f t="shared" si="127"/>
        <v>0</v>
      </c>
    </row>
    <row r="448" spans="1:18" ht="12.75" customHeight="1" x14ac:dyDescent="0.2">
      <c r="A448" s="34"/>
      <c r="B448" s="1">
        <v>234105</v>
      </c>
      <c r="C448" s="35">
        <v>34</v>
      </c>
      <c r="D448" s="35" t="s">
        <v>177</v>
      </c>
      <c r="E448" s="35">
        <v>64</v>
      </c>
      <c r="F448" s="35">
        <v>83</v>
      </c>
      <c r="G448" s="140">
        <f t="shared" si="124"/>
        <v>18.426000000000002</v>
      </c>
      <c r="H448" s="71">
        <v>17</v>
      </c>
      <c r="I448" s="35">
        <v>0</v>
      </c>
      <c r="J448" s="70">
        <v>0</v>
      </c>
      <c r="K448" s="70">
        <v>0</v>
      </c>
      <c r="L448" s="71">
        <v>14</v>
      </c>
      <c r="M448" s="35">
        <v>0</v>
      </c>
      <c r="N448" s="35"/>
      <c r="O448" s="35">
        <f t="shared" si="125"/>
        <v>0</v>
      </c>
      <c r="P448" s="35">
        <f t="shared" si="126"/>
        <v>0</v>
      </c>
      <c r="Q448" s="71">
        <v>12</v>
      </c>
      <c r="R448" s="85">
        <f t="shared" si="127"/>
        <v>12</v>
      </c>
    </row>
    <row r="449" spans="1:18" ht="12.75" customHeight="1" x14ac:dyDescent="0.2">
      <c r="A449" s="34"/>
      <c r="B449" s="1">
        <v>234106</v>
      </c>
      <c r="C449" s="35">
        <v>98</v>
      </c>
      <c r="D449" s="35" t="s">
        <v>178</v>
      </c>
      <c r="E449" s="35">
        <v>57</v>
      </c>
      <c r="F449" s="35">
        <v>77</v>
      </c>
      <c r="G449" s="140">
        <f t="shared" si="124"/>
        <v>17.094000000000001</v>
      </c>
      <c r="H449" s="71">
        <v>14</v>
      </c>
      <c r="I449" s="35">
        <v>0</v>
      </c>
      <c r="J449" s="70">
        <v>0</v>
      </c>
      <c r="K449" s="70">
        <v>0</v>
      </c>
      <c r="L449" s="71">
        <v>10</v>
      </c>
      <c r="M449" s="35">
        <v>0</v>
      </c>
      <c r="N449" s="35"/>
      <c r="O449" s="35">
        <f t="shared" si="125"/>
        <v>0</v>
      </c>
      <c r="P449" s="35">
        <f t="shared" si="126"/>
        <v>0</v>
      </c>
      <c r="Q449" s="71">
        <v>7</v>
      </c>
      <c r="R449" s="85">
        <f t="shared" si="127"/>
        <v>7</v>
      </c>
    </row>
    <row r="450" spans="1:18" ht="12.75" customHeight="1" x14ac:dyDescent="0.2">
      <c r="A450" s="34"/>
      <c r="B450" s="1">
        <v>234107</v>
      </c>
      <c r="C450" s="35">
        <v>22</v>
      </c>
      <c r="D450" s="35" t="s">
        <v>287</v>
      </c>
      <c r="E450" s="35">
        <v>74</v>
      </c>
      <c r="F450" s="35">
        <v>110</v>
      </c>
      <c r="G450" s="140">
        <f t="shared" si="124"/>
        <v>24.42</v>
      </c>
      <c r="H450" s="71">
        <v>18</v>
      </c>
      <c r="I450" s="35">
        <v>0</v>
      </c>
      <c r="J450" s="70">
        <v>0</v>
      </c>
      <c r="K450" s="70">
        <v>0</v>
      </c>
      <c r="L450" s="71">
        <v>17</v>
      </c>
      <c r="M450" s="35">
        <v>0</v>
      </c>
      <c r="N450" s="35"/>
      <c r="O450" s="35">
        <f t="shared" si="125"/>
        <v>0</v>
      </c>
      <c r="P450" s="35">
        <f t="shared" si="126"/>
        <v>0</v>
      </c>
      <c r="Q450" s="71">
        <v>0</v>
      </c>
      <c r="R450" s="85">
        <f t="shared" si="127"/>
        <v>0</v>
      </c>
    </row>
    <row r="451" spans="1:18" ht="12.75" customHeight="1" x14ac:dyDescent="0.2">
      <c r="A451" s="34"/>
      <c r="B451" s="1">
        <v>234108</v>
      </c>
      <c r="C451" s="35">
        <v>20</v>
      </c>
      <c r="D451" s="35" t="s">
        <v>179</v>
      </c>
      <c r="E451" s="35">
        <v>77</v>
      </c>
      <c r="F451" s="35">
        <v>96</v>
      </c>
      <c r="G451" s="140">
        <f t="shared" si="124"/>
        <v>21.312000000000001</v>
      </c>
      <c r="H451" s="71">
        <v>20</v>
      </c>
      <c r="I451" s="35">
        <v>0</v>
      </c>
      <c r="J451" s="70">
        <v>0</v>
      </c>
      <c r="K451" s="70">
        <v>0</v>
      </c>
      <c r="L451" s="71">
        <v>18</v>
      </c>
      <c r="M451" s="35">
        <v>0</v>
      </c>
      <c r="N451" s="35"/>
      <c r="O451" s="35">
        <f t="shared" si="125"/>
        <v>0</v>
      </c>
      <c r="P451" s="35">
        <f t="shared" si="126"/>
        <v>0</v>
      </c>
      <c r="Q451" s="71">
        <v>16</v>
      </c>
      <c r="R451" s="85">
        <f t="shared" si="127"/>
        <v>16</v>
      </c>
    </row>
    <row r="452" spans="1:18" ht="12.75" customHeight="1" x14ac:dyDescent="0.2">
      <c r="A452" s="34"/>
      <c r="B452" s="1">
        <v>234109</v>
      </c>
      <c r="C452" s="35">
        <v>84</v>
      </c>
      <c r="D452" s="35" t="s">
        <v>180</v>
      </c>
      <c r="E452" s="35">
        <v>36</v>
      </c>
      <c r="F452" s="35">
        <v>43</v>
      </c>
      <c r="G452" s="140">
        <f t="shared" si="124"/>
        <v>9.5459999999999994</v>
      </c>
      <c r="H452" s="71">
        <v>6</v>
      </c>
      <c r="I452" s="35">
        <v>0</v>
      </c>
      <c r="J452" s="70">
        <v>0</v>
      </c>
      <c r="K452" s="70">
        <v>0</v>
      </c>
      <c r="L452" s="71">
        <v>5</v>
      </c>
      <c r="M452" s="35">
        <v>0</v>
      </c>
      <c r="N452" s="35"/>
      <c r="O452" s="35">
        <f t="shared" si="125"/>
        <v>0</v>
      </c>
      <c r="P452" s="35">
        <f t="shared" si="126"/>
        <v>0</v>
      </c>
      <c r="Q452" s="71">
        <v>6</v>
      </c>
      <c r="R452" s="85">
        <f t="shared" si="127"/>
        <v>6</v>
      </c>
    </row>
    <row r="453" spans="1:18" ht="12.75" customHeight="1" x14ac:dyDescent="0.2">
      <c r="A453" s="34"/>
      <c r="B453" s="1">
        <v>234110</v>
      </c>
      <c r="C453" s="35">
        <v>71</v>
      </c>
      <c r="D453" s="35" t="s">
        <v>427</v>
      </c>
      <c r="E453" s="35">
        <v>31</v>
      </c>
      <c r="F453" s="35">
        <v>45</v>
      </c>
      <c r="G453" s="140">
        <f t="shared" si="124"/>
        <v>9.990000000000002</v>
      </c>
      <c r="H453" s="71">
        <v>5</v>
      </c>
      <c r="I453" s="35">
        <v>0</v>
      </c>
      <c r="J453" s="70">
        <v>0</v>
      </c>
      <c r="K453" s="70">
        <v>0</v>
      </c>
      <c r="L453" s="71">
        <v>5</v>
      </c>
      <c r="M453" s="35">
        <v>0</v>
      </c>
      <c r="N453" s="35"/>
      <c r="O453" s="35">
        <f>ROUND((+G453*N453)/100,0)</f>
        <v>0</v>
      </c>
      <c r="P453" s="35">
        <f>IF(M453&gt;O453,+M453-O453,0)</f>
        <v>0</v>
      </c>
      <c r="Q453" s="71">
        <v>6</v>
      </c>
      <c r="R453" s="85">
        <f>+Q453</f>
        <v>6</v>
      </c>
    </row>
    <row r="454" spans="1:18" ht="12.75" customHeight="1" x14ac:dyDescent="0.2">
      <c r="A454" s="34"/>
      <c r="B454" s="1">
        <v>244101</v>
      </c>
      <c r="C454" s="35">
        <v>104</v>
      </c>
      <c r="D454" s="35" t="s">
        <v>181</v>
      </c>
      <c r="E454" s="35">
        <v>132</v>
      </c>
      <c r="F454" s="35">
        <v>230</v>
      </c>
      <c r="G454" s="140">
        <f t="shared" si="124"/>
        <v>51.06</v>
      </c>
      <c r="H454" s="71">
        <v>45</v>
      </c>
      <c r="I454" s="35">
        <v>0</v>
      </c>
      <c r="J454" s="70">
        <v>0</v>
      </c>
      <c r="K454" s="70">
        <v>0</v>
      </c>
      <c r="L454" s="71">
        <v>46</v>
      </c>
      <c r="M454" s="35">
        <v>0</v>
      </c>
      <c r="N454" s="35"/>
      <c r="O454" s="35">
        <f t="shared" si="125"/>
        <v>0</v>
      </c>
      <c r="P454" s="35">
        <f t="shared" si="126"/>
        <v>0</v>
      </c>
      <c r="Q454" s="71">
        <v>46</v>
      </c>
      <c r="R454" s="85">
        <f t="shared" si="127"/>
        <v>46</v>
      </c>
    </row>
    <row r="455" spans="1:18" ht="12.75" customHeight="1" x14ac:dyDescent="0.2">
      <c r="A455" s="34"/>
      <c r="B455" s="1">
        <v>244102</v>
      </c>
      <c r="C455" s="35">
        <v>72</v>
      </c>
      <c r="D455" s="35" t="s">
        <v>417</v>
      </c>
      <c r="E455" s="35">
        <v>13</v>
      </c>
      <c r="F455" s="35">
        <v>27</v>
      </c>
      <c r="G455" s="140">
        <f t="shared" si="124"/>
        <v>5.9939999999999998</v>
      </c>
      <c r="H455" s="71">
        <v>4</v>
      </c>
      <c r="I455" s="35">
        <v>0</v>
      </c>
      <c r="J455" s="70">
        <v>0</v>
      </c>
      <c r="K455" s="70">
        <v>0</v>
      </c>
      <c r="L455" s="71">
        <v>2</v>
      </c>
      <c r="M455" s="35">
        <v>0</v>
      </c>
      <c r="N455" s="35"/>
      <c r="O455" s="35">
        <f>ROUND((+G455*N455)/100,0)</f>
        <v>0</v>
      </c>
      <c r="P455" s="35">
        <f>IF(M455&gt;O455,+M455-O455,0)</f>
        <v>0</v>
      </c>
      <c r="Q455" s="71">
        <v>4</v>
      </c>
      <c r="R455" s="85">
        <f>+Q455</f>
        <v>4</v>
      </c>
    </row>
    <row r="456" spans="1:18" s="34" customFormat="1" ht="12.75" customHeight="1" x14ac:dyDescent="0.2">
      <c r="B456" s="1">
        <v>322102</v>
      </c>
      <c r="C456" s="35">
        <v>64</v>
      </c>
      <c r="D456" s="35" t="s">
        <v>182</v>
      </c>
      <c r="E456" s="35">
        <v>45</v>
      </c>
      <c r="F456" s="35">
        <v>60</v>
      </c>
      <c r="G456" s="140">
        <f t="shared" si="124"/>
        <v>13.32</v>
      </c>
      <c r="H456" s="71">
        <v>15</v>
      </c>
      <c r="I456" s="35">
        <v>0</v>
      </c>
      <c r="J456" s="70">
        <v>0</v>
      </c>
      <c r="K456" s="70">
        <v>0</v>
      </c>
      <c r="L456" s="71">
        <v>13</v>
      </c>
      <c r="M456" s="35">
        <v>0</v>
      </c>
      <c r="N456" s="35"/>
      <c r="O456" s="35">
        <f t="shared" si="125"/>
        <v>0</v>
      </c>
      <c r="P456" s="35">
        <f t="shared" si="126"/>
        <v>0</v>
      </c>
      <c r="Q456" s="71">
        <v>10</v>
      </c>
      <c r="R456" s="85">
        <f t="shared" si="127"/>
        <v>10</v>
      </c>
    </row>
    <row r="457" spans="1:18" s="34" customFormat="1" ht="12.75" customHeight="1" x14ac:dyDescent="0.2">
      <c r="B457" s="1">
        <v>354102</v>
      </c>
      <c r="C457" s="35">
        <v>39</v>
      </c>
      <c r="D457" s="35" t="s">
        <v>183</v>
      </c>
      <c r="E457" s="35">
        <v>58</v>
      </c>
      <c r="F457" s="35">
        <v>71</v>
      </c>
      <c r="G457" s="140">
        <f t="shared" si="124"/>
        <v>15.762</v>
      </c>
      <c r="H457" s="71">
        <v>17</v>
      </c>
      <c r="I457" s="35">
        <v>0</v>
      </c>
      <c r="J457" s="70">
        <v>0</v>
      </c>
      <c r="K457" s="70">
        <v>0</v>
      </c>
      <c r="L457" s="71">
        <v>15</v>
      </c>
      <c r="M457" s="35">
        <v>0</v>
      </c>
      <c r="N457" s="35"/>
      <c r="O457" s="35">
        <f t="shared" si="125"/>
        <v>0</v>
      </c>
      <c r="P457" s="35">
        <f t="shared" si="126"/>
        <v>0</v>
      </c>
      <c r="Q457" s="71">
        <v>15</v>
      </c>
      <c r="R457" s="85">
        <f t="shared" si="127"/>
        <v>15</v>
      </c>
    </row>
    <row r="458" spans="1:18" s="34" customFormat="1" ht="12.75" customHeight="1" x14ac:dyDescent="0.2">
      <c r="B458" s="1">
        <v>374102</v>
      </c>
      <c r="C458" s="35">
        <v>78</v>
      </c>
      <c r="D458" s="35" t="s">
        <v>184</v>
      </c>
      <c r="E458" s="35">
        <v>69</v>
      </c>
      <c r="F458" s="35">
        <v>91</v>
      </c>
      <c r="G458" s="140">
        <f t="shared" si="124"/>
        <v>20.202000000000002</v>
      </c>
      <c r="H458" s="71">
        <v>18</v>
      </c>
      <c r="I458" s="35">
        <v>0</v>
      </c>
      <c r="J458" s="70">
        <v>0</v>
      </c>
      <c r="K458" s="70">
        <v>0</v>
      </c>
      <c r="L458" s="71">
        <v>15</v>
      </c>
      <c r="M458" s="35">
        <v>0</v>
      </c>
      <c r="N458" s="35"/>
      <c r="O458" s="35">
        <f t="shared" si="125"/>
        <v>0</v>
      </c>
      <c r="P458" s="35">
        <f t="shared" si="126"/>
        <v>0</v>
      </c>
      <c r="Q458" s="71">
        <v>15</v>
      </c>
      <c r="R458" s="85">
        <f t="shared" si="127"/>
        <v>15</v>
      </c>
    </row>
    <row r="459" spans="1:18" s="34" customFormat="1" ht="12.75" customHeight="1" x14ac:dyDescent="0.2">
      <c r="B459" s="1">
        <v>434103</v>
      </c>
      <c r="C459" s="35">
        <v>86</v>
      </c>
      <c r="D459" s="35" t="s">
        <v>185</v>
      </c>
      <c r="E459" s="35">
        <v>107</v>
      </c>
      <c r="F459" s="35">
        <v>160</v>
      </c>
      <c r="G459" s="140">
        <f t="shared" si="124"/>
        <v>35.520000000000003</v>
      </c>
      <c r="H459" s="71">
        <v>25</v>
      </c>
      <c r="I459" s="35">
        <v>0</v>
      </c>
      <c r="J459" s="70">
        <v>0</v>
      </c>
      <c r="K459" s="70">
        <v>0</v>
      </c>
      <c r="L459" s="71">
        <v>23</v>
      </c>
      <c r="M459" s="35">
        <v>0</v>
      </c>
      <c r="N459" s="35"/>
      <c r="O459" s="35">
        <f t="shared" si="125"/>
        <v>0</v>
      </c>
      <c r="P459" s="35">
        <f t="shared" si="126"/>
        <v>0</v>
      </c>
      <c r="Q459" s="71">
        <v>24</v>
      </c>
      <c r="R459" s="85">
        <f t="shared" si="127"/>
        <v>24</v>
      </c>
    </row>
    <row r="460" spans="1:18" s="34" customFormat="1" ht="12.75" customHeight="1" x14ac:dyDescent="0.2">
      <c r="B460" s="1">
        <v>434104</v>
      </c>
      <c r="C460" s="35">
        <v>91</v>
      </c>
      <c r="D460" s="35" t="s">
        <v>186</v>
      </c>
      <c r="E460" s="35">
        <v>91</v>
      </c>
      <c r="F460" s="35">
        <v>139</v>
      </c>
      <c r="G460" s="140">
        <f t="shared" si="124"/>
        <v>30.857999999999997</v>
      </c>
      <c r="H460" s="71">
        <v>24</v>
      </c>
      <c r="I460" s="35">
        <v>0</v>
      </c>
      <c r="J460" s="70">
        <v>0</v>
      </c>
      <c r="K460" s="70">
        <v>0</v>
      </c>
      <c r="L460" s="71">
        <v>21</v>
      </c>
      <c r="M460" s="35">
        <v>0</v>
      </c>
      <c r="N460" s="35"/>
      <c r="O460" s="35">
        <f t="shared" si="125"/>
        <v>0</v>
      </c>
      <c r="P460" s="35">
        <f t="shared" si="126"/>
        <v>0</v>
      </c>
      <c r="Q460" s="71">
        <v>22</v>
      </c>
      <c r="R460" s="85">
        <f t="shared" si="127"/>
        <v>22</v>
      </c>
    </row>
    <row r="461" spans="1:18" s="34" customFormat="1" ht="12.75" customHeight="1" x14ac:dyDescent="0.2">
      <c r="B461" s="1">
        <v>490103</v>
      </c>
      <c r="C461" s="35">
        <v>31</v>
      </c>
      <c r="D461" s="35" t="s">
        <v>187</v>
      </c>
      <c r="E461" s="35">
        <v>87</v>
      </c>
      <c r="F461" s="35">
        <v>114</v>
      </c>
      <c r="G461" s="140">
        <f t="shared" si="124"/>
        <v>25.308000000000003</v>
      </c>
      <c r="H461" s="71">
        <v>24</v>
      </c>
      <c r="I461" s="35">
        <v>0</v>
      </c>
      <c r="J461" s="70">
        <v>0</v>
      </c>
      <c r="K461" s="70">
        <v>0</v>
      </c>
      <c r="L461" s="71">
        <v>21</v>
      </c>
      <c r="M461" s="35">
        <v>0</v>
      </c>
      <c r="N461" s="35"/>
      <c r="O461" s="35">
        <f t="shared" si="125"/>
        <v>0</v>
      </c>
      <c r="P461" s="35">
        <f t="shared" si="126"/>
        <v>0</v>
      </c>
      <c r="Q461" s="71">
        <v>24</v>
      </c>
      <c r="R461" s="85">
        <f t="shared" si="127"/>
        <v>24</v>
      </c>
    </row>
    <row r="462" spans="1:18" s="34" customFormat="1" ht="12.75" customHeight="1" x14ac:dyDescent="0.2">
      <c r="B462" s="1"/>
      <c r="C462" s="35"/>
      <c r="D462" s="35"/>
      <c r="E462" s="140"/>
      <c r="F462" s="35"/>
      <c r="G462" s="106"/>
      <c r="H462" s="35"/>
      <c r="I462" s="35"/>
      <c r="J462" s="70"/>
      <c r="K462" s="70"/>
      <c r="L462" s="35"/>
      <c r="M462" s="35"/>
      <c r="N462" s="35"/>
      <c r="O462" s="35"/>
      <c r="P462" s="35"/>
      <c r="Q462" s="70"/>
      <c r="R462" s="279">
        <f t="shared" si="127"/>
        <v>0</v>
      </c>
    </row>
    <row r="463" spans="1:18" s="34" customFormat="1" ht="12.75" customHeight="1" x14ac:dyDescent="0.2">
      <c r="B463" s="172" t="s">
        <v>37</v>
      </c>
      <c r="C463" s="173"/>
      <c r="D463" s="173">
        <f>COUNTA(B436:B461)</f>
        <v>26</v>
      </c>
      <c r="E463" s="281">
        <f t="shared" ref="E463:P463" si="128">SUM(E436:E461)</f>
        <v>1791</v>
      </c>
      <c r="F463" s="281">
        <f t="shared" si="128"/>
        <v>2604</v>
      </c>
      <c r="G463" s="256">
        <f t="shared" si="128"/>
        <v>578.08799999999997</v>
      </c>
      <c r="H463" s="256">
        <f t="shared" si="128"/>
        <v>474</v>
      </c>
      <c r="I463" s="256">
        <f t="shared" si="128"/>
        <v>0</v>
      </c>
      <c r="J463" s="256">
        <f t="shared" si="128"/>
        <v>0</v>
      </c>
      <c r="K463" s="256">
        <f t="shared" si="128"/>
        <v>0</v>
      </c>
      <c r="L463" s="256">
        <f t="shared" si="128"/>
        <v>376</v>
      </c>
      <c r="M463" s="256">
        <f t="shared" si="128"/>
        <v>0</v>
      </c>
      <c r="N463" s="256">
        <f t="shared" si="128"/>
        <v>0</v>
      </c>
      <c r="O463" s="256">
        <f t="shared" si="128"/>
        <v>0</v>
      </c>
      <c r="P463" s="256">
        <f t="shared" si="128"/>
        <v>0</v>
      </c>
      <c r="Q463" s="256">
        <f>SUM(Q436:Q462)</f>
        <v>296</v>
      </c>
      <c r="R463" s="256">
        <f>SUM(R436:R462)</f>
        <v>296</v>
      </c>
    </row>
    <row r="464" spans="1:18" ht="12.75" customHeight="1" x14ac:dyDescent="0.2">
      <c r="A464" s="34"/>
      <c r="B464" s="50" t="s">
        <v>478</v>
      </c>
      <c r="C464" s="51"/>
      <c r="D464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3"/>
    </row>
    <row r="465" spans="1:18" ht="12.75" customHeight="1" x14ac:dyDescent="0.2">
      <c r="A465" s="34"/>
      <c r="B465" s="229" t="s">
        <v>479</v>
      </c>
      <c r="C465" s="127"/>
      <c r="D465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97"/>
      <c r="R465" s="106"/>
    </row>
    <row r="466" spans="1:18" ht="12.75" customHeight="1" x14ac:dyDescent="0.2">
      <c r="A466" s="34"/>
      <c r="B466" s="229"/>
      <c r="C466" s="127"/>
      <c r="D466"/>
      <c r="E466" s="127"/>
      <c r="F466" s="127"/>
      <c r="G466" s="127"/>
      <c r="H466" s="127"/>
      <c r="I466" s="127"/>
      <c r="J466" s="127"/>
      <c r="K466" s="127"/>
      <c r="L466" s="127"/>
      <c r="M466" s="127"/>
      <c r="N466" s="144"/>
      <c r="O466" s="144"/>
      <c r="P466" s="144"/>
      <c r="Q466" s="145"/>
      <c r="R466" s="106"/>
    </row>
    <row r="467" spans="1:18" ht="12.75" customHeight="1" x14ac:dyDescent="0.2">
      <c r="A467" s="34"/>
      <c r="B467" s="229"/>
      <c r="C467" s="127"/>
      <c r="D467"/>
      <c r="E467" s="127"/>
      <c r="F467" s="127"/>
      <c r="G467" s="127"/>
      <c r="H467" s="127"/>
      <c r="I467" s="127"/>
      <c r="J467" s="127"/>
      <c r="K467" s="127"/>
      <c r="L467" s="127"/>
      <c r="M467" s="97"/>
      <c r="N467" s="127"/>
      <c r="O467" s="127"/>
      <c r="P467" s="127"/>
      <c r="Q467" s="127"/>
      <c r="R467" s="106"/>
    </row>
    <row r="468" spans="1:18" ht="12.75" customHeight="1" x14ac:dyDescent="0.2">
      <c r="A468" s="34"/>
      <c r="B468" s="229"/>
      <c r="C468" s="127"/>
      <c r="D468"/>
      <c r="E468" s="127"/>
      <c r="F468" s="127"/>
      <c r="G468" s="127"/>
      <c r="H468" s="127"/>
      <c r="I468" s="127"/>
      <c r="J468" s="127"/>
      <c r="K468" s="127"/>
      <c r="L468" s="127"/>
      <c r="M468" s="97"/>
      <c r="N468" s="127"/>
      <c r="O468" s="127"/>
      <c r="P468" s="127"/>
      <c r="Q468" s="127"/>
      <c r="R468" s="106"/>
    </row>
    <row r="469" spans="1:18" ht="12.75" customHeight="1" x14ac:dyDescent="0.2">
      <c r="A469" s="34"/>
      <c r="B469" s="11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5"/>
      <c r="N469" s="104"/>
      <c r="O469" s="104"/>
      <c r="P469" s="104"/>
      <c r="Q469" s="247" t="s">
        <v>39</v>
      </c>
      <c r="R469" s="96">
        <f>R463+R464</f>
        <v>296</v>
      </c>
    </row>
    <row r="470" spans="1:18" ht="12.75" customHeight="1" x14ac:dyDescent="0.2">
      <c r="B470" s="58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104"/>
      <c r="R470" s="59"/>
    </row>
    <row r="471" spans="1:18" ht="12.75" customHeight="1" x14ac:dyDescent="0.2">
      <c r="B471" s="80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104"/>
      <c r="R471" s="59"/>
    </row>
    <row r="472" spans="1:18" ht="12.75" customHeight="1" x14ac:dyDescent="0.2">
      <c r="B472" s="63" t="s">
        <v>33</v>
      </c>
      <c r="C472" s="32"/>
      <c r="D472" s="32"/>
      <c r="E472" s="32"/>
      <c r="F472" s="32"/>
      <c r="G472" s="62"/>
      <c r="H472" s="138"/>
      <c r="I472" s="32"/>
      <c r="J472" s="66"/>
      <c r="K472" s="66"/>
      <c r="L472" s="138"/>
      <c r="M472" s="32"/>
      <c r="N472" s="32"/>
      <c r="O472" s="32"/>
      <c r="P472" s="32"/>
      <c r="Q472" s="35"/>
      <c r="R472" s="166"/>
    </row>
    <row r="473" spans="1:18" ht="12.75" customHeight="1" x14ac:dyDescent="0.2">
      <c r="B473" s="63"/>
      <c r="C473" s="64" t="s">
        <v>188</v>
      </c>
      <c r="D473" s="65"/>
      <c r="E473" s="32"/>
      <c r="F473" s="32"/>
      <c r="G473" s="32"/>
      <c r="H473" s="32"/>
      <c r="I473" s="32"/>
      <c r="J473" s="66"/>
      <c r="K473" s="66"/>
      <c r="L473" s="32"/>
      <c r="M473" s="32"/>
      <c r="N473" s="32"/>
      <c r="O473" s="32"/>
      <c r="P473" s="32"/>
      <c r="Q473" s="35"/>
      <c r="R473" s="32"/>
    </row>
    <row r="474" spans="1:18" ht="12.75" customHeight="1" x14ac:dyDescent="0.2">
      <c r="A474" s="34"/>
      <c r="B474" s="149"/>
      <c r="C474" s="77"/>
      <c r="D474" s="77"/>
      <c r="E474" s="77"/>
      <c r="F474" s="77"/>
      <c r="G474" s="77"/>
      <c r="H474" s="77"/>
      <c r="I474" s="77"/>
      <c r="J474" s="275"/>
      <c r="K474" s="275"/>
      <c r="L474" s="77"/>
      <c r="M474" s="77"/>
      <c r="N474" s="77"/>
      <c r="O474" s="77"/>
      <c r="P474" s="77"/>
      <c r="Q474" s="77"/>
      <c r="R474" s="276"/>
    </row>
    <row r="475" spans="1:18" ht="12.75" customHeight="1" x14ac:dyDescent="0.2">
      <c r="A475" s="34"/>
      <c r="B475" s="1">
        <v>3101</v>
      </c>
      <c r="C475" s="35">
        <v>20</v>
      </c>
      <c r="D475" s="35" t="s">
        <v>289</v>
      </c>
      <c r="E475" s="35">
        <v>25</v>
      </c>
      <c r="F475" s="35">
        <v>33</v>
      </c>
      <c r="G475" s="140">
        <f t="shared" ref="G475:G495" si="129">F475*0.666*24/72</f>
        <v>7.3259999999999996</v>
      </c>
      <c r="H475" s="265">
        <v>2</v>
      </c>
      <c r="I475" s="35">
        <v>0</v>
      </c>
      <c r="J475" s="70">
        <v>0</v>
      </c>
      <c r="K475" s="70">
        <v>0</v>
      </c>
      <c r="L475" s="265">
        <v>3</v>
      </c>
      <c r="M475" s="35">
        <v>0</v>
      </c>
      <c r="N475" s="35"/>
      <c r="O475" s="35">
        <f t="shared" ref="O475:O488" si="130">ROUND((+G475*N475)/100,0)</f>
        <v>0</v>
      </c>
      <c r="P475" s="35">
        <f>IF(M475&gt;O475,+M475-O475,0)</f>
        <v>0</v>
      </c>
      <c r="Q475" s="265">
        <v>3</v>
      </c>
      <c r="R475" s="85">
        <f t="shared" ref="R475:R495" si="131">+Q475</f>
        <v>3</v>
      </c>
    </row>
    <row r="476" spans="1:18" ht="12.75" customHeight="1" x14ac:dyDescent="0.2">
      <c r="A476" s="34"/>
      <c r="B476" s="1">
        <v>60101</v>
      </c>
      <c r="C476" s="35">
        <v>42</v>
      </c>
      <c r="D476" s="35" t="s">
        <v>296</v>
      </c>
      <c r="E476" s="35">
        <v>37</v>
      </c>
      <c r="F476" s="35">
        <v>52</v>
      </c>
      <c r="G476" s="140">
        <f t="shared" si="129"/>
        <v>11.544000000000002</v>
      </c>
      <c r="H476" s="265">
        <v>7</v>
      </c>
      <c r="I476" s="35">
        <v>0</v>
      </c>
      <c r="J476" s="70">
        <v>0</v>
      </c>
      <c r="K476" s="70">
        <v>0</v>
      </c>
      <c r="L476" s="265">
        <v>0</v>
      </c>
      <c r="M476" s="35">
        <v>0</v>
      </c>
      <c r="N476" s="35"/>
      <c r="O476" s="35">
        <f t="shared" si="130"/>
        <v>0</v>
      </c>
      <c r="P476" s="35">
        <f>IF(M476&gt;O476,+M476-O476,0)</f>
        <v>0</v>
      </c>
      <c r="Q476" s="265">
        <v>0</v>
      </c>
      <c r="R476" s="85">
        <f t="shared" si="131"/>
        <v>0</v>
      </c>
    </row>
    <row r="477" spans="1:18" ht="12.75" customHeight="1" x14ac:dyDescent="0.2">
      <c r="A477" s="34"/>
      <c r="B477" s="1">
        <v>60102</v>
      </c>
      <c r="C477" s="35">
        <v>62</v>
      </c>
      <c r="D477" s="35" t="s">
        <v>455</v>
      </c>
      <c r="E477" s="35">
        <v>75</v>
      </c>
      <c r="F477" s="35">
        <v>100</v>
      </c>
      <c r="G477" s="140">
        <f t="shared" ref="G477" si="132">F477*0.666*24/72</f>
        <v>22.200000000000003</v>
      </c>
      <c r="H477" s="265">
        <v>22</v>
      </c>
      <c r="I477" s="35">
        <v>0</v>
      </c>
      <c r="J477" s="70">
        <v>0</v>
      </c>
      <c r="K477" s="70">
        <v>0</v>
      </c>
      <c r="L477" s="265">
        <v>21</v>
      </c>
      <c r="M477" s="35">
        <v>0</v>
      </c>
      <c r="N477" s="35"/>
      <c r="O477" s="35">
        <f t="shared" ref="O477" si="133">ROUND((+G477*N477)/100,0)</f>
        <v>0</v>
      </c>
      <c r="P477" s="35">
        <f>IF(M477&gt;O477,+M477-O477,0)</f>
        <v>0</v>
      </c>
      <c r="Q477" s="265">
        <v>19</v>
      </c>
      <c r="R477" s="85">
        <f t="shared" ref="R477" si="134">+Q477</f>
        <v>19</v>
      </c>
    </row>
    <row r="478" spans="1:18" ht="12.75" customHeight="1" x14ac:dyDescent="0.2">
      <c r="A478" s="34"/>
      <c r="B478" s="1">
        <v>120278</v>
      </c>
      <c r="C478" s="35">
        <v>111</v>
      </c>
      <c r="D478" s="35" t="s">
        <v>288</v>
      </c>
      <c r="E478" s="35">
        <v>180</v>
      </c>
      <c r="F478" s="35">
        <v>295</v>
      </c>
      <c r="G478" s="140">
        <f t="shared" si="129"/>
        <v>65.489999999999995</v>
      </c>
      <c r="H478" s="265">
        <v>35</v>
      </c>
      <c r="I478" s="35">
        <v>0</v>
      </c>
      <c r="J478" s="70">
        <v>0</v>
      </c>
      <c r="K478" s="70">
        <v>0</v>
      </c>
      <c r="L478" s="265">
        <v>38</v>
      </c>
      <c r="M478" s="35">
        <v>0</v>
      </c>
      <c r="N478" s="35"/>
      <c r="O478" s="35">
        <f t="shared" si="130"/>
        <v>0</v>
      </c>
      <c r="P478" s="35">
        <f>IF(M478&gt;O478,+M478-O478,0)</f>
        <v>0</v>
      </c>
      <c r="Q478" s="265">
        <v>0</v>
      </c>
      <c r="R478" s="85">
        <f t="shared" si="131"/>
        <v>0</v>
      </c>
    </row>
    <row r="479" spans="1:18" ht="12.75" customHeight="1" x14ac:dyDescent="0.2">
      <c r="A479" s="34"/>
      <c r="B479" s="1">
        <v>189103</v>
      </c>
      <c r="C479" s="35">
        <v>7</v>
      </c>
      <c r="D479" s="35" t="s">
        <v>323</v>
      </c>
      <c r="E479" s="35">
        <v>53</v>
      </c>
      <c r="F479" s="35">
        <v>72</v>
      </c>
      <c r="G479" s="140">
        <f t="shared" si="129"/>
        <v>15.984000000000002</v>
      </c>
      <c r="H479" s="265">
        <v>12</v>
      </c>
      <c r="I479" s="35">
        <v>0</v>
      </c>
      <c r="J479" s="70">
        <v>0</v>
      </c>
      <c r="K479" s="70">
        <v>0</v>
      </c>
      <c r="L479" s="265">
        <v>12</v>
      </c>
      <c r="M479" s="35">
        <v>0</v>
      </c>
      <c r="N479" s="35"/>
      <c r="O479" s="35">
        <f t="shared" si="130"/>
        <v>0</v>
      </c>
      <c r="P479" s="35">
        <v>0</v>
      </c>
      <c r="Q479" s="265">
        <v>12</v>
      </c>
      <c r="R479" s="85">
        <f t="shared" si="131"/>
        <v>12</v>
      </c>
    </row>
    <row r="480" spans="1:18" ht="12.75" customHeight="1" x14ac:dyDescent="0.2">
      <c r="A480" s="34"/>
      <c r="B480" s="1">
        <v>200101</v>
      </c>
      <c r="C480" s="35">
        <v>19</v>
      </c>
      <c r="D480" s="35" t="s">
        <v>324</v>
      </c>
      <c r="E480" s="35">
        <v>91</v>
      </c>
      <c r="F480" s="35">
        <v>128</v>
      </c>
      <c r="G480" s="140">
        <f t="shared" si="129"/>
        <v>28.416000000000004</v>
      </c>
      <c r="H480" s="265">
        <v>19</v>
      </c>
      <c r="I480" s="35">
        <v>0</v>
      </c>
      <c r="J480" s="70">
        <v>0</v>
      </c>
      <c r="K480" s="70">
        <v>0</v>
      </c>
      <c r="L480" s="265">
        <v>20</v>
      </c>
      <c r="M480" s="35">
        <v>0</v>
      </c>
      <c r="N480" s="35"/>
      <c r="O480" s="35">
        <f t="shared" si="130"/>
        <v>0</v>
      </c>
      <c r="P480" s="35">
        <f t="shared" ref="P480:P488" si="135">IF(M480&gt;O480,+M480-O480,0)</f>
        <v>0</v>
      </c>
      <c r="Q480" s="265">
        <v>0</v>
      </c>
      <c r="R480" s="85">
        <f t="shared" si="131"/>
        <v>0</v>
      </c>
    </row>
    <row r="481" spans="1:18" ht="12.75" customHeight="1" x14ac:dyDescent="0.2">
      <c r="A481" s="34"/>
      <c r="B481" s="292">
        <v>200102</v>
      </c>
      <c r="C481" s="293">
        <v>61</v>
      </c>
      <c r="D481" s="293" t="s">
        <v>497</v>
      </c>
      <c r="E481" s="35">
        <v>60</v>
      </c>
      <c r="F481" s="35">
        <v>78</v>
      </c>
      <c r="G481" s="140">
        <f t="shared" ref="G481" si="136">F481*0.666*24/72</f>
        <v>17.315999999999999</v>
      </c>
      <c r="H481" s="265">
        <v>0</v>
      </c>
      <c r="I481" s="35">
        <v>0</v>
      </c>
      <c r="J481" s="70">
        <v>0</v>
      </c>
      <c r="K481" s="70">
        <v>0</v>
      </c>
      <c r="L481" s="265">
        <v>0</v>
      </c>
      <c r="M481" s="35">
        <v>0</v>
      </c>
      <c r="N481" s="35"/>
      <c r="O481" s="35">
        <f t="shared" ref="O481" si="137">ROUND((+G481*N481)/100,0)</f>
        <v>0</v>
      </c>
      <c r="P481" s="35">
        <f t="shared" ref="P481" si="138">IF(M481&gt;O481,+M481-O481,0)</f>
        <v>0</v>
      </c>
      <c r="Q481" s="265">
        <v>20</v>
      </c>
      <c r="R481" s="85">
        <f t="shared" ref="R481" si="139">+Q481</f>
        <v>20</v>
      </c>
    </row>
    <row r="482" spans="1:18" ht="12.75" customHeight="1" x14ac:dyDescent="0.2">
      <c r="A482" s="34"/>
      <c r="B482" s="1">
        <v>231102</v>
      </c>
      <c r="C482" s="35">
        <v>73</v>
      </c>
      <c r="D482" s="35" t="s">
        <v>327</v>
      </c>
      <c r="E482" s="35">
        <v>115</v>
      </c>
      <c r="F482" s="35">
        <v>142</v>
      </c>
      <c r="G482" s="140">
        <f t="shared" si="129"/>
        <v>31.524000000000001</v>
      </c>
      <c r="H482" s="265">
        <v>21</v>
      </c>
      <c r="I482" s="35">
        <v>0</v>
      </c>
      <c r="J482" s="70">
        <v>0</v>
      </c>
      <c r="K482" s="70">
        <v>0</v>
      </c>
      <c r="L482" s="265">
        <v>21</v>
      </c>
      <c r="M482" s="35">
        <v>0</v>
      </c>
      <c r="N482" s="35"/>
      <c r="O482" s="35">
        <f t="shared" si="130"/>
        <v>0</v>
      </c>
      <c r="P482" s="35">
        <f t="shared" si="135"/>
        <v>0</v>
      </c>
      <c r="Q482" s="265">
        <v>0</v>
      </c>
      <c r="R482" s="85">
        <f t="shared" si="131"/>
        <v>0</v>
      </c>
    </row>
    <row r="483" spans="1:18" ht="12.75" customHeight="1" x14ac:dyDescent="0.2">
      <c r="A483" s="34"/>
      <c r="B483" s="1">
        <v>275102</v>
      </c>
      <c r="C483" s="35">
        <v>46</v>
      </c>
      <c r="D483" s="35" t="s">
        <v>334</v>
      </c>
      <c r="E483" s="35">
        <v>101</v>
      </c>
      <c r="F483" s="35">
        <v>136</v>
      </c>
      <c r="G483" s="140">
        <f t="shared" si="129"/>
        <v>30.192</v>
      </c>
      <c r="H483" s="265">
        <v>20</v>
      </c>
      <c r="I483" s="35">
        <v>0</v>
      </c>
      <c r="J483" s="70">
        <v>0</v>
      </c>
      <c r="K483" s="70">
        <v>0</v>
      </c>
      <c r="L483" s="265">
        <v>0</v>
      </c>
      <c r="M483" s="35">
        <v>0</v>
      </c>
      <c r="N483" s="35"/>
      <c r="O483" s="35">
        <f t="shared" si="130"/>
        <v>0</v>
      </c>
      <c r="P483" s="35">
        <f t="shared" si="135"/>
        <v>0</v>
      </c>
      <c r="Q483" s="265">
        <v>0</v>
      </c>
      <c r="R483" s="85">
        <f t="shared" si="131"/>
        <v>0</v>
      </c>
    </row>
    <row r="484" spans="1:18" ht="12.75" customHeight="1" x14ac:dyDescent="0.2">
      <c r="A484" s="34"/>
      <c r="B484" s="1">
        <v>323103</v>
      </c>
      <c r="C484" s="35">
        <v>24</v>
      </c>
      <c r="D484" s="35" t="s">
        <v>338</v>
      </c>
      <c r="E484" s="35">
        <v>109</v>
      </c>
      <c r="F484" s="35">
        <v>140</v>
      </c>
      <c r="G484" s="140">
        <f t="shared" si="129"/>
        <v>31.080000000000002</v>
      </c>
      <c r="H484" s="265">
        <v>20</v>
      </c>
      <c r="I484" s="35">
        <v>0</v>
      </c>
      <c r="J484" s="70">
        <v>0</v>
      </c>
      <c r="K484" s="70">
        <v>0</v>
      </c>
      <c r="L484" s="265">
        <v>0</v>
      </c>
      <c r="M484" s="35">
        <v>0</v>
      </c>
      <c r="N484" s="35"/>
      <c r="O484" s="35">
        <f>ROUND((+G484*N484)/100,0)</f>
        <v>0</v>
      </c>
      <c r="P484" s="35">
        <f>IF(M484&gt;O484,+M484-O484,0)</f>
        <v>0</v>
      </c>
      <c r="Q484" s="265">
        <v>0</v>
      </c>
      <c r="R484" s="85">
        <f t="shared" si="131"/>
        <v>0</v>
      </c>
    </row>
    <row r="485" spans="1:18" s="34" customFormat="1" ht="12.75" customHeight="1" x14ac:dyDescent="0.2">
      <c r="B485" s="1">
        <v>337101</v>
      </c>
      <c r="C485" s="35">
        <v>16</v>
      </c>
      <c r="D485" s="35" t="s">
        <v>384</v>
      </c>
      <c r="E485" s="35">
        <v>45</v>
      </c>
      <c r="F485" s="35">
        <v>54</v>
      </c>
      <c r="G485" s="140">
        <f t="shared" si="129"/>
        <v>11.988</v>
      </c>
      <c r="H485" s="265">
        <v>9</v>
      </c>
      <c r="I485" s="35">
        <v>0</v>
      </c>
      <c r="J485" s="70">
        <v>0</v>
      </c>
      <c r="K485" s="70">
        <v>0</v>
      </c>
      <c r="L485" s="265">
        <v>9</v>
      </c>
      <c r="M485" s="35">
        <v>0</v>
      </c>
      <c r="N485" s="35"/>
      <c r="O485" s="35">
        <f t="shared" si="130"/>
        <v>0</v>
      </c>
      <c r="P485" s="35">
        <f t="shared" si="135"/>
        <v>0</v>
      </c>
      <c r="Q485" s="265">
        <v>9</v>
      </c>
      <c r="R485" s="85">
        <f t="shared" si="131"/>
        <v>9</v>
      </c>
    </row>
    <row r="486" spans="1:18" s="34" customFormat="1" ht="12.75" customHeight="1" x14ac:dyDescent="0.2">
      <c r="B486" s="1">
        <v>435101</v>
      </c>
      <c r="C486" s="35">
        <v>5</v>
      </c>
      <c r="D486" s="35" t="s">
        <v>358</v>
      </c>
      <c r="E486" s="35">
        <v>74</v>
      </c>
      <c r="F486" s="35">
        <v>125</v>
      </c>
      <c r="G486" s="140">
        <f t="shared" si="129"/>
        <v>27.75</v>
      </c>
      <c r="H486" s="265">
        <v>20</v>
      </c>
      <c r="I486" s="35">
        <v>0</v>
      </c>
      <c r="J486" s="70">
        <v>0</v>
      </c>
      <c r="K486" s="70">
        <v>0</v>
      </c>
      <c r="L486" s="265">
        <v>20</v>
      </c>
      <c r="M486" s="35">
        <v>0</v>
      </c>
      <c r="N486" s="35"/>
      <c r="O486" s="35">
        <f t="shared" si="130"/>
        <v>0</v>
      </c>
      <c r="P486" s="35">
        <f t="shared" si="135"/>
        <v>0</v>
      </c>
      <c r="Q486" s="265">
        <v>16</v>
      </c>
      <c r="R486" s="85">
        <f t="shared" si="131"/>
        <v>16</v>
      </c>
    </row>
    <row r="487" spans="1:18" s="34" customFormat="1" ht="12.75" customHeight="1" x14ac:dyDescent="0.2">
      <c r="B487" s="1">
        <v>454103</v>
      </c>
      <c r="C487" s="35">
        <v>41</v>
      </c>
      <c r="D487" s="35" t="s">
        <v>361</v>
      </c>
      <c r="E487" s="35">
        <v>70</v>
      </c>
      <c r="F487" s="35">
        <v>86</v>
      </c>
      <c r="G487" s="140">
        <f t="shared" si="129"/>
        <v>19.091999999999999</v>
      </c>
      <c r="H487" s="265">
        <v>10</v>
      </c>
      <c r="I487" s="35">
        <v>0</v>
      </c>
      <c r="J487" s="70">
        <v>0</v>
      </c>
      <c r="K487" s="70">
        <v>0</v>
      </c>
      <c r="L487" s="265">
        <v>10</v>
      </c>
      <c r="M487" s="35">
        <v>0</v>
      </c>
      <c r="N487" s="35"/>
      <c r="O487" s="35">
        <f t="shared" si="130"/>
        <v>0</v>
      </c>
      <c r="P487" s="35">
        <f t="shared" si="135"/>
        <v>0</v>
      </c>
      <c r="Q487" s="265">
        <v>10</v>
      </c>
      <c r="R487" s="85">
        <f t="shared" si="131"/>
        <v>10</v>
      </c>
    </row>
    <row r="488" spans="1:18" s="34" customFormat="1" ht="12.75" customHeight="1" x14ac:dyDescent="0.2">
      <c r="B488" s="1">
        <v>460102</v>
      </c>
      <c r="C488" s="35">
        <v>3</v>
      </c>
      <c r="D488" s="35" t="s">
        <v>362</v>
      </c>
      <c r="E488" s="35">
        <v>118</v>
      </c>
      <c r="F488" s="35">
        <v>195</v>
      </c>
      <c r="G488" s="140">
        <f t="shared" si="129"/>
        <v>43.29</v>
      </c>
      <c r="H488" s="265">
        <v>21</v>
      </c>
      <c r="I488" s="35">
        <v>0</v>
      </c>
      <c r="J488" s="70">
        <v>0</v>
      </c>
      <c r="K488" s="70">
        <v>0</v>
      </c>
      <c r="L488" s="265">
        <v>17</v>
      </c>
      <c r="M488" s="35">
        <v>0</v>
      </c>
      <c r="N488" s="35"/>
      <c r="O488" s="35">
        <f t="shared" si="130"/>
        <v>0</v>
      </c>
      <c r="P488" s="35">
        <f t="shared" si="135"/>
        <v>0</v>
      </c>
      <c r="Q488" s="265">
        <v>16</v>
      </c>
      <c r="R488" s="85">
        <f t="shared" si="131"/>
        <v>16</v>
      </c>
    </row>
    <row r="489" spans="1:18" s="34" customFormat="1" ht="12.75" customHeight="1" x14ac:dyDescent="0.2">
      <c r="B489" s="1">
        <v>460103</v>
      </c>
      <c r="C489" s="35">
        <v>66</v>
      </c>
      <c r="D489" s="35" t="s">
        <v>454</v>
      </c>
      <c r="E489" s="35">
        <v>85</v>
      </c>
      <c r="F489" s="35">
        <v>135</v>
      </c>
      <c r="G489" s="140">
        <f t="shared" ref="G489" si="140">F489*0.666*24/72</f>
        <v>29.970000000000002</v>
      </c>
      <c r="H489" s="265">
        <v>27</v>
      </c>
      <c r="I489" s="35">
        <v>0</v>
      </c>
      <c r="J489" s="70">
        <v>0</v>
      </c>
      <c r="K489" s="70">
        <v>0</v>
      </c>
      <c r="L489" s="265">
        <v>27</v>
      </c>
      <c r="M489" s="35">
        <v>0</v>
      </c>
      <c r="N489" s="35"/>
      <c r="O489" s="35">
        <f t="shared" ref="O489" si="141">ROUND((+G489*N489)/100,0)</f>
        <v>0</v>
      </c>
      <c r="P489" s="35">
        <f t="shared" ref="P489" si="142">IF(M489&gt;O489,+M489-O489,0)</f>
        <v>0</v>
      </c>
      <c r="Q489" s="265">
        <v>25</v>
      </c>
      <c r="R489" s="85">
        <f t="shared" ref="R489" si="143">+Q489</f>
        <v>25</v>
      </c>
    </row>
    <row r="490" spans="1:18" s="34" customFormat="1" ht="12.75" customHeight="1" x14ac:dyDescent="0.2">
      <c r="B490" s="1">
        <v>502105</v>
      </c>
      <c r="C490" s="35">
        <v>12</v>
      </c>
      <c r="D490" s="35" t="s">
        <v>369</v>
      </c>
      <c r="E490" s="35">
        <v>131</v>
      </c>
      <c r="F490" s="35">
        <v>175</v>
      </c>
      <c r="G490" s="140">
        <f t="shared" si="129"/>
        <v>38.85</v>
      </c>
      <c r="H490" s="265">
        <v>20</v>
      </c>
      <c r="I490" s="35">
        <v>0</v>
      </c>
      <c r="J490" s="70">
        <v>0</v>
      </c>
      <c r="K490" s="70">
        <v>0</v>
      </c>
      <c r="L490" s="265">
        <v>21</v>
      </c>
      <c r="M490" s="35">
        <v>0</v>
      </c>
      <c r="N490" s="35"/>
      <c r="O490" s="35">
        <f t="shared" ref="O490:O495" si="144">ROUND((+G490*N490)/100,0)</f>
        <v>0</v>
      </c>
      <c r="P490" s="35">
        <f t="shared" ref="P490:P495" si="145">IF(M490&gt;O490,+M490-O490,0)</f>
        <v>0</v>
      </c>
      <c r="Q490" s="265">
        <v>20</v>
      </c>
      <c r="R490" s="85">
        <f t="shared" si="131"/>
        <v>20</v>
      </c>
    </row>
    <row r="491" spans="1:18" s="34" customFormat="1" ht="12.75" customHeight="1" x14ac:dyDescent="0.2">
      <c r="B491" s="1">
        <v>502106</v>
      </c>
      <c r="C491" s="35">
        <v>65</v>
      </c>
      <c r="D491" s="35" t="s">
        <v>370</v>
      </c>
      <c r="E491" s="35">
        <v>52</v>
      </c>
      <c r="F491" s="35">
        <v>94</v>
      </c>
      <c r="G491" s="140">
        <f t="shared" si="129"/>
        <v>20.868000000000002</v>
      </c>
      <c r="H491" s="265">
        <v>16</v>
      </c>
      <c r="I491" s="35">
        <v>0</v>
      </c>
      <c r="J491" s="70">
        <v>0</v>
      </c>
      <c r="K491" s="70">
        <v>0</v>
      </c>
      <c r="L491" s="265">
        <v>16</v>
      </c>
      <c r="M491" s="35">
        <v>0</v>
      </c>
      <c r="N491" s="35"/>
      <c r="O491" s="35">
        <f t="shared" si="144"/>
        <v>0</v>
      </c>
      <c r="P491" s="35">
        <f t="shared" si="145"/>
        <v>0</v>
      </c>
      <c r="Q491" s="265">
        <v>16</v>
      </c>
      <c r="R491" s="85">
        <f t="shared" si="131"/>
        <v>16</v>
      </c>
    </row>
    <row r="492" spans="1:18" ht="12.75" customHeight="1" x14ac:dyDescent="0.2">
      <c r="A492" s="34"/>
      <c r="B492" s="1">
        <v>517101</v>
      </c>
      <c r="C492" s="35">
        <v>82</v>
      </c>
      <c r="D492" s="35" t="s">
        <v>374</v>
      </c>
      <c r="E492" s="35">
        <v>76</v>
      </c>
      <c r="F492" s="35">
        <v>128</v>
      </c>
      <c r="G492" s="269">
        <f t="shared" si="129"/>
        <v>28.416000000000004</v>
      </c>
      <c r="H492" s="265">
        <v>18</v>
      </c>
      <c r="I492" s="35">
        <v>0</v>
      </c>
      <c r="J492" s="70">
        <v>0</v>
      </c>
      <c r="K492" s="70">
        <v>0</v>
      </c>
      <c r="L492" s="265">
        <v>20</v>
      </c>
      <c r="M492" s="35">
        <v>0</v>
      </c>
      <c r="N492" s="35"/>
      <c r="O492" s="35">
        <f t="shared" si="144"/>
        <v>0</v>
      </c>
      <c r="P492" s="35">
        <f t="shared" si="145"/>
        <v>0</v>
      </c>
      <c r="Q492" s="265">
        <v>18</v>
      </c>
      <c r="R492" s="85">
        <f t="shared" si="131"/>
        <v>18</v>
      </c>
    </row>
    <row r="493" spans="1:18" ht="12.75" customHeight="1" x14ac:dyDescent="0.2">
      <c r="A493" s="34"/>
      <c r="B493" s="1">
        <v>554101</v>
      </c>
      <c r="C493" s="35">
        <v>1</v>
      </c>
      <c r="D493" s="35" t="s">
        <v>377</v>
      </c>
      <c r="E493" s="35">
        <v>169</v>
      </c>
      <c r="F493" s="35">
        <v>264</v>
      </c>
      <c r="G493" s="140">
        <f t="shared" si="129"/>
        <v>58.607999999999997</v>
      </c>
      <c r="H493" s="265">
        <v>38</v>
      </c>
      <c r="I493" s="35">
        <v>0</v>
      </c>
      <c r="J493" s="70">
        <v>0</v>
      </c>
      <c r="K493" s="70">
        <v>0</v>
      </c>
      <c r="L493" s="265">
        <v>36</v>
      </c>
      <c r="M493" s="35">
        <v>0</v>
      </c>
      <c r="N493" s="35"/>
      <c r="O493" s="35">
        <f t="shared" si="144"/>
        <v>0</v>
      </c>
      <c r="P493" s="35">
        <f t="shared" si="145"/>
        <v>0</v>
      </c>
      <c r="Q493" s="265">
        <v>0</v>
      </c>
      <c r="R493" s="85">
        <f t="shared" si="131"/>
        <v>0</v>
      </c>
    </row>
    <row r="494" spans="1:18" ht="12.75" customHeight="1" x14ac:dyDescent="0.2">
      <c r="A494" s="34"/>
      <c r="B494" s="1">
        <v>554105</v>
      </c>
      <c r="C494" s="35">
        <v>30</v>
      </c>
      <c r="D494" s="35" t="s">
        <v>378</v>
      </c>
      <c r="E494" s="35">
        <v>37</v>
      </c>
      <c r="F494" s="35">
        <v>48</v>
      </c>
      <c r="G494" s="140">
        <f t="shared" si="129"/>
        <v>10.656000000000001</v>
      </c>
      <c r="H494" s="265">
        <v>9</v>
      </c>
      <c r="I494" s="35">
        <v>0</v>
      </c>
      <c r="J494" s="70">
        <v>0</v>
      </c>
      <c r="K494" s="70">
        <v>0</v>
      </c>
      <c r="L494" s="265">
        <v>9</v>
      </c>
      <c r="M494" s="35">
        <v>0</v>
      </c>
      <c r="N494" s="35"/>
      <c r="O494" s="35">
        <f t="shared" si="144"/>
        <v>0</v>
      </c>
      <c r="P494" s="35">
        <f t="shared" si="145"/>
        <v>0</v>
      </c>
      <c r="Q494" s="265">
        <v>9</v>
      </c>
      <c r="R494" s="85">
        <f>+Q494</f>
        <v>9</v>
      </c>
    </row>
    <row r="495" spans="1:18" ht="12.75" customHeight="1" x14ac:dyDescent="0.2">
      <c r="A495" s="34"/>
      <c r="B495" s="1">
        <v>554106</v>
      </c>
      <c r="C495" s="35">
        <v>14</v>
      </c>
      <c r="D495" s="35" t="s">
        <v>419</v>
      </c>
      <c r="E495" s="35">
        <v>60</v>
      </c>
      <c r="F495" s="35">
        <v>80</v>
      </c>
      <c r="G495" s="140">
        <f t="shared" si="129"/>
        <v>17.760000000000002</v>
      </c>
      <c r="H495" s="265">
        <v>8</v>
      </c>
      <c r="I495" s="35">
        <v>0</v>
      </c>
      <c r="J495" s="70">
        <v>0</v>
      </c>
      <c r="K495" s="70">
        <v>0</v>
      </c>
      <c r="L495" s="265">
        <v>0</v>
      </c>
      <c r="M495" s="35">
        <v>0</v>
      </c>
      <c r="N495" s="35"/>
      <c r="O495" s="35">
        <f t="shared" si="144"/>
        <v>0</v>
      </c>
      <c r="P495" s="35">
        <f t="shared" si="145"/>
        <v>0</v>
      </c>
      <c r="Q495" s="265">
        <v>7</v>
      </c>
      <c r="R495" s="85">
        <f t="shared" si="131"/>
        <v>7</v>
      </c>
    </row>
    <row r="496" spans="1:18" s="34" customFormat="1" ht="12.75" customHeight="1" x14ac:dyDescent="0.2">
      <c r="B496" s="114"/>
      <c r="C496" s="115"/>
      <c r="D496" s="115"/>
      <c r="E496" s="174"/>
      <c r="F496" s="115"/>
      <c r="G496" s="278"/>
      <c r="H496" s="115"/>
      <c r="I496" s="115"/>
      <c r="J496" s="251"/>
      <c r="K496" s="251"/>
      <c r="L496" s="115"/>
      <c r="M496" s="115"/>
      <c r="N496" s="115"/>
      <c r="O496" s="115"/>
      <c r="P496" s="115"/>
      <c r="Q496" s="251"/>
      <c r="R496" s="282"/>
    </row>
    <row r="497" spans="1:18" s="34" customFormat="1" ht="12.75" customHeight="1" x14ac:dyDescent="0.2">
      <c r="B497" s="172" t="s">
        <v>37</v>
      </c>
      <c r="C497" s="173"/>
      <c r="D497" s="173">
        <f>COUNTA(B475:B495)</f>
        <v>21</v>
      </c>
      <c r="E497" s="281">
        <f t="shared" ref="E497:R497" si="146">SUM(E475:E495)</f>
        <v>1763</v>
      </c>
      <c r="F497" s="281">
        <f t="shared" si="146"/>
        <v>2560</v>
      </c>
      <c r="G497" s="256">
        <f t="shared" si="146"/>
        <v>568.31999999999994</v>
      </c>
      <c r="H497" s="256">
        <f t="shared" si="146"/>
        <v>354</v>
      </c>
      <c r="I497" s="256">
        <f t="shared" si="146"/>
        <v>0</v>
      </c>
      <c r="J497" s="256">
        <f t="shared" si="146"/>
        <v>0</v>
      </c>
      <c r="K497" s="256">
        <f t="shared" si="146"/>
        <v>0</v>
      </c>
      <c r="L497" s="256">
        <f t="shared" si="146"/>
        <v>300</v>
      </c>
      <c r="M497" s="256">
        <f t="shared" si="146"/>
        <v>0</v>
      </c>
      <c r="N497" s="256">
        <f t="shared" si="146"/>
        <v>0</v>
      </c>
      <c r="O497" s="256">
        <f t="shared" si="146"/>
        <v>0</v>
      </c>
      <c r="P497" s="256">
        <f t="shared" si="146"/>
        <v>0</v>
      </c>
      <c r="Q497" s="256">
        <f t="shared" si="146"/>
        <v>200</v>
      </c>
      <c r="R497" s="256">
        <f t="shared" si="146"/>
        <v>200</v>
      </c>
    </row>
    <row r="498" spans="1:18" s="34" customFormat="1" ht="15.75" customHeight="1" x14ac:dyDescent="0.2">
      <c r="B498" s="109" t="s">
        <v>494</v>
      </c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273"/>
      <c r="R498" s="53"/>
    </row>
    <row r="499" spans="1:18" s="34" customFormat="1" ht="15.75" customHeight="1" x14ac:dyDescent="0.2">
      <c r="B499" s="229" t="s">
        <v>495</v>
      </c>
      <c r="C499" s="132"/>
      <c r="D499" s="132"/>
      <c r="E499" s="132"/>
      <c r="F499" s="132"/>
      <c r="G499" s="132"/>
      <c r="H499" s="132"/>
      <c r="I499" s="132"/>
      <c r="J499" s="132"/>
      <c r="K499" s="132"/>
      <c r="L499" s="132"/>
      <c r="M499" s="132"/>
      <c r="N499" s="274"/>
      <c r="O499" s="274"/>
      <c r="P499" s="274"/>
      <c r="Q499" s="145"/>
      <c r="R499" s="106"/>
    </row>
    <row r="500" spans="1:18" ht="12.75" customHeight="1" x14ac:dyDescent="0.2">
      <c r="A500" s="34"/>
      <c r="B500" s="272" t="s">
        <v>496</v>
      </c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5"/>
      <c r="N500" s="104"/>
      <c r="O500" s="104"/>
      <c r="P500" s="104"/>
      <c r="Q500" s="247" t="s">
        <v>39</v>
      </c>
      <c r="R500" s="96">
        <f>R497+R498</f>
        <v>200</v>
      </c>
    </row>
    <row r="501" spans="1:18" ht="12.75" customHeight="1" x14ac:dyDescent="0.2">
      <c r="B501" s="80"/>
      <c r="C501" s="56"/>
      <c r="D501" s="56"/>
      <c r="E501" s="56"/>
      <c r="F501" s="56"/>
      <c r="G501" s="56"/>
      <c r="I501" s="56"/>
      <c r="J501" s="56"/>
      <c r="K501" s="56"/>
      <c r="L501" s="56"/>
      <c r="M501" s="56"/>
      <c r="N501" s="56"/>
      <c r="O501" s="56"/>
      <c r="P501" s="56"/>
      <c r="Q501" s="104"/>
      <c r="R501" s="59"/>
    </row>
    <row r="502" spans="1:18" ht="12.75" customHeight="1" x14ac:dyDescent="0.2">
      <c r="B502" s="80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104"/>
      <c r="R502" s="59"/>
    </row>
    <row r="503" spans="1:18" s="34" customFormat="1" ht="12.75" customHeight="1" x14ac:dyDescent="0.2">
      <c r="B503" s="63" t="s">
        <v>33</v>
      </c>
      <c r="C503" s="32"/>
      <c r="D503" s="32"/>
      <c r="E503" s="32"/>
      <c r="F503" s="32"/>
      <c r="G503" s="32"/>
      <c r="H503" s="138"/>
      <c r="I503" s="32"/>
      <c r="J503" s="66"/>
      <c r="K503" s="66"/>
      <c r="L503" s="138"/>
      <c r="M503" s="32"/>
      <c r="N503" s="32"/>
      <c r="O503" s="32"/>
      <c r="P503" s="32"/>
      <c r="Q503" s="35"/>
      <c r="R503" s="62"/>
    </row>
    <row r="504" spans="1:18" s="34" customFormat="1" ht="12.75" customHeight="1" x14ac:dyDescent="0.2">
      <c r="B504" s="63"/>
      <c r="C504" s="64" t="s">
        <v>189</v>
      </c>
      <c r="D504" s="65"/>
      <c r="E504" s="32"/>
      <c r="F504" s="32"/>
      <c r="G504" s="32"/>
      <c r="H504" s="32"/>
      <c r="I504" s="32"/>
      <c r="J504" s="66"/>
      <c r="K504" s="66"/>
      <c r="L504" s="32"/>
      <c r="M504" s="32"/>
      <c r="N504" s="32"/>
      <c r="O504" s="32"/>
      <c r="P504" s="32"/>
      <c r="Q504" s="35"/>
      <c r="R504" s="32"/>
    </row>
    <row r="505" spans="1:18" ht="12.75" customHeight="1" x14ac:dyDescent="0.2">
      <c r="A505" s="34"/>
      <c r="B505" s="4"/>
      <c r="C505" s="35"/>
      <c r="D505" s="35"/>
      <c r="E505" s="35"/>
      <c r="F505" s="35"/>
      <c r="G505" s="35"/>
      <c r="H505" s="35"/>
      <c r="I505" s="35"/>
      <c r="J505" s="84"/>
      <c r="K505" s="84"/>
      <c r="L505" s="35"/>
      <c r="M505" s="35"/>
      <c r="N505" s="35"/>
      <c r="O505" s="35"/>
      <c r="P505" s="35"/>
      <c r="Q505" s="35"/>
      <c r="R505" s="283"/>
    </row>
    <row r="506" spans="1:18" ht="12.75" customHeight="1" x14ac:dyDescent="0.2">
      <c r="A506" s="34"/>
      <c r="B506" s="149"/>
      <c r="C506" s="77"/>
      <c r="D506" s="77"/>
      <c r="E506" s="77"/>
      <c r="F506" s="77"/>
      <c r="G506" s="77"/>
      <c r="H506" s="77"/>
      <c r="I506" s="77"/>
      <c r="J506" s="275"/>
      <c r="K506" s="275"/>
      <c r="L506" s="77"/>
      <c r="M506" s="77"/>
      <c r="N506" s="77"/>
      <c r="O506" s="77"/>
      <c r="P506" s="77"/>
      <c r="Q506" s="77"/>
      <c r="R506" s="276"/>
    </row>
    <row r="507" spans="1:18" ht="12.75" customHeight="1" x14ac:dyDescent="0.2">
      <c r="A507" s="34"/>
      <c r="B507" s="1">
        <v>214101</v>
      </c>
      <c r="C507" s="35">
        <v>3</v>
      </c>
      <c r="D507" s="35" t="s">
        <v>190</v>
      </c>
      <c r="E507" s="35">
        <v>84</v>
      </c>
      <c r="F507" s="35">
        <v>113</v>
      </c>
      <c r="G507" s="140">
        <f>F507*0.666*24/72</f>
        <v>25.086000000000002</v>
      </c>
      <c r="H507" s="230">
        <v>20</v>
      </c>
      <c r="I507" s="35">
        <v>0</v>
      </c>
      <c r="J507" s="70">
        <v>0</v>
      </c>
      <c r="K507" s="70">
        <v>0</v>
      </c>
      <c r="L507" s="230">
        <v>20</v>
      </c>
      <c r="M507" s="35">
        <v>0</v>
      </c>
      <c r="N507" s="35"/>
      <c r="O507" s="35">
        <f>ROUND((+G507*N507)/100,0)</f>
        <v>0</v>
      </c>
      <c r="P507" s="35">
        <f>IF(M507&gt;O507,+M507-O507,0)</f>
        <v>0</v>
      </c>
      <c r="Q507" s="230">
        <v>20</v>
      </c>
      <c r="R507" s="85">
        <f>Q507</f>
        <v>20</v>
      </c>
    </row>
    <row r="508" spans="1:18" s="34" customFormat="1" ht="12.75" customHeight="1" x14ac:dyDescent="0.2">
      <c r="B508" s="1">
        <v>471101</v>
      </c>
      <c r="C508" s="35">
        <v>34</v>
      </c>
      <c r="D508" s="35" t="s">
        <v>191</v>
      </c>
      <c r="E508" s="35">
        <v>50</v>
      </c>
      <c r="F508" s="35">
        <v>65</v>
      </c>
      <c r="G508" s="140">
        <f>F508*0.666*24/72</f>
        <v>14.43</v>
      </c>
      <c r="H508" s="230">
        <v>11</v>
      </c>
      <c r="I508" s="35">
        <v>0</v>
      </c>
      <c r="J508" s="70">
        <v>0</v>
      </c>
      <c r="K508" s="70">
        <v>0</v>
      </c>
      <c r="L508" s="230">
        <v>9</v>
      </c>
      <c r="M508" s="35">
        <v>0</v>
      </c>
      <c r="N508" s="35"/>
      <c r="O508" s="35">
        <f>ROUND((+G508*N508)/100,0)</f>
        <v>0</v>
      </c>
      <c r="P508" s="35">
        <f>IF(M508&gt;O508,+M508-O508,0)</f>
        <v>0</v>
      </c>
      <c r="Q508" s="230">
        <v>10</v>
      </c>
      <c r="R508" s="85">
        <f>Q508</f>
        <v>10</v>
      </c>
    </row>
    <row r="509" spans="1:18" s="34" customFormat="1" ht="12.75" customHeight="1" x14ac:dyDescent="0.2">
      <c r="B509" s="114"/>
      <c r="C509" s="115"/>
      <c r="D509" s="115"/>
      <c r="E509" s="174"/>
      <c r="F509" s="174"/>
      <c r="G509" s="278"/>
      <c r="H509" s="115"/>
      <c r="I509" s="115"/>
      <c r="J509" s="251"/>
      <c r="K509" s="251"/>
      <c r="L509" s="251"/>
      <c r="M509" s="115"/>
      <c r="N509" s="115"/>
      <c r="O509" s="115"/>
      <c r="P509" s="115"/>
      <c r="Q509" s="251"/>
      <c r="R509" s="282"/>
    </row>
    <row r="510" spans="1:18" s="34" customFormat="1" ht="12.75" customHeight="1" x14ac:dyDescent="0.2">
      <c r="B510" s="149" t="s">
        <v>37</v>
      </c>
      <c r="C510" s="77"/>
      <c r="D510" s="77">
        <f>COUNTA(B507:B508)</f>
        <v>2</v>
      </c>
      <c r="E510" s="167">
        <f>SUM(E507:E508)</f>
        <v>134</v>
      </c>
      <c r="F510" s="167">
        <f t="shared" ref="F510:R510" si="147">SUM(F507:F508)</f>
        <v>178</v>
      </c>
      <c r="G510" s="167">
        <f t="shared" si="147"/>
        <v>39.516000000000005</v>
      </c>
      <c r="H510" s="167">
        <f t="shared" si="147"/>
        <v>31</v>
      </c>
      <c r="I510" s="167">
        <f t="shared" si="147"/>
        <v>0</v>
      </c>
      <c r="J510" s="167">
        <f t="shared" si="147"/>
        <v>0</v>
      </c>
      <c r="K510" s="167">
        <f t="shared" si="147"/>
        <v>0</v>
      </c>
      <c r="L510" s="167">
        <f t="shared" si="147"/>
        <v>29</v>
      </c>
      <c r="M510" s="167">
        <f t="shared" si="147"/>
        <v>0</v>
      </c>
      <c r="N510" s="167">
        <f t="shared" si="147"/>
        <v>0</v>
      </c>
      <c r="O510" s="167">
        <f t="shared" si="147"/>
        <v>0</v>
      </c>
      <c r="P510" s="167">
        <f t="shared" si="147"/>
        <v>0</v>
      </c>
      <c r="Q510" s="167">
        <f t="shared" si="147"/>
        <v>30</v>
      </c>
      <c r="R510" s="167">
        <f t="shared" si="147"/>
        <v>30</v>
      </c>
    </row>
    <row r="511" spans="1:18" s="34" customFormat="1" ht="12.75" customHeight="1" x14ac:dyDescent="0.2">
      <c r="B511" s="50" t="s">
        <v>38</v>
      </c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2"/>
      <c r="O511" s="52"/>
      <c r="P511" s="52"/>
      <c r="Q511" s="246"/>
      <c r="R511" s="78"/>
    </row>
    <row r="512" spans="1:18" s="34" customFormat="1" ht="12.75" customHeight="1" x14ac:dyDescent="0.2">
      <c r="B512" s="143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5"/>
      <c r="N512" s="104"/>
      <c r="O512" s="104"/>
      <c r="P512" s="104"/>
      <c r="Q512" s="247" t="s">
        <v>39</v>
      </c>
      <c r="R512" s="96">
        <f>R510+R511</f>
        <v>30</v>
      </c>
    </row>
    <row r="513" spans="2:18" ht="12.75" customHeight="1" x14ac:dyDescent="0.2">
      <c r="B513" s="80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104"/>
      <c r="R513" s="59"/>
    </row>
    <row r="514" spans="2:18" ht="12.75" customHeight="1" x14ac:dyDescent="0.2">
      <c r="B514" s="80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104"/>
      <c r="R514" s="59"/>
    </row>
    <row r="515" spans="2:18" s="34" customFormat="1" ht="12.75" customHeight="1" x14ac:dyDescent="0.2">
      <c r="B515" s="63" t="s">
        <v>33</v>
      </c>
      <c r="C515" s="62"/>
      <c r="D515" s="32"/>
      <c r="E515" s="62"/>
      <c r="F515" s="32"/>
      <c r="G515" s="32"/>
      <c r="H515" s="32"/>
      <c r="I515" s="62"/>
      <c r="J515" s="32"/>
      <c r="K515" s="32"/>
      <c r="L515" s="32"/>
      <c r="M515" s="32"/>
      <c r="N515" s="32"/>
      <c r="O515" s="32"/>
      <c r="P515" s="32"/>
      <c r="Q515" s="35"/>
      <c r="R515" s="32"/>
    </row>
    <row r="516" spans="2:18" ht="12.75" customHeight="1" x14ac:dyDescent="0.2">
      <c r="B516" s="63"/>
      <c r="C516" s="62"/>
      <c r="D516" s="32"/>
      <c r="E516" s="6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5"/>
      <c r="R516" s="32"/>
    </row>
    <row r="517" spans="2:18" ht="12.75" customHeight="1" x14ac:dyDescent="0.2">
      <c r="B517" s="63"/>
      <c r="C517" s="64" t="s">
        <v>192</v>
      </c>
      <c r="D517" s="65"/>
      <c r="E517" s="65"/>
      <c r="F517" s="32"/>
      <c r="G517" s="32"/>
      <c r="H517" s="32"/>
      <c r="I517" s="32"/>
      <c r="J517" s="66"/>
      <c r="K517" s="66"/>
      <c r="L517" s="32"/>
      <c r="M517" s="32"/>
      <c r="N517" s="32"/>
      <c r="O517" s="32"/>
      <c r="P517" s="32"/>
      <c r="Q517" s="35"/>
      <c r="R517" s="32"/>
    </row>
    <row r="518" spans="2:18" ht="12.75" customHeight="1" x14ac:dyDescent="0.2">
      <c r="B518" s="63"/>
      <c r="C518" s="32"/>
      <c r="D518" s="32"/>
      <c r="E518" s="32"/>
      <c r="F518" s="32"/>
      <c r="G518" s="32"/>
      <c r="H518" s="32"/>
      <c r="I518" s="32"/>
      <c r="J518" s="66"/>
      <c r="K518" s="66"/>
      <c r="L518" s="32"/>
      <c r="M518" s="32"/>
      <c r="N518" s="32"/>
      <c r="O518" s="32"/>
      <c r="P518" s="32"/>
      <c r="Q518" s="35"/>
      <c r="R518" s="32"/>
    </row>
    <row r="519" spans="2:18" ht="12.75" customHeight="1" x14ac:dyDescent="0.2">
      <c r="B519" s="30"/>
      <c r="C519" s="31"/>
      <c r="D519" s="31"/>
      <c r="E519" s="31"/>
      <c r="F519" s="31"/>
      <c r="G519" s="31"/>
      <c r="H519" s="31"/>
      <c r="I519" s="31"/>
      <c r="J519" s="68"/>
      <c r="K519" s="68"/>
      <c r="L519" s="31"/>
      <c r="M519" s="31"/>
      <c r="N519" s="31"/>
      <c r="O519" s="31"/>
      <c r="P519" s="31"/>
      <c r="Q519" s="77"/>
      <c r="R519" s="33"/>
    </row>
    <row r="520" spans="2:18" ht="12.75" customHeight="1" x14ac:dyDescent="0.2">
      <c r="B520" s="1">
        <v>15103</v>
      </c>
      <c r="C520" s="35">
        <v>8</v>
      </c>
      <c r="D520" s="35" t="s">
        <v>291</v>
      </c>
      <c r="E520" s="35">
        <v>56</v>
      </c>
      <c r="F520" s="35">
        <v>101</v>
      </c>
      <c r="G520" s="36">
        <f t="shared" ref="G520:G531" si="148">F520*0.666*24/72</f>
        <v>22.422000000000001</v>
      </c>
      <c r="H520" s="35">
        <v>15</v>
      </c>
      <c r="I520" s="35">
        <v>0</v>
      </c>
      <c r="J520" s="70">
        <v>0</v>
      </c>
      <c r="K520" s="70">
        <v>0</v>
      </c>
      <c r="L520" s="35">
        <v>15</v>
      </c>
      <c r="M520" s="35">
        <v>0</v>
      </c>
      <c r="N520" s="35"/>
      <c r="O520" s="35">
        <f t="shared" ref="O520:O531" si="149">ROUND((+G520*N520)/100,0)</f>
        <v>0</v>
      </c>
      <c r="P520" s="35">
        <f t="shared" ref="P520:P531" si="150">IF(M520&gt;O520,+M520-O520,0)</f>
        <v>0</v>
      </c>
      <c r="Q520" s="35">
        <v>8</v>
      </c>
      <c r="R520" s="85">
        <f t="shared" ref="R520:R531" si="151">Q520</f>
        <v>8</v>
      </c>
    </row>
    <row r="521" spans="2:18" ht="12.75" customHeight="1" x14ac:dyDescent="0.2">
      <c r="B521" s="1">
        <v>17103</v>
      </c>
      <c r="C521" s="35">
        <v>39</v>
      </c>
      <c r="D521" s="35" t="s">
        <v>292</v>
      </c>
      <c r="E521" s="35">
        <v>70</v>
      </c>
      <c r="F521" s="35">
        <v>128</v>
      </c>
      <c r="G521" s="36">
        <f t="shared" si="148"/>
        <v>28.416000000000004</v>
      </c>
      <c r="H521" s="35">
        <v>15</v>
      </c>
      <c r="I521" s="35">
        <v>0</v>
      </c>
      <c r="J521" s="70">
        <v>0</v>
      </c>
      <c r="K521" s="70">
        <v>0</v>
      </c>
      <c r="L521" s="35">
        <v>15</v>
      </c>
      <c r="M521" s="35">
        <v>0</v>
      </c>
      <c r="N521" s="35"/>
      <c r="O521" s="35">
        <f>ROUND((+G521*N521)/100,0)</f>
        <v>0</v>
      </c>
      <c r="P521" s="35">
        <f>IF(M521&gt;O521,+M521-O521,0)</f>
        <v>0</v>
      </c>
      <c r="Q521" s="35">
        <v>18</v>
      </c>
      <c r="R521" s="85">
        <f t="shared" si="151"/>
        <v>18</v>
      </c>
    </row>
    <row r="522" spans="2:18" ht="12.75" customHeight="1" x14ac:dyDescent="0.2">
      <c r="B522" s="1">
        <v>61104</v>
      </c>
      <c r="C522" s="35">
        <v>29</v>
      </c>
      <c r="D522" s="35" t="s">
        <v>297</v>
      </c>
      <c r="E522" s="35">
        <v>53</v>
      </c>
      <c r="F522" s="35">
        <v>79</v>
      </c>
      <c r="G522" s="36">
        <f t="shared" si="148"/>
        <v>17.538</v>
      </c>
      <c r="H522" s="35">
        <v>10</v>
      </c>
      <c r="I522" s="35">
        <v>0</v>
      </c>
      <c r="J522" s="70">
        <v>0</v>
      </c>
      <c r="K522" s="70">
        <v>0</v>
      </c>
      <c r="L522" s="35">
        <v>10</v>
      </c>
      <c r="M522" s="35">
        <v>0</v>
      </c>
      <c r="N522" s="35"/>
      <c r="O522" s="35">
        <f t="shared" si="149"/>
        <v>0</v>
      </c>
      <c r="P522" s="35">
        <f t="shared" si="150"/>
        <v>0</v>
      </c>
      <c r="Q522" s="35">
        <v>10</v>
      </c>
      <c r="R522" s="85">
        <f t="shared" si="151"/>
        <v>10</v>
      </c>
    </row>
    <row r="523" spans="2:18" ht="12.75" customHeight="1" x14ac:dyDescent="0.2">
      <c r="B523" s="1">
        <v>69102</v>
      </c>
      <c r="C523" s="35">
        <v>103</v>
      </c>
      <c r="D523" s="35" t="s">
        <v>298</v>
      </c>
      <c r="E523" s="35">
        <v>122</v>
      </c>
      <c r="F523" s="35">
        <v>178</v>
      </c>
      <c r="G523" s="36">
        <f t="shared" si="148"/>
        <v>39.515999999999998</v>
      </c>
      <c r="H523" s="35">
        <v>28</v>
      </c>
      <c r="I523" s="35">
        <v>0</v>
      </c>
      <c r="J523" s="70">
        <v>0</v>
      </c>
      <c r="K523" s="70">
        <v>0</v>
      </c>
      <c r="L523" s="35">
        <v>28</v>
      </c>
      <c r="M523" s="35">
        <v>0</v>
      </c>
      <c r="N523" s="35"/>
      <c r="O523" s="35">
        <f t="shared" si="149"/>
        <v>0</v>
      </c>
      <c r="P523" s="35">
        <f t="shared" si="150"/>
        <v>0</v>
      </c>
      <c r="Q523" s="35">
        <v>25</v>
      </c>
      <c r="R523" s="85">
        <f t="shared" si="151"/>
        <v>25</v>
      </c>
    </row>
    <row r="524" spans="2:18" ht="12.75" customHeight="1" x14ac:dyDescent="0.2">
      <c r="B524" s="1">
        <v>80101</v>
      </c>
      <c r="C524" s="35">
        <v>106</v>
      </c>
      <c r="D524" s="35" t="s">
        <v>299</v>
      </c>
      <c r="E524" s="35">
        <v>101</v>
      </c>
      <c r="F524" s="35">
        <v>140</v>
      </c>
      <c r="G524" s="36">
        <f t="shared" si="148"/>
        <v>31.080000000000002</v>
      </c>
      <c r="H524" s="35">
        <v>20</v>
      </c>
      <c r="I524" s="35">
        <v>0</v>
      </c>
      <c r="J524" s="70">
        <v>0</v>
      </c>
      <c r="K524" s="70">
        <v>0</v>
      </c>
      <c r="L524" s="35">
        <v>20</v>
      </c>
      <c r="M524" s="35">
        <v>0</v>
      </c>
      <c r="N524" s="35"/>
      <c r="O524" s="35">
        <f t="shared" si="149"/>
        <v>0</v>
      </c>
      <c r="P524" s="35">
        <f t="shared" si="150"/>
        <v>0</v>
      </c>
      <c r="Q524" s="35">
        <v>23</v>
      </c>
      <c r="R524" s="85">
        <f t="shared" si="151"/>
        <v>23</v>
      </c>
    </row>
    <row r="525" spans="2:18" s="34" customFormat="1" ht="12.75" customHeight="1" x14ac:dyDescent="0.2">
      <c r="B525" s="1">
        <v>162102</v>
      </c>
      <c r="C525" s="35">
        <v>31</v>
      </c>
      <c r="D525" s="35" t="s">
        <v>317</v>
      </c>
      <c r="E525" s="35">
        <v>24</v>
      </c>
      <c r="F525" s="35">
        <v>33</v>
      </c>
      <c r="G525" s="36">
        <f t="shared" si="148"/>
        <v>7.3259999999999996</v>
      </c>
      <c r="H525" s="35">
        <v>5</v>
      </c>
      <c r="I525" s="35">
        <v>0</v>
      </c>
      <c r="J525" s="70">
        <v>0</v>
      </c>
      <c r="K525" s="70">
        <v>0</v>
      </c>
      <c r="L525" s="35">
        <v>5</v>
      </c>
      <c r="M525" s="35">
        <v>0</v>
      </c>
      <c r="N525" s="35"/>
      <c r="O525" s="35">
        <f t="shared" si="149"/>
        <v>0</v>
      </c>
      <c r="P525" s="35">
        <f t="shared" si="150"/>
        <v>0</v>
      </c>
      <c r="Q525" s="35">
        <v>6</v>
      </c>
      <c r="R525" s="85">
        <f t="shared" si="151"/>
        <v>6</v>
      </c>
    </row>
    <row r="526" spans="2:18" s="34" customFormat="1" ht="12.75" customHeight="1" x14ac:dyDescent="0.2">
      <c r="B526" s="1">
        <v>203101</v>
      </c>
      <c r="C526" s="35">
        <v>11</v>
      </c>
      <c r="D526" s="35" t="s">
        <v>325</v>
      </c>
      <c r="E526" s="35">
        <v>63</v>
      </c>
      <c r="F526" s="35">
        <v>155</v>
      </c>
      <c r="G526" s="36">
        <f t="shared" si="148"/>
        <v>34.409999999999997</v>
      </c>
      <c r="H526" s="35">
        <v>27</v>
      </c>
      <c r="I526" s="35">
        <v>0</v>
      </c>
      <c r="J526" s="70">
        <v>0</v>
      </c>
      <c r="K526" s="70">
        <v>0</v>
      </c>
      <c r="L526" s="35">
        <v>27</v>
      </c>
      <c r="M526" s="35">
        <v>0</v>
      </c>
      <c r="N526" s="35"/>
      <c r="O526" s="35">
        <f t="shared" si="149"/>
        <v>0</v>
      </c>
      <c r="P526" s="35">
        <f t="shared" si="150"/>
        <v>0</v>
      </c>
      <c r="Q526" s="35">
        <v>28</v>
      </c>
      <c r="R526" s="85">
        <f t="shared" si="151"/>
        <v>28</v>
      </c>
    </row>
    <row r="527" spans="2:18" s="34" customFormat="1" ht="12.75" customHeight="1" x14ac:dyDescent="0.2">
      <c r="B527" s="1">
        <v>235102</v>
      </c>
      <c r="C527" s="35">
        <v>35</v>
      </c>
      <c r="D527" s="35" t="s">
        <v>328</v>
      </c>
      <c r="E527" s="35">
        <v>71</v>
      </c>
      <c r="F527" s="35">
        <v>139</v>
      </c>
      <c r="G527" s="36">
        <f t="shared" si="148"/>
        <v>30.857999999999997</v>
      </c>
      <c r="H527" s="35">
        <v>10</v>
      </c>
      <c r="I527" s="35">
        <v>0</v>
      </c>
      <c r="J527" s="70">
        <v>0</v>
      </c>
      <c r="K527" s="70">
        <v>0</v>
      </c>
      <c r="L527" s="35">
        <v>15</v>
      </c>
      <c r="M527" s="35">
        <v>0</v>
      </c>
      <c r="N527" s="35"/>
      <c r="O527" s="35">
        <f t="shared" si="149"/>
        <v>0</v>
      </c>
      <c r="P527" s="35">
        <f t="shared" si="150"/>
        <v>0</v>
      </c>
      <c r="Q527" s="35">
        <v>15</v>
      </c>
      <c r="R527" s="85">
        <f t="shared" si="151"/>
        <v>15</v>
      </c>
    </row>
    <row r="528" spans="2:18" s="34" customFormat="1" ht="12.75" customHeight="1" x14ac:dyDescent="0.2">
      <c r="B528" s="1">
        <v>235103</v>
      </c>
      <c r="C528" s="35">
        <v>12</v>
      </c>
      <c r="D528" s="35" t="s">
        <v>390</v>
      </c>
      <c r="E528" s="35">
        <v>67</v>
      </c>
      <c r="F528" s="35">
        <v>93</v>
      </c>
      <c r="G528" s="36">
        <f t="shared" si="148"/>
        <v>20.646000000000001</v>
      </c>
      <c r="H528" s="35">
        <v>10</v>
      </c>
      <c r="I528" s="35">
        <v>0</v>
      </c>
      <c r="J528" s="70">
        <v>0</v>
      </c>
      <c r="K528" s="70">
        <v>0</v>
      </c>
      <c r="L528" s="35">
        <v>15</v>
      </c>
      <c r="M528" s="35">
        <v>0</v>
      </c>
      <c r="N528" s="35"/>
      <c r="O528" s="35">
        <f>ROUND((+G528*N528)/100,0)</f>
        <v>0</v>
      </c>
      <c r="P528" s="35">
        <f>IF(M528&gt;O528,+M528-O528,0)</f>
        <v>0</v>
      </c>
      <c r="Q528" s="35">
        <v>15</v>
      </c>
      <c r="R528" s="85">
        <f>Q528</f>
        <v>15</v>
      </c>
    </row>
    <row r="529" spans="2:18" s="34" customFormat="1" ht="12.75" customHeight="1" x14ac:dyDescent="0.2">
      <c r="B529" s="1">
        <v>238101</v>
      </c>
      <c r="C529" s="35">
        <v>19</v>
      </c>
      <c r="D529" s="35" t="s">
        <v>329</v>
      </c>
      <c r="E529" s="35">
        <v>42</v>
      </c>
      <c r="F529" s="35">
        <v>63</v>
      </c>
      <c r="G529" s="36">
        <f t="shared" si="148"/>
        <v>13.986000000000002</v>
      </c>
      <c r="H529" s="35">
        <v>8</v>
      </c>
      <c r="I529" s="35">
        <v>0</v>
      </c>
      <c r="J529" s="70">
        <v>0</v>
      </c>
      <c r="K529" s="70">
        <v>0</v>
      </c>
      <c r="L529" s="35">
        <v>8</v>
      </c>
      <c r="M529" s="35">
        <v>0</v>
      </c>
      <c r="N529" s="35"/>
      <c r="O529" s="35">
        <f t="shared" si="149"/>
        <v>0</v>
      </c>
      <c r="P529" s="35">
        <f t="shared" si="150"/>
        <v>0</v>
      </c>
      <c r="Q529" s="35">
        <v>10</v>
      </c>
      <c r="R529" s="85">
        <f t="shared" si="151"/>
        <v>10</v>
      </c>
    </row>
    <row r="530" spans="2:18" s="34" customFormat="1" ht="12.75" customHeight="1" x14ac:dyDescent="0.2">
      <c r="B530" s="1">
        <v>542101</v>
      </c>
      <c r="C530" s="35">
        <v>21</v>
      </c>
      <c r="D530" s="35" t="s">
        <v>376</v>
      </c>
      <c r="E530" s="35">
        <v>36</v>
      </c>
      <c r="F530" s="35">
        <v>66</v>
      </c>
      <c r="G530" s="36">
        <f t="shared" si="148"/>
        <v>14.651999999999999</v>
      </c>
      <c r="H530" s="35">
        <v>13</v>
      </c>
      <c r="I530" s="35">
        <v>0</v>
      </c>
      <c r="J530" s="70">
        <v>0</v>
      </c>
      <c r="K530" s="70">
        <v>0</v>
      </c>
      <c r="L530" s="35">
        <v>13</v>
      </c>
      <c r="M530" s="35">
        <v>0</v>
      </c>
      <c r="N530" s="35"/>
      <c r="O530" s="35">
        <f t="shared" si="149"/>
        <v>0</v>
      </c>
      <c r="P530" s="35">
        <f t="shared" si="150"/>
        <v>0</v>
      </c>
      <c r="Q530" s="35">
        <v>14</v>
      </c>
      <c r="R530" s="85">
        <f t="shared" si="151"/>
        <v>14</v>
      </c>
    </row>
    <row r="531" spans="2:18" s="34" customFormat="1" ht="12.75" customHeight="1" x14ac:dyDescent="0.2">
      <c r="B531" s="1">
        <v>563102</v>
      </c>
      <c r="C531" s="35">
        <v>22</v>
      </c>
      <c r="D531" s="35" t="s">
        <v>379</v>
      </c>
      <c r="E531" s="35">
        <v>87</v>
      </c>
      <c r="F531" s="35">
        <v>131</v>
      </c>
      <c r="G531" s="36">
        <f t="shared" si="148"/>
        <v>29.082000000000008</v>
      </c>
      <c r="H531" s="35">
        <v>20</v>
      </c>
      <c r="I531" s="35">
        <v>0</v>
      </c>
      <c r="J531" s="70">
        <v>0</v>
      </c>
      <c r="K531" s="70">
        <v>0</v>
      </c>
      <c r="L531" s="35">
        <v>20</v>
      </c>
      <c r="M531" s="35">
        <v>0</v>
      </c>
      <c r="N531" s="35"/>
      <c r="O531" s="35">
        <f t="shared" si="149"/>
        <v>0</v>
      </c>
      <c r="P531" s="35">
        <f t="shared" si="150"/>
        <v>0</v>
      </c>
      <c r="Q531" s="35">
        <v>22</v>
      </c>
      <c r="R531" s="85">
        <f t="shared" si="151"/>
        <v>22</v>
      </c>
    </row>
    <row r="532" spans="2:18" s="34" customFormat="1" ht="12.75" customHeight="1" x14ac:dyDescent="0.2">
      <c r="B532" s="40"/>
      <c r="C532" s="41"/>
      <c r="D532" s="41"/>
      <c r="E532" s="98"/>
      <c r="F532" s="41"/>
      <c r="G532" s="93"/>
      <c r="H532" s="35"/>
      <c r="I532" s="41"/>
      <c r="J532" s="42"/>
      <c r="K532" s="42"/>
      <c r="L532" s="35"/>
      <c r="M532" s="41"/>
      <c r="N532" s="41"/>
      <c r="O532" s="41"/>
      <c r="P532" s="41"/>
      <c r="Q532" s="251"/>
      <c r="R532" s="86"/>
    </row>
    <row r="533" spans="2:18" s="34" customFormat="1" ht="12.75" customHeight="1" x14ac:dyDescent="0.2">
      <c r="B533" s="30" t="s">
        <v>37</v>
      </c>
      <c r="C533" s="31"/>
      <c r="D533" s="31">
        <f>COUNTA(B520:B531)</f>
        <v>12</v>
      </c>
      <c r="E533" s="117">
        <f t="shared" ref="E533:R533" si="152">SUM(E520:E531)</f>
        <v>792</v>
      </c>
      <c r="F533" s="117">
        <f t="shared" si="152"/>
        <v>1306</v>
      </c>
      <c r="G533" s="117">
        <f t="shared" si="152"/>
        <v>289.93199999999996</v>
      </c>
      <c r="H533" s="117">
        <f t="shared" si="152"/>
        <v>181</v>
      </c>
      <c r="I533" s="117">
        <f t="shared" si="152"/>
        <v>0</v>
      </c>
      <c r="J533" s="117">
        <f t="shared" si="152"/>
        <v>0</v>
      </c>
      <c r="K533" s="117">
        <f t="shared" si="152"/>
        <v>0</v>
      </c>
      <c r="L533" s="117">
        <f t="shared" si="152"/>
        <v>191</v>
      </c>
      <c r="M533" s="117">
        <f t="shared" si="152"/>
        <v>0</v>
      </c>
      <c r="N533" s="117">
        <f t="shared" si="152"/>
        <v>0</v>
      </c>
      <c r="O533" s="117">
        <f t="shared" si="152"/>
        <v>0</v>
      </c>
      <c r="P533" s="117">
        <f t="shared" si="152"/>
        <v>0</v>
      </c>
      <c r="Q533" s="167">
        <f t="shared" si="152"/>
        <v>194</v>
      </c>
      <c r="R533" s="117">
        <f t="shared" si="152"/>
        <v>194</v>
      </c>
    </row>
    <row r="534" spans="2:18" ht="16.5" customHeight="1" x14ac:dyDescent="0.2">
      <c r="B534" s="170" t="s">
        <v>38</v>
      </c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252"/>
      <c r="R534" s="122"/>
    </row>
    <row r="535" spans="2:18" ht="16.5" customHeight="1" x14ac:dyDescent="0.2">
      <c r="B535" s="233"/>
      <c r="C535" s="231"/>
      <c r="D535" s="231"/>
      <c r="E535" s="231"/>
      <c r="F535" s="231"/>
      <c r="G535" s="231"/>
      <c r="H535" s="231"/>
      <c r="I535" s="231"/>
      <c r="J535" s="231"/>
      <c r="K535" s="231"/>
      <c r="L535" s="231"/>
      <c r="M535" s="231"/>
      <c r="N535" s="232"/>
      <c r="O535" s="232"/>
      <c r="P535" s="232"/>
      <c r="Q535" s="259"/>
      <c r="R535" s="59"/>
    </row>
    <row r="536" spans="2:18" ht="12.75" customHeight="1" x14ac:dyDescent="0.2">
      <c r="B536" s="212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5"/>
      <c r="N536" s="268"/>
      <c r="O536" s="268"/>
      <c r="P536" s="268"/>
      <c r="Q536" s="169" t="s">
        <v>39</v>
      </c>
      <c r="R536" s="57">
        <f>R533+R534</f>
        <v>194</v>
      </c>
    </row>
    <row r="537" spans="2:18" ht="12.75" customHeight="1" x14ac:dyDescent="0.2">
      <c r="B537" s="80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104"/>
      <c r="R537" s="59"/>
    </row>
    <row r="538" spans="2:18" ht="12.75" customHeight="1" x14ac:dyDescent="0.2">
      <c r="B538" s="80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104"/>
      <c r="R538" s="59"/>
    </row>
    <row r="539" spans="2:18" ht="12.75" customHeight="1" x14ac:dyDescent="0.2">
      <c r="B539" s="63"/>
      <c r="C539" s="64" t="s">
        <v>193</v>
      </c>
      <c r="D539" s="65"/>
      <c r="E539" s="65"/>
      <c r="F539" s="65"/>
      <c r="G539" s="32"/>
      <c r="H539" s="32"/>
      <c r="I539" s="32"/>
      <c r="J539" s="66"/>
      <c r="K539" s="66"/>
      <c r="L539" s="32"/>
      <c r="M539" s="32"/>
      <c r="N539" s="32"/>
      <c r="O539" s="32"/>
      <c r="P539" s="32"/>
      <c r="Q539" s="35"/>
      <c r="R539" s="32"/>
    </row>
    <row r="540" spans="2:18" ht="12.75" customHeight="1" x14ac:dyDescent="0.2">
      <c r="B540" s="63"/>
      <c r="C540" s="32"/>
      <c r="D540" s="32"/>
      <c r="E540" s="32"/>
      <c r="F540" s="32"/>
      <c r="G540" s="32"/>
      <c r="H540" s="32"/>
      <c r="I540" s="32"/>
      <c r="J540" s="66"/>
      <c r="K540" s="66"/>
      <c r="L540" s="32"/>
      <c r="M540" s="32"/>
      <c r="N540" s="32"/>
      <c r="O540" s="32"/>
      <c r="P540" s="32"/>
      <c r="Q540" s="35"/>
      <c r="R540" s="32"/>
    </row>
    <row r="541" spans="2:18" ht="12.75" customHeight="1" x14ac:dyDescent="0.2">
      <c r="B541" s="30"/>
      <c r="C541" s="31"/>
      <c r="D541" s="31"/>
      <c r="E541" s="31"/>
      <c r="F541" s="31"/>
      <c r="G541" s="31"/>
      <c r="H541" s="31"/>
      <c r="I541" s="31"/>
      <c r="J541" s="68"/>
      <c r="K541" s="68"/>
      <c r="L541" s="31"/>
      <c r="M541" s="31"/>
      <c r="N541" s="31"/>
      <c r="O541" s="31"/>
      <c r="P541" s="31"/>
      <c r="Q541" s="77"/>
      <c r="R541" s="33"/>
    </row>
    <row r="542" spans="2:18" ht="12.75" customHeight="1" x14ac:dyDescent="0.2">
      <c r="B542" s="1">
        <v>74101</v>
      </c>
      <c r="C542" s="35">
        <v>86</v>
      </c>
      <c r="D542" s="35" t="s">
        <v>194</v>
      </c>
      <c r="E542" s="35">
        <v>32</v>
      </c>
      <c r="F542" s="35">
        <v>38</v>
      </c>
      <c r="G542" s="36">
        <f t="shared" ref="G542:G572" si="153">F542*0.666*24/72</f>
        <v>8.4359999999999999</v>
      </c>
      <c r="H542" s="71">
        <v>0</v>
      </c>
      <c r="I542" s="35">
        <v>0</v>
      </c>
      <c r="J542" s="70">
        <v>0</v>
      </c>
      <c r="K542" s="70">
        <v>0</v>
      </c>
      <c r="L542" s="71">
        <v>6</v>
      </c>
      <c r="M542" s="35">
        <v>0</v>
      </c>
      <c r="N542" s="35"/>
      <c r="O542" s="35">
        <f t="shared" ref="O542:O550" si="154">ROUND((+G542*N542)/100,0)</f>
        <v>0</v>
      </c>
      <c r="P542" s="35">
        <f t="shared" ref="P542:P550" si="155">IF(M542&gt;O542,+M542-O542,0)</f>
        <v>0</v>
      </c>
      <c r="Q542" s="71">
        <v>6</v>
      </c>
      <c r="R542" s="97">
        <f t="shared" ref="R542:R572" si="156">+Q542</f>
        <v>6</v>
      </c>
    </row>
    <row r="543" spans="2:18" ht="12.75" customHeight="1" x14ac:dyDescent="0.2">
      <c r="B543" s="1">
        <v>85102</v>
      </c>
      <c r="C543" s="35">
        <v>9</v>
      </c>
      <c r="D543" s="35" t="s">
        <v>195</v>
      </c>
      <c r="E543" s="35">
        <v>330</v>
      </c>
      <c r="F543" s="35">
        <v>542</v>
      </c>
      <c r="G543" s="36">
        <f t="shared" si="153"/>
        <v>120.32400000000001</v>
      </c>
      <c r="H543" s="71">
        <v>0</v>
      </c>
      <c r="I543" s="35">
        <v>0</v>
      </c>
      <c r="J543" s="70">
        <v>0</v>
      </c>
      <c r="K543" s="70">
        <v>0</v>
      </c>
      <c r="L543" s="71">
        <v>120</v>
      </c>
      <c r="M543" s="35">
        <v>0</v>
      </c>
      <c r="N543" s="35"/>
      <c r="O543" s="35">
        <f t="shared" si="154"/>
        <v>0</v>
      </c>
      <c r="P543" s="35">
        <f t="shared" si="155"/>
        <v>0</v>
      </c>
      <c r="Q543" s="71">
        <v>60</v>
      </c>
      <c r="R543" s="97">
        <f t="shared" si="156"/>
        <v>60</v>
      </c>
    </row>
    <row r="544" spans="2:18" ht="12.75" customHeight="1" x14ac:dyDescent="0.2">
      <c r="B544" s="1">
        <v>85117</v>
      </c>
      <c r="C544" s="35">
        <v>55</v>
      </c>
      <c r="D544" s="35" t="s">
        <v>196</v>
      </c>
      <c r="E544" s="35">
        <v>67</v>
      </c>
      <c r="F544" s="35">
        <v>99</v>
      </c>
      <c r="G544" s="36">
        <f t="shared" si="153"/>
        <v>21.977999999999998</v>
      </c>
      <c r="H544" s="71">
        <v>10</v>
      </c>
      <c r="I544" s="35">
        <v>0</v>
      </c>
      <c r="J544" s="70">
        <v>0</v>
      </c>
      <c r="K544" s="70">
        <v>0</v>
      </c>
      <c r="L544" s="71">
        <v>10</v>
      </c>
      <c r="M544" s="35">
        <v>0</v>
      </c>
      <c r="N544" s="35"/>
      <c r="O544" s="35">
        <f t="shared" si="154"/>
        <v>0</v>
      </c>
      <c r="P544" s="35">
        <f t="shared" si="155"/>
        <v>0</v>
      </c>
      <c r="Q544" s="71">
        <v>10</v>
      </c>
      <c r="R544" s="97">
        <f t="shared" si="156"/>
        <v>10</v>
      </c>
    </row>
    <row r="545" spans="2:18" ht="12.75" customHeight="1" x14ac:dyDescent="0.2">
      <c r="B545" s="1">
        <v>85118</v>
      </c>
      <c r="C545" s="35">
        <v>68</v>
      </c>
      <c r="D545" s="35" t="s">
        <v>404</v>
      </c>
      <c r="E545" s="35">
        <v>119</v>
      </c>
      <c r="F545" s="35">
        <v>162</v>
      </c>
      <c r="G545" s="36">
        <f t="shared" si="153"/>
        <v>35.964000000000006</v>
      </c>
      <c r="H545" s="71">
        <v>20</v>
      </c>
      <c r="I545" s="35">
        <v>0</v>
      </c>
      <c r="J545" s="70">
        <v>0</v>
      </c>
      <c r="K545" s="70">
        <v>0</v>
      </c>
      <c r="L545" s="71">
        <v>18</v>
      </c>
      <c r="M545" s="35">
        <v>0</v>
      </c>
      <c r="N545" s="35"/>
      <c r="O545" s="35">
        <f>ROUND((+G545*N545)/100,0)</f>
        <v>0</v>
      </c>
      <c r="P545" s="35">
        <f>IF(M545&gt;O545,+M545-O545,0)</f>
        <v>0</v>
      </c>
      <c r="Q545" s="71">
        <v>18</v>
      </c>
      <c r="R545" s="97">
        <f>+Q545</f>
        <v>18</v>
      </c>
    </row>
    <row r="546" spans="2:18" ht="12.75" customHeight="1" x14ac:dyDescent="0.2">
      <c r="B546" s="1">
        <v>85119</v>
      </c>
      <c r="C546" s="35">
        <v>7</v>
      </c>
      <c r="D546" s="35" t="s">
        <v>405</v>
      </c>
      <c r="E546" s="35">
        <v>55</v>
      </c>
      <c r="F546" s="35">
        <v>75</v>
      </c>
      <c r="G546" s="36">
        <f t="shared" si="153"/>
        <v>16.650000000000002</v>
      </c>
      <c r="H546" s="71">
        <v>13</v>
      </c>
      <c r="I546" s="35">
        <v>0</v>
      </c>
      <c r="J546" s="70">
        <v>0</v>
      </c>
      <c r="K546" s="70">
        <v>0</v>
      </c>
      <c r="L546" s="71">
        <v>10</v>
      </c>
      <c r="M546" s="35">
        <v>0</v>
      </c>
      <c r="N546" s="35"/>
      <c r="O546" s="35">
        <f>ROUND((+G546*N546)/100,0)</f>
        <v>0</v>
      </c>
      <c r="P546" s="35">
        <f>IF(M546&gt;O546,+M546-O546,0)</f>
        <v>0</v>
      </c>
      <c r="Q546" s="71">
        <v>0</v>
      </c>
      <c r="R546" s="97">
        <f>+Q546</f>
        <v>0</v>
      </c>
    </row>
    <row r="547" spans="2:18" ht="12.75" customHeight="1" x14ac:dyDescent="0.2">
      <c r="B547" s="1">
        <v>126102</v>
      </c>
      <c r="C547" s="35">
        <v>10</v>
      </c>
      <c r="D547" s="35" t="s">
        <v>197</v>
      </c>
      <c r="E547" s="35">
        <v>81</v>
      </c>
      <c r="F547" s="35">
        <v>138</v>
      </c>
      <c r="G547" s="36">
        <f t="shared" si="153"/>
        <v>30.635999999999999</v>
      </c>
      <c r="H547" s="71">
        <v>17</v>
      </c>
      <c r="I547" s="35">
        <v>0</v>
      </c>
      <c r="J547" s="70">
        <v>0</v>
      </c>
      <c r="K547" s="70">
        <v>0</v>
      </c>
      <c r="L547" s="71">
        <v>18</v>
      </c>
      <c r="M547" s="35">
        <v>0</v>
      </c>
      <c r="N547" s="35"/>
      <c r="O547" s="35">
        <f t="shared" si="154"/>
        <v>0</v>
      </c>
      <c r="P547" s="35">
        <f t="shared" si="155"/>
        <v>0</v>
      </c>
      <c r="Q547" s="71">
        <v>20</v>
      </c>
      <c r="R547" s="97">
        <f t="shared" si="156"/>
        <v>20</v>
      </c>
    </row>
    <row r="548" spans="2:18" ht="12.75" customHeight="1" x14ac:dyDescent="0.2">
      <c r="B548" s="1">
        <v>146102</v>
      </c>
      <c r="C548" s="35">
        <v>17</v>
      </c>
      <c r="D548" s="35" t="s">
        <v>198</v>
      </c>
      <c r="E548" s="35">
        <v>102</v>
      </c>
      <c r="F548" s="35">
        <v>125</v>
      </c>
      <c r="G548" s="36">
        <f t="shared" si="153"/>
        <v>27.75</v>
      </c>
      <c r="H548" s="71">
        <v>10</v>
      </c>
      <c r="I548" s="35">
        <v>0</v>
      </c>
      <c r="J548" s="70">
        <v>0</v>
      </c>
      <c r="K548" s="70">
        <v>0</v>
      </c>
      <c r="L548" s="71">
        <v>12</v>
      </c>
      <c r="M548" s="35">
        <v>0</v>
      </c>
      <c r="N548" s="35"/>
      <c r="O548" s="35">
        <f t="shared" si="154"/>
        <v>0</v>
      </c>
      <c r="P548" s="35">
        <f t="shared" si="155"/>
        <v>0</v>
      </c>
      <c r="Q548" s="71">
        <v>16</v>
      </c>
      <c r="R548" s="97">
        <f t="shared" si="156"/>
        <v>16</v>
      </c>
    </row>
    <row r="549" spans="2:18" s="34" customFormat="1" ht="12.75" customHeight="1" x14ac:dyDescent="0.2">
      <c r="B549" s="1">
        <v>148103</v>
      </c>
      <c r="C549" s="35">
        <v>54</v>
      </c>
      <c r="D549" s="35" t="s">
        <v>199</v>
      </c>
      <c r="E549" s="35">
        <v>51</v>
      </c>
      <c r="F549" s="35">
        <v>66</v>
      </c>
      <c r="G549" s="36">
        <f t="shared" si="153"/>
        <v>14.651999999999999</v>
      </c>
      <c r="H549" s="71">
        <v>10</v>
      </c>
      <c r="I549" s="35">
        <v>0</v>
      </c>
      <c r="J549" s="70">
        <v>0</v>
      </c>
      <c r="K549" s="70">
        <v>0</v>
      </c>
      <c r="L549" s="71">
        <v>0</v>
      </c>
      <c r="M549" s="35">
        <v>0</v>
      </c>
      <c r="N549" s="35"/>
      <c r="O549" s="35">
        <f t="shared" si="154"/>
        <v>0</v>
      </c>
      <c r="P549" s="35">
        <f t="shared" si="155"/>
        <v>0</v>
      </c>
      <c r="Q549" s="71">
        <v>10</v>
      </c>
      <c r="R549" s="97">
        <f t="shared" si="156"/>
        <v>10</v>
      </c>
    </row>
    <row r="550" spans="2:18" s="34" customFormat="1" ht="12.75" customHeight="1" x14ac:dyDescent="0.2">
      <c r="B550" s="1">
        <v>154101</v>
      </c>
      <c r="C550" s="35">
        <v>6</v>
      </c>
      <c r="D550" s="35" t="s">
        <v>200</v>
      </c>
      <c r="E550" s="35">
        <v>35</v>
      </c>
      <c r="F550" s="35">
        <v>54</v>
      </c>
      <c r="G550" s="36">
        <f t="shared" si="153"/>
        <v>11.988</v>
      </c>
      <c r="H550" s="71">
        <v>10</v>
      </c>
      <c r="I550" s="35">
        <v>0</v>
      </c>
      <c r="J550" s="70">
        <v>0</v>
      </c>
      <c r="K550" s="70">
        <v>0</v>
      </c>
      <c r="L550" s="71">
        <v>10</v>
      </c>
      <c r="M550" s="35">
        <v>0</v>
      </c>
      <c r="N550" s="35"/>
      <c r="O550" s="35">
        <f t="shared" si="154"/>
        <v>0</v>
      </c>
      <c r="P550" s="35">
        <f t="shared" si="155"/>
        <v>0</v>
      </c>
      <c r="Q550" s="71">
        <v>10</v>
      </c>
      <c r="R550" s="97">
        <f t="shared" si="156"/>
        <v>10</v>
      </c>
    </row>
    <row r="551" spans="2:18" s="34" customFormat="1" ht="12.75" customHeight="1" x14ac:dyDescent="0.2">
      <c r="B551" s="1">
        <v>159105</v>
      </c>
      <c r="C551" s="35">
        <v>30</v>
      </c>
      <c r="D551" s="35" t="s">
        <v>201</v>
      </c>
      <c r="E551" s="35">
        <v>91</v>
      </c>
      <c r="F551" s="35">
        <v>129</v>
      </c>
      <c r="G551" s="36">
        <f t="shared" si="153"/>
        <v>28.638000000000002</v>
      </c>
      <c r="H551" s="71">
        <v>23</v>
      </c>
      <c r="I551" s="35">
        <v>0</v>
      </c>
      <c r="J551" s="70">
        <v>0</v>
      </c>
      <c r="K551" s="70">
        <v>0</v>
      </c>
      <c r="L551" s="71">
        <v>20</v>
      </c>
      <c r="M551" s="35">
        <v>0</v>
      </c>
      <c r="N551" s="35"/>
      <c r="O551" s="35">
        <f t="shared" ref="O551:O572" si="157">ROUND((+G551*N551)/100,0)</f>
        <v>0</v>
      </c>
      <c r="P551" s="35">
        <f t="shared" ref="P551:P558" si="158">IF(M551&gt;O551,+M551-O551,0)</f>
        <v>0</v>
      </c>
      <c r="Q551" s="71">
        <v>18</v>
      </c>
      <c r="R551" s="97">
        <f t="shared" si="156"/>
        <v>18</v>
      </c>
    </row>
    <row r="552" spans="2:18" s="34" customFormat="1" ht="12.75" customHeight="1" x14ac:dyDescent="0.2">
      <c r="B552" s="1">
        <v>211103</v>
      </c>
      <c r="C552" s="35">
        <v>1</v>
      </c>
      <c r="D552" s="35" t="s">
        <v>202</v>
      </c>
      <c r="E552" s="35">
        <v>43</v>
      </c>
      <c r="F552" s="35">
        <v>57</v>
      </c>
      <c r="G552" s="36">
        <f t="shared" si="153"/>
        <v>12.654000000000002</v>
      </c>
      <c r="H552" s="71">
        <v>11</v>
      </c>
      <c r="I552" s="35">
        <v>0</v>
      </c>
      <c r="J552" s="70">
        <v>0</v>
      </c>
      <c r="K552" s="70">
        <v>0</v>
      </c>
      <c r="L552" s="71">
        <v>9</v>
      </c>
      <c r="M552" s="35">
        <v>0</v>
      </c>
      <c r="N552" s="35"/>
      <c r="O552" s="35">
        <f t="shared" si="157"/>
        <v>0</v>
      </c>
      <c r="P552" s="35">
        <f t="shared" si="158"/>
        <v>0</v>
      </c>
      <c r="Q552" s="71">
        <v>10</v>
      </c>
      <c r="R552" s="97">
        <f t="shared" si="156"/>
        <v>10</v>
      </c>
    </row>
    <row r="553" spans="2:18" s="34" customFormat="1" ht="12.75" customHeight="1" x14ac:dyDescent="0.2">
      <c r="B553" s="229">
        <v>211104</v>
      </c>
      <c r="C553" s="230">
        <v>27</v>
      </c>
      <c r="D553" s="230" t="s">
        <v>402</v>
      </c>
      <c r="E553" s="35">
        <v>49</v>
      </c>
      <c r="F553" s="35">
        <v>74</v>
      </c>
      <c r="G553" s="36">
        <f t="shared" si="153"/>
        <v>16.428000000000004</v>
      </c>
      <c r="H553" s="71">
        <v>8</v>
      </c>
      <c r="I553" s="35">
        <v>0</v>
      </c>
      <c r="J553" s="70">
        <v>0</v>
      </c>
      <c r="K553" s="70">
        <v>0</v>
      </c>
      <c r="L553" s="71">
        <v>0</v>
      </c>
      <c r="M553" s="35">
        <v>0</v>
      </c>
      <c r="N553" s="35"/>
      <c r="O553" s="35">
        <f>ROUND((+G553*N553)/100,0)</f>
        <v>0</v>
      </c>
      <c r="P553" s="35">
        <f>IF(M553&gt;O553,+M553-O553,0)</f>
        <v>0</v>
      </c>
      <c r="Q553" s="71">
        <v>10</v>
      </c>
      <c r="R553" s="97">
        <f>+Q553</f>
        <v>10</v>
      </c>
    </row>
    <row r="554" spans="2:18" s="34" customFormat="1" ht="12.75" customHeight="1" x14ac:dyDescent="0.2">
      <c r="B554" s="1">
        <v>235101</v>
      </c>
      <c r="C554" s="35">
        <v>24</v>
      </c>
      <c r="D554" s="35" t="s">
        <v>203</v>
      </c>
      <c r="E554" s="35">
        <v>60</v>
      </c>
      <c r="F554" s="35">
        <v>100</v>
      </c>
      <c r="G554" s="36">
        <f t="shared" si="153"/>
        <v>22.200000000000003</v>
      </c>
      <c r="H554" s="71">
        <v>10</v>
      </c>
      <c r="I554" s="35">
        <v>0</v>
      </c>
      <c r="J554" s="70">
        <v>0</v>
      </c>
      <c r="K554" s="70">
        <v>0</v>
      </c>
      <c r="L554" s="71">
        <v>15</v>
      </c>
      <c r="M554" s="35">
        <v>0</v>
      </c>
      <c r="N554" s="35"/>
      <c r="O554" s="35">
        <f t="shared" si="157"/>
        <v>0</v>
      </c>
      <c r="P554" s="35">
        <f t="shared" si="158"/>
        <v>0</v>
      </c>
      <c r="Q554" s="71">
        <v>12</v>
      </c>
      <c r="R554" s="97">
        <f t="shared" si="156"/>
        <v>12</v>
      </c>
    </row>
    <row r="555" spans="2:18" s="34" customFormat="1" ht="12.75" customHeight="1" x14ac:dyDescent="0.2">
      <c r="B555" s="1">
        <v>236102</v>
      </c>
      <c r="C555" s="35">
        <v>11</v>
      </c>
      <c r="D555" s="35" t="s">
        <v>204</v>
      </c>
      <c r="E555" s="35">
        <v>41</v>
      </c>
      <c r="F555" s="35">
        <v>55</v>
      </c>
      <c r="G555" s="36">
        <f t="shared" si="153"/>
        <v>12.21</v>
      </c>
      <c r="H555" s="71">
        <v>10</v>
      </c>
      <c r="I555" s="35">
        <v>0</v>
      </c>
      <c r="J555" s="70">
        <v>0</v>
      </c>
      <c r="K555" s="70">
        <v>0</v>
      </c>
      <c r="L555" s="71">
        <v>8</v>
      </c>
      <c r="M555" s="35">
        <v>0</v>
      </c>
      <c r="N555" s="35"/>
      <c r="O555" s="35">
        <f t="shared" si="157"/>
        <v>0</v>
      </c>
      <c r="P555" s="35">
        <f t="shared" si="158"/>
        <v>0</v>
      </c>
      <c r="Q555" s="71">
        <v>0</v>
      </c>
      <c r="R555" s="97">
        <f t="shared" si="156"/>
        <v>0</v>
      </c>
    </row>
    <row r="556" spans="2:18" s="34" customFormat="1" ht="12.75" customHeight="1" x14ac:dyDescent="0.2">
      <c r="B556" s="1">
        <v>263101</v>
      </c>
      <c r="C556" s="35">
        <v>49</v>
      </c>
      <c r="D556" s="35" t="s">
        <v>205</v>
      </c>
      <c r="E556" s="35">
        <v>125</v>
      </c>
      <c r="F556" s="35">
        <v>166</v>
      </c>
      <c r="G556" s="36">
        <f t="shared" si="153"/>
        <v>36.852000000000004</v>
      </c>
      <c r="H556" s="71">
        <v>10</v>
      </c>
      <c r="I556" s="35">
        <v>0</v>
      </c>
      <c r="J556" s="70">
        <v>0</v>
      </c>
      <c r="K556" s="70">
        <v>0</v>
      </c>
      <c r="L556" s="71">
        <v>15</v>
      </c>
      <c r="M556" s="35">
        <v>0</v>
      </c>
      <c r="N556" s="35"/>
      <c r="O556" s="35">
        <f t="shared" si="157"/>
        <v>0</v>
      </c>
      <c r="P556" s="35">
        <f t="shared" si="158"/>
        <v>0</v>
      </c>
      <c r="Q556" s="71">
        <v>20</v>
      </c>
      <c r="R556" s="97">
        <f t="shared" si="156"/>
        <v>20</v>
      </c>
    </row>
    <row r="557" spans="2:18" s="34" customFormat="1" ht="12.75" customHeight="1" x14ac:dyDescent="0.2">
      <c r="B557" s="1">
        <v>289102</v>
      </c>
      <c r="C557" s="35">
        <v>48</v>
      </c>
      <c r="D557" s="35" t="s">
        <v>206</v>
      </c>
      <c r="E557" s="35">
        <v>36</v>
      </c>
      <c r="F557" s="35">
        <v>54</v>
      </c>
      <c r="G557" s="36">
        <f t="shared" si="153"/>
        <v>11.988</v>
      </c>
      <c r="H557" s="71">
        <v>9</v>
      </c>
      <c r="I557" s="35">
        <v>0</v>
      </c>
      <c r="J557" s="70">
        <v>0</v>
      </c>
      <c r="K557" s="70">
        <v>0</v>
      </c>
      <c r="L557" s="71">
        <v>9</v>
      </c>
      <c r="M557" s="35">
        <v>0</v>
      </c>
      <c r="N557" s="35"/>
      <c r="O557" s="35">
        <f t="shared" si="157"/>
        <v>0</v>
      </c>
      <c r="P557" s="35">
        <f t="shared" si="158"/>
        <v>0</v>
      </c>
      <c r="Q557" s="71">
        <v>6</v>
      </c>
      <c r="R557" s="97">
        <f t="shared" si="156"/>
        <v>6</v>
      </c>
    </row>
    <row r="558" spans="2:18" s="34" customFormat="1" ht="12.75" customHeight="1" x14ac:dyDescent="0.2">
      <c r="B558" s="1">
        <v>291101</v>
      </c>
      <c r="C558" s="35">
        <v>13</v>
      </c>
      <c r="D558" s="35" t="s">
        <v>207</v>
      </c>
      <c r="E558" s="35">
        <v>53</v>
      </c>
      <c r="F558" s="35">
        <v>86</v>
      </c>
      <c r="G558" s="36">
        <f t="shared" si="153"/>
        <v>19.091999999999999</v>
      </c>
      <c r="H558" s="71">
        <v>10</v>
      </c>
      <c r="I558" s="35">
        <v>0</v>
      </c>
      <c r="J558" s="70">
        <v>0</v>
      </c>
      <c r="K558" s="70">
        <v>0</v>
      </c>
      <c r="L558" s="71">
        <v>10</v>
      </c>
      <c r="M558" s="35">
        <v>0</v>
      </c>
      <c r="N558" s="35"/>
      <c r="O558" s="35">
        <f t="shared" si="157"/>
        <v>0</v>
      </c>
      <c r="P558" s="35">
        <f t="shared" si="158"/>
        <v>0</v>
      </c>
      <c r="Q558" s="71">
        <v>13</v>
      </c>
      <c r="R558" s="97">
        <f t="shared" si="156"/>
        <v>13</v>
      </c>
    </row>
    <row r="559" spans="2:18" s="34" customFormat="1" ht="12.75" customHeight="1" x14ac:dyDescent="0.2">
      <c r="B559" s="1">
        <v>291102</v>
      </c>
      <c r="C559" s="35">
        <v>53</v>
      </c>
      <c r="D559" s="35" t="s">
        <v>208</v>
      </c>
      <c r="E559" s="35">
        <v>116</v>
      </c>
      <c r="F559" s="35">
        <v>164</v>
      </c>
      <c r="G559" s="36">
        <f t="shared" si="153"/>
        <v>36.408000000000001</v>
      </c>
      <c r="H559" s="71">
        <v>22</v>
      </c>
      <c r="I559" s="35">
        <v>0</v>
      </c>
      <c r="J559" s="70">
        <v>0</v>
      </c>
      <c r="K559" s="70">
        <v>0</v>
      </c>
      <c r="L559" s="71">
        <v>20</v>
      </c>
      <c r="M559" s="35">
        <v>0</v>
      </c>
      <c r="N559" s="35"/>
      <c r="O559" s="35">
        <f t="shared" si="157"/>
        <v>0</v>
      </c>
      <c r="P559" s="35">
        <v>0</v>
      </c>
      <c r="Q559" s="71">
        <v>20</v>
      </c>
      <c r="R559" s="97">
        <f t="shared" si="156"/>
        <v>20</v>
      </c>
    </row>
    <row r="560" spans="2:18" s="34" customFormat="1" ht="12.75" customHeight="1" x14ac:dyDescent="0.2">
      <c r="B560" s="1">
        <v>306103</v>
      </c>
      <c r="C560" s="35">
        <v>134</v>
      </c>
      <c r="D560" s="35" t="s">
        <v>209</v>
      </c>
      <c r="E560" s="35">
        <v>58</v>
      </c>
      <c r="F560" s="35">
        <v>88</v>
      </c>
      <c r="G560" s="36">
        <f t="shared" si="153"/>
        <v>19.536000000000001</v>
      </c>
      <c r="H560" s="71">
        <v>12</v>
      </c>
      <c r="I560" s="35">
        <v>0</v>
      </c>
      <c r="J560" s="70">
        <v>0</v>
      </c>
      <c r="K560" s="70">
        <v>0</v>
      </c>
      <c r="L560" s="71">
        <v>13</v>
      </c>
      <c r="M560" s="35">
        <v>0</v>
      </c>
      <c r="N560" s="35"/>
      <c r="O560" s="35">
        <f t="shared" si="157"/>
        <v>0</v>
      </c>
      <c r="P560" s="35">
        <f t="shared" ref="P560:P572" si="159">IF(M560&gt;O560,+M560-O560,0)</f>
        <v>0</v>
      </c>
      <c r="Q560" s="71">
        <v>15</v>
      </c>
      <c r="R560" s="97">
        <f t="shared" si="156"/>
        <v>15</v>
      </c>
    </row>
    <row r="561" spans="2:21" s="34" customFormat="1" ht="12.75" customHeight="1" x14ac:dyDescent="0.2">
      <c r="B561" s="1">
        <v>344101</v>
      </c>
      <c r="C561" s="35">
        <v>8</v>
      </c>
      <c r="D561" s="35" t="s">
        <v>210</v>
      </c>
      <c r="E561" s="35">
        <v>80</v>
      </c>
      <c r="F561" s="35">
        <v>101</v>
      </c>
      <c r="G561" s="36">
        <f t="shared" si="153"/>
        <v>22.422000000000001</v>
      </c>
      <c r="H561" s="71">
        <v>18</v>
      </c>
      <c r="I561" s="35">
        <v>0</v>
      </c>
      <c r="J561" s="70">
        <v>0</v>
      </c>
      <c r="K561" s="70">
        <v>0</v>
      </c>
      <c r="L561" s="71">
        <v>15</v>
      </c>
      <c r="M561" s="35">
        <v>0</v>
      </c>
      <c r="N561" s="35"/>
      <c r="O561" s="35">
        <f t="shared" si="157"/>
        <v>0</v>
      </c>
      <c r="P561" s="35">
        <f t="shared" si="159"/>
        <v>0</v>
      </c>
      <c r="Q561" s="71">
        <v>8</v>
      </c>
      <c r="R561" s="97">
        <f t="shared" si="156"/>
        <v>8</v>
      </c>
    </row>
    <row r="562" spans="2:21" s="34" customFormat="1" ht="12.75" customHeight="1" x14ac:dyDescent="0.2">
      <c r="B562" s="1">
        <v>347102</v>
      </c>
      <c r="C562" s="35">
        <v>45</v>
      </c>
      <c r="D562" s="35" t="s">
        <v>441</v>
      </c>
      <c r="E562" s="35">
        <v>80</v>
      </c>
      <c r="F562" s="35">
        <v>105</v>
      </c>
      <c r="G562" s="36">
        <f t="shared" si="153"/>
        <v>23.310000000000002</v>
      </c>
      <c r="H562" s="71">
        <v>15</v>
      </c>
      <c r="I562" s="35">
        <v>0</v>
      </c>
      <c r="J562" s="70">
        <v>0</v>
      </c>
      <c r="K562" s="70">
        <v>0</v>
      </c>
      <c r="L562" s="71">
        <v>13</v>
      </c>
      <c r="M562" s="35">
        <v>0</v>
      </c>
      <c r="N562" s="35"/>
      <c r="O562" s="35">
        <f>ROUND((+G562*N562)/100,0)</f>
        <v>0</v>
      </c>
      <c r="P562" s="35">
        <f>IF(M562&gt;O562,+M562-O562,0)</f>
        <v>0</v>
      </c>
      <c r="Q562" s="71">
        <v>13</v>
      </c>
      <c r="R562" s="97">
        <f>+Q562</f>
        <v>13</v>
      </c>
    </row>
    <row r="563" spans="2:21" s="34" customFormat="1" ht="12.75" customHeight="1" x14ac:dyDescent="0.2">
      <c r="B563" s="1">
        <v>347103</v>
      </c>
      <c r="C563" s="35">
        <v>26</v>
      </c>
      <c r="D563" s="35" t="s">
        <v>471</v>
      </c>
      <c r="E563" s="35">
        <v>126</v>
      </c>
      <c r="F563" s="35">
        <v>164</v>
      </c>
      <c r="G563" s="36">
        <f t="shared" ref="G563" si="160">F563*0.666*24/72</f>
        <v>36.408000000000001</v>
      </c>
      <c r="H563" s="71">
        <v>0</v>
      </c>
      <c r="I563" s="35">
        <v>0</v>
      </c>
      <c r="J563" s="70">
        <v>0</v>
      </c>
      <c r="K563" s="70">
        <v>0</v>
      </c>
      <c r="L563" s="71">
        <v>30</v>
      </c>
      <c r="M563" s="35">
        <v>0</v>
      </c>
      <c r="N563" s="35"/>
      <c r="O563" s="35">
        <f>ROUND((+G563*N563)/100,0)</f>
        <v>0</v>
      </c>
      <c r="P563" s="35">
        <f>IF(M563&gt;O563,+M563-O563,0)</f>
        <v>0</v>
      </c>
      <c r="Q563" s="71">
        <v>30</v>
      </c>
      <c r="R563" s="97">
        <f>+Q563</f>
        <v>30</v>
      </c>
    </row>
    <row r="564" spans="2:21" s="34" customFormat="1" ht="12.75" customHeight="1" x14ac:dyDescent="0.2">
      <c r="B564" s="1">
        <v>351103</v>
      </c>
      <c r="C564" s="35">
        <v>16</v>
      </c>
      <c r="D564" s="35" t="s">
        <v>211</v>
      </c>
      <c r="E564" s="35">
        <v>65</v>
      </c>
      <c r="F564" s="35">
        <v>120</v>
      </c>
      <c r="G564" s="36">
        <f t="shared" si="153"/>
        <v>26.64</v>
      </c>
      <c r="H564" s="71">
        <v>20</v>
      </c>
      <c r="I564" s="35">
        <v>0</v>
      </c>
      <c r="J564" s="70">
        <v>0</v>
      </c>
      <c r="K564" s="70">
        <v>0</v>
      </c>
      <c r="L564" s="71">
        <v>20</v>
      </c>
      <c r="M564" s="35">
        <v>0</v>
      </c>
      <c r="N564" s="35"/>
      <c r="O564" s="35">
        <f t="shared" si="157"/>
        <v>0</v>
      </c>
      <c r="P564" s="35">
        <f t="shared" si="159"/>
        <v>0</v>
      </c>
      <c r="Q564" s="71">
        <v>18</v>
      </c>
      <c r="R564" s="97">
        <f t="shared" si="156"/>
        <v>18</v>
      </c>
    </row>
    <row r="565" spans="2:21" s="34" customFormat="1" ht="12.75" customHeight="1" x14ac:dyDescent="0.2">
      <c r="B565" s="1">
        <v>351104</v>
      </c>
      <c r="C565" s="35">
        <v>38</v>
      </c>
      <c r="D565" s="35" t="s">
        <v>393</v>
      </c>
      <c r="E565" s="35">
        <v>90</v>
      </c>
      <c r="F565" s="35">
        <v>143</v>
      </c>
      <c r="G565" s="36">
        <f t="shared" si="153"/>
        <v>31.745999999999999</v>
      </c>
      <c r="H565" s="71">
        <v>18</v>
      </c>
      <c r="I565" s="35">
        <v>0</v>
      </c>
      <c r="J565" s="70">
        <v>0</v>
      </c>
      <c r="K565" s="70">
        <v>0</v>
      </c>
      <c r="L565" s="71">
        <v>19</v>
      </c>
      <c r="M565" s="35">
        <v>0</v>
      </c>
      <c r="N565" s="35"/>
      <c r="O565" s="35">
        <f>ROUND((+G565*N565)/100,0)</f>
        <v>0</v>
      </c>
      <c r="P565" s="35">
        <f>IF(M565&gt;O565,+M565-O565,0)</f>
        <v>0</v>
      </c>
      <c r="Q565" s="71">
        <v>20</v>
      </c>
      <c r="R565" s="97">
        <f>+Q565</f>
        <v>20</v>
      </c>
    </row>
    <row r="566" spans="2:21" s="34" customFormat="1" ht="12.75" customHeight="1" x14ac:dyDescent="0.2">
      <c r="B566" s="1">
        <v>366102</v>
      </c>
      <c r="C566" s="35">
        <v>14</v>
      </c>
      <c r="D566" s="35" t="s">
        <v>212</v>
      </c>
      <c r="E566" s="35">
        <v>52</v>
      </c>
      <c r="F566" s="35">
        <v>90</v>
      </c>
      <c r="G566" s="36">
        <f t="shared" si="153"/>
        <v>19.980000000000004</v>
      </c>
      <c r="H566" s="71">
        <v>16</v>
      </c>
      <c r="I566" s="35">
        <v>0</v>
      </c>
      <c r="J566" s="70">
        <v>0</v>
      </c>
      <c r="K566" s="70">
        <v>0</v>
      </c>
      <c r="L566" s="71">
        <v>16</v>
      </c>
      <c r="M566" s="35">
        <v>0</v>
      </c>
      <c r="N566" s="35"/>
      <c r="O566" s="35">
        <f t="shared" si="157"/>
        <v>0</v>
      </c>
      <c r="P566" s="35">
        <f t="shared" si="159"/>
        <v>0</v>
      </c>
      <c r="Q566" s="71">
        <v>16</v>
      </c>
      <c r="R566" s="97">
        <f t="shared" si="156"/>
        <v>16</v>
      </c>
    </row>
    <row r="567" spans="2:21" s="34" customFormat="1" ht="12.75" customHeight="1" x14ac:dyDescent="0.2">
      <c r="B567" s="1">
        <v>384102</v>
      </c>
      <c r="C567" s="35">
        <v>15</v>
      </c>
      <c r="D567" s="35" t="s">
        <v>213</v>
      </c>
      <c r="E567" s="35">
        <v>82</v>
      </c>
      <c r="F567" s="35">
        <v>102</v>
      </c>
      <c r="G567" s="36">
        <f t="shared" si="153"/>
        <v>22.643999999999998</v>
      </c>
      <c r="H567" s="71">
        <v>10</v>
      </c>
      <c r="I567" s="35">
        <v>0</v>
      </c>
      <c r="J567" s="70">
        <v>0</v>
      </c>
      <c r="K567" s="70">
        <v>0</v>
      </c>
      <c r="L567" s="71">
        <v>12</v>
      </c>
      <c r="M567" s="35">
        <v>0</v>
      </c>
      <c r="N567" s="35"/>
      <c r="O567" s="35">
        <f t="shared" si="157"/>
        <v>0</v>
      </c>
      <c r="P567" s="35">
        <f t="shared" si="159"/>
        <v>0</v>
      </c>
      <c r="Q567" s="71">
        <v>12</v>
      </c>
      <c r="R567" s="97">
        <f t="shared" si="156"/>
        <v>12</v>
      </c>
    </row>
    <row r="568" spans="2:21" s="34" customFormat="1" ht="12.75" customHeight="1" x14ac:dyDescent="0.2">
      <c r="B568" s="1">
        <v>391103</v>
      </c>
      <c r="C568" s="35">
        <v>43</v>
      </c>
      <c r="D568" s="35" t="s">
        <v>214</v>
      </c>
      <c r="E568" s="35">
        <v>57</v>
      </c>
      <c r="F568" s="35">
        <v>70</v>
      </c>
      <c r="G568" s="36">
        <f t="shared" si="153"/>
        <v>15.540000000000001</v>
      </c>
      <c r="H568" s="71">
        <v>12</v>
      </c>
      <c r="I568" s="35">
        <v>0</v>
      </c>
      <c r="J568" s="70">
        <v>0</v>
      </c>
      <c r="K568" s="70">
        <v>0</v>
      </c>
      <c r="L568" s="71">
        <v>12</v>
      </c>
      <c r="M568" s="35">
        <v>0</v>
      </c>
      <c r="N568" s="35"/>
      <c r="O568" s="35">
        <f t="shared" si="157"/>
        <v>0</v>
      </c>
      <c r="P568" s="35">
        <f t="shared" si="159"/>
        <v>0</v>
      </c>
      <c r="Q568" s="71">
        <v>12</v>
      </c>
      <c r="R568" s="97">
        <f t="shared" si="156"/>
        <v>12</v>
      </c>
    </row>
    <row r="569" spans="2:21" s="34" customFormat="1" ht="12.75" customHeight="1" x14ac:dyDescent="0.2">
      <c r="B569" s="1">
        <v>424102</v>
      </c>
      <c r="C569" s="35">
        <v>52</v>
      </c>
      <c r="D569" s="35" t="s">
        <v>215</v>
      </c>
      <c r="E569" s="35">
        <v>60</v>
      </c>
      <c r="F569" s="35">
        <v>84</v>
      </c>
      <c r="G569" s="36">
        <f t="shared" si="153"/>
        <v>18.648</v>
      </c>
      <c r="H569" s="71">
        <v>10</v>
      </c>
      <c r="I569" s="35">
        <v>0</v>
      </c>
      <c r="J569" s="70">
        <v>0</v>
      </c>
      <c r="K569" s="70">
        <v>0</v>
      </c>
      <c r="L569" s="71">
        <v>10</v>
      </c>
      <c r="M569" s="35">
        <v>0</v>
      </c>
      <c r="N569" s="35"/>
      <c r="O569" s="35">
        <f t="shared" si="157"/>
        <v>0</v>
      </c>
      <c r="P569" s="35">
        <f t="shared" si="159"/>
        <v>0</v>
      </c>
      <c r="Q569" s="71">
        <v>8</v>
      </c>
      <c r="R569" s="97">
        <f t="shared" si="156"/>
        <v>8</v>
      </c>
    </row>
    <row r="570" spans="2:21" s="34" customFormat="1" ht="12.75" customHeight="1" x14ac:dyDescent="0.2">
      <c r="B570" s="1">
        <v>424104</v>
      </c>
      <c r="C570" s="35">
        <v>57</v>
      </c>
      <c r="D570" s="35" t="s">
        <v>401</v>
      </c>
      <c r="E570" s="35">
        <v>97</v>
      </c>
      <c r="F570" s="35">
        <v>128</v>
      </c>
      <c r="G570" s="36">
        <f t="shared" si="153"/>
        <v>28.416000000000004</v>
      </c>
      <c r="H570" s="71">
        <v>15</v>
      </c>
      <c r="I570" s="35">
        <v>0</v>
      </c>
      <c r="J570" s="70">
        <v>0</v>
      </c>
      <c r="K570" s="70">
        <v>0</v>
      </c>
      <c r="L570" s="71">
        <v>15</v>
      </c>
      <c r="M570" s="35">
        <v>0</v>
      </c>
      <c r="N570" s="35"/>
      <c r="O570" s="35">
        <f>ROUND((+G570*N570)/100,0)</f>
        <v>0</v>
      </c>
      <c r="P570" s="35">
        <f>IF(M570&gt;O570,+M570-O570,0)</f>
        <v>0</v>
      </c>
      <c r="Q570" s="71">
        <v>10</v>
      </c>
      <c r="R570" s="97">
        <f>+Q570</f>
        <v>10</v>
      </c>
    </row>
    <row r="571" spans="2:21" s="34" customFormat="1" ht="12.75" customHeight="1" x14ac:dyDescent="0.2">
      <c r="B571" s="1">
        <v>512101</v>
      </c>
      <c r="C571" s="35">
        <v>61</v>
      </c>
      <c r="D571" s="35" t="s">
        <v>216</v>
      </c>
      <c r="E571" s="35">
        <v>49</v>
      </c>
      <c r="F571" s="35">
        <v>56</v>
      </c>
      <c r="G571" s="36">
        <f t="shared" si="153"/>
        <v>12.432</v>
      </c>
      <c r="H571" s="71">
        <v>10</v>
      </c>
      <c r="I571" s="35">
        <v>0</v>
      </c>
      <c r="J571" s="70">
        <v>0</v>
      </c>
      <c r="K571" s="70">
        <v>0</v>
      </c>
      <c r="L571" s="71">
        <v>11</v>
      </c>
      <c r="M571" s="35">
        <v>0</v>
      </c>
      <c r="N571" s="35"/>
      <c r="O571" s="35">
        <f t="shared" si="157"/>
        <v>0</v>
      </c>
      <c r="P571" s="35">
        <f t="shared" si="159"/>
        <v>0</v>
      </c>
      <c r="Q571" s="71">
        <v>10</v>
      </c>
      <c r="R571" s="97">
        <f t="shared" si="156"/>
        <v>10</v>
      </c>
    </row>
    <row r="572" spans="2:21" s="34" customFormat="1" ht="12.75" customHeight="1" x14ac:dyDescent="0.2">
      <c r="B572" s="1">
        <v>538101</v>
      </c>
      <c r="C572" s="35">
        <v>25</v>
      </c>
      <c r="D572" s="35" t="s">
        <v>217</v>
      </c>
      <c r="E572" s="35">
        <v>79</v>
      </c>
      <c r="F572" s="35">
        <v>157</v>
      </c>
      <c r="G572" s="36">
        <f t="shared" si="153"/>
        <v>34.854000000000006</v>
      </c>
      <c r="H572" s="71">
        <v>20</v>
      </c>
      <c r="I572" s="35">
        <v>0</v>
      </c>
      <c r="J572" s="70">
        <v>0</v>
      </c>
      <c r="K572" s="70">
        <v>0</v>
      </c>
      <c r="L572" s="71">
        <v>25</v>
      </c>
      <c r="M572" s="35">
        <v>0</v>
      </c>
      <c r="N572" s="35"/>
      <c r="O572" s="35">
        <f t="shared" si="157"/>
        <v>0</v>
      </c>
      <c r="P572" s="35">
        <f t="shared" si="159"/>
        <v>0</v>
      </c>
      <c r="Q572" s="71">
        <v>25</v>
      </c>
      <c r="R572" s="97">
        <f t="shared" si="156"/>
        <v>25</v>
      </c>
    </row>
    <row r="573" spans="2:21" s="34" customFormat="1" ht="12.75" customHeight="1" x14ac:dyDescent="0.2">
      <c r="B573" s="114"/>
      <c r="C573" s="115"/>
      <c r="D573" s="115"/>
      <c r="E573" s="115"/>
      <c r="F573" s="41"/>
      <c r="G573" s="41"/>
      <c r="H573" s="41"/>
      <c r="I573" s="41"/>
      <c r="J573" s="42"/>
      <c r="K573" s="42"/>
      <c r="L573" s="41"/>
      <c r="M573" s="41"/>
      <c r="N573" s="41"/>
      <c r="O573" s="41"/>
      <c r="P573" s="41"/>
      <c r="Q573" s="251"/>
      <c r="R573" s="86"/>
    </row>
    <row r="574" spans="2:21" s="34" customFormat="1" ht="12.75" customHeight="1" x14ac:dyDescent="0.2">
      <c r="B574" s="172" t="s">
        <v>37</v>
      </c>
      <c r="C574" s="173"/>
      <c r="D574" s="173">
        <f>COUNTA(B542:B572)</f>
        <v>31</v>
      </c>
      <c r="E574" s="88">
        <f t="shared" ref="E574:R574" si="161">SUM(E542:E572)</f>
        <v>2461</v>
      </c>
      <c r="F574" s="88">
        <f t="shared" si="161"/>
        <v>3592</v>
      </c>
      <c r="G574" s="88">
        <f t="shared" si="161"/>
        <v>797.42400000000009</v>
      </c>
      <c r="H574" s="88">
        <f t="shared" si="161"/>
        <v>379</v>
      </c>
      <c r="I574" s="88">
        <f t="shared" si="161"/>
        <v>0</v>
      </c>
      <c r="J574" s="88">
        <f t="shared" si="161"/>
        <v>0</v>
      </c>
      <c r="K574" s="88">
        <f t="shared" si="161"/>
        <v>0</v>
      </c>
      <c r="L574" s="88">
        <f t="shared" si="161"/>
        <v>521</v>
      </c>
      <c r="M574" s="88">
        <f t="shared" si="161"/>
        <v>0</v>
      </c>
      <c r="N574" s="88">
        <f t="shared" si="161"/>
        <v>0</v>
      </c>
      <c r="O574" s="88">
        <f t="shared" si="161"/>
        <v>0</v>
      </c>
      <c r="P574" s="88">
        <f t="shared" si="161"/>
        <v>0</v>
      </c>
      <c r="Q574" s="249">
        <f t="shared" si="161"/>
        <v>456</v>
      </c>
      <c r="R574" s="88">
        <f t="shared" si="161"/>
        <v>456</v>
      </c>
      <c r="T574" s="185"/>
      <c r="U574" s="185"/>
    </row>
    <row r="575" spans="2:21" s="34" customFormat="1" ht="16.5" customHeight="1" x14ac:dyDescent="0.2">
      <c r="B575" s="50" t="s">
        <v>482</v>
      </c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2"/>
      <c r="O575" s="52"/>
      <c r="P575" s="52"/>
      <c r="Q575" s="246"/>
      <c r="R575" s="53"/>
      <c r="T575" s="185"/>
    </row>
    <row r="576" spans="2:21" ht="12.75" customHeight="1" x14ac:dyDescent="0.2">
      <c r="B576" s="217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37"/>
      <c r="N576" s="56"/>
      <c r="O576" s="56"/>
      <c r="P576" s="56"/>
      <c r="Q576" s="247" t="s">
        <v>39</v>
      </c>
      <c r="R576" s="96">
        <f>R574+R575</f>
        <v>456</v>
      </c>
      <c r="T576" s="185"/>
    </row>
    <row r="577" spans="2:18" ht="12.75" customHeight="1" x14ac:dyDescent="0.2">
      <c r="B577" s="242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136"/>
      <c r="N577" s="56"/>
      <c r="O577" s="56"/>
      <c r="P577" s="56"/>
      <c r="Q577" s="104"/>
      <c r="R577" s="59"/>
    </row>
    <row r="578" spans="2:18" ht="12.75" customHeight="1" x14ac:dyDescent="0.2">
      <c r="B578" s="242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136"/>
      <c r="N578" s="56"/>
      <c r="O578" s="56"/>
      <c r="P578" s="56"/>
      <c r="Q578" s="258"/>
      <c r="R578" s="59"/>
    </row>
    <row r="579" spans="2:18" ht="12.75" customHeight="1" x14ac:dyDescent="0.2">
      <c r="B579" s="21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9"/>
      <c r="N579" s="56"/>
      <c r="O579" s="56"/>
      <c r="P579" s="56"/>
      <c r="Q579" s="258"/>
      <c r="R579" s="59"/>
    </row>
    <row r="580" spans="2:18" ht="12" customHeight="1" x14ac:dyDescent="0.2">
      <c r="B580" s="80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260"/>
      <c r="R580" s="59"/>
    </row>
    <row r="581" spans="2:18" ht="12.75" customHeight="1" x14ac:dyDescent="0.2">
      <c r="B581" s="63"/>
      <c r="C581" s="64" t="s">
        <v>218</v>
      </c>
      <c r="D581" s="65"/>
      <c r="E581" s="65"/>
      <c r="F581" s="32"/>
      <c r="G581" s="32"/>
      <c r="H581" s="66"/>
      <c r="I581" s="32"/>
      <c r="J581" s="66"/>
      <c r="K581" s="66"/>
      <c r="L581" s="66"/>
      <c r="M581" s="32"/>
      <c r="N581" s="32"/>
      <c r="O581" s="32"/>
      <c r="P581" s="32"/>
      <c r="Q581" s="261"/>
      <c r="R581" s="32"/>
    </row>
    <row r="582" spans="2:18" ht="12.75" customHeight="1" x14ac:dyDescent="0.2">
      <c r="B582" s="63"/>
      <c r="C582" s="32"/>
      <c r="D582" s="32"/>
      <c r="E582" s="32"/>
      <c r="F582" s="32"/>
      <c r="G582" s="59"/>
      <c r="H582" s="32"/>
      <c r="I582" s="32"/>
      <c r="J582" s="66"/>
      <c r="K582" s="66"/>
      <c r="L582" s="32"/>
      <c r="M582" s="32"/>
      <c r="N582" s="32"/>
      <c r="O582" s="32"/>
      <c r="P582" s="32"/>
      <c r="Q582" s="35"/>
      <c r="R582" s="36"/>
    </row>
    <row r="583" spans="2:18" ht="12.75" customHeight="1" x14ac:dyDescent="0.2">
      <c r="B583" s="30"/>
      <c r="C583" s="31"/>
      <c r="D583" s="31"/>
      <c r="E583" s="31"/>
      <c r="F583" s="31"/>
      <c r="G583" s="67"/>
      <c r="H583" s="31"/>
      <c r="I583" s="31"/>
      <c r="J583" s="68"/>
      <c r="K583" s="68"/>
      <c r="L583" s="31"/>
      <c r="M583" s="31"/>
      <c r="N583" s="31"/>
      <c r="O583" s="31"/>
      <c r="P583" s="31"/>
      <c r="Q583" s="77"/>
      <c r="R583" s="69"/>
    </row>
    <row r="584" spans="2:18" ht="12.75" customHeight="1" x14ac:dyDescent="0.2">
      <c r="B584" s="2">
        <v>159106</v>
      </c>
      <c r="C584" s="32">
        <v>27</v>
      </c>
      <c r="D584" s="32" t="s">
        <v>219</v>
      </c>
      <c r="E584" s="35">
        <v>72</v>
      </c>
      <c r="F584" s="35">
        <v>94</v>
      </c>
      <c r="G584" s="36">
        <f t="shared" ref="G584:G596" si="162">F584*0.666*24/72</f>
        <v>20.868000000000002</v>
      </c>
      <c r="H584" s="70">
        <v>16</v>
      </c>
      <c r="I584" s="32">
        <v>0</v>
      </c>
      <c r="J584" s="39">
        <v>0</v>
      </c>
      <c r="K584" s="39">
        <v>0</v>
      </c>
      <c r="L584" s="70">
        <v>18</v>
      </c>
      <c r="M584" s="32">
        <v>0</v>
      </c>
      <c r="N584" s="32"/>
      <c r="O584" s="35">
        <f t="shared" ref="O584:O596" si="163">ROUND((+G584*N584)/100,0)</f>
        <v>0</v>
      </c>
      <c r="P584" s="32">
        <v>0</v>
      </c>
      <c r="Q584" s="70">
        <v>18</v>
      </c>
      <c r="R584" s="37">
        <f t="shared" ref="R584:R596" si="164">+Q584</f>
        <v>18</v>
      </c>
    </row>
    <row r="585" spans="2:18" ht="12.75" customHeight="1" x14ac:dyDescent="0.2">
      <c r="B585" s="2">
        <v>159107</v>
      </c>
      <c r="C585" s="32">
        <v>33</v>
      </c>
      <c r="D585" s="32" t="s">
        <v>220</v>
      </c>
      <c r="E585" s="35">
        <v>93</v>
      </c>
      <c r="F585" s="35">
        <v>205</v>
      </c>
      <c r="G585" s="36">
        <f t="shared" si="162"/>
        <v>45.510000000000005</v>
      </c>
      <c r="H585" s="70">
        <v>38</v>
      </c>
      <c r="I585" s="32">
        <v>0</v>
      </c>
      <c r="J585" s="39">
        <v>0</v>
      </c>
      <c r="K585" s="39">
        <v>0</v>
      </c>
      <c r="L585" s="70">
        <v>25</v>
      </c>
      <c r="M585" s="32">
        <v>0</v>
      </c>
      <c r="N585" s="32"/>
      <c r="O585" s="35">
        <f t="shared" si="163"/>
        <v>0</v>
      </c>
      <c r="P585" s="32">
        <v>0</v>
      </c>
      <c r="Q585" s="70">
        <v>32</v>
      </c>
      <c r="R585" s="37">
        <f t="shared" si="164"/>
        <v>32</v>
      </c>
    </row>
    <row r="586" spans="2:18" ht="12.75" customHeight="1" x14ac:dyDescent="0.2">
      <c r="B586" s="2">
        <v>202101</v>
      </c>
      <c r="C586" s="35">
        <v>30</v>
      </c>
      <c r="D586" s="35" t="s">
        <v>221</v>
      </c>
      <c r="E586" s="35">
        <v>73</v>
      </c>
      <c r="F586" s="35">
        <v>124</v>
      </c>
      <c r="G586" s="36">
        <f t="shared" si="162"/>
        <v>27.528000000000002</v>
      </c>
      <c r="H586" s="71">
        <v>18</v>
      </c>
      <c r="I586" s="32">
        <v>0</v>
      </c>
      <c r="J586" s="39">
        <v>0</v>
      </c>
      <c r="K586" s="39">
        <v>0</v>
      </c>
      <c r="L586" s="71">
        <v>15</v>
      </c>
      <c r="M586" s="32">
        <v>0</v>
      </c>
      <c r="N586" s="35"/>
      <c r="O586" s="35">
        <f t="shared" si="163"/>
        <v>0</v>
      </c>
      <c r="P586" s="35">
        <f t="shared" ref="P586:P596" si="165">IF(M586&gt;O586,+M586-O586,0)</f>
        <v>0</v>
      </c>
      <c r="Q586" s="71">
        <v>12</v>
      </c>
      <c r="R586" s="72">
        <f t="shared" si="164"/>
        <v>12</v>
      </c>
    </row>
    <row r="587" spans="2:18" ht="12.75" customHeight="1" x14ac:dyDescent="0.2">
      <c r="B587" s="2">
        <v>202102</v>
      </c>
      <c r="C587" s="35">
        <v>4</v>
      </c>
      <c r="D587" s="35" t="s">
        <v>222</v>
      </c>
      <c r="E587" s="35">
        <v>144</v>
      </c>
      <c r="F587" s="35">
        <v>244</v>
      </c>
      <c r="G587" s="36">
        <f t="shared" si="162"/>
        <v>54.168000000000006</v>
      </c>
      <c r="H587" s="71">
        <v>50</v>
      </c>
      <c r="I587" s="32">
        <v>0</v>
      </c>
      <c r="J587" s="39">
        <v>0</v>
      </c>
      <c r="K587" s="39">
        <v>0</v>
      </c>
      <c r="L587" s="71">
        <v>40</v>
      </c>
      <c r="M587" s="32">
        <v>0</v>
      </c>
      <c r="N587" s="35"/>
      <c r="O587" s="35">
        <f t="shared" si="163"/>
        <v>0</v>
      </c>
      <c r="P587" s="35">
        <f t="shared" si="165"/>
        <v>0</v>
      </c>
      <c r="Q587" s="71">
        <v>35</v>
      </c>
      <c r="R587" s="72">
        <f t="shared" si="164"/>
        <v>35</v>
      </c>
    </row>
    <row r="588" spans="2:18" ht="12.75" customHeight="1" x14ac:dyDescent="0.2">
      <c r="B588" s="2">
        <v>213101</v>
      </c>
      <c r="C588" s="35">
        <v>21</v>
      </c>
      <c r="D588" s="35" t="s">
        <v>223</v>
      </c>
      <c r="E588" s="35">
        <v>135</v>
      </c>
      <c r="F588" s="35">
        <v>214</v>
      </c>
      <c r="G588" s="36">
        <f t="shared" si="162"/>
        <v>47.508000000000003</v>
      </c>
      <c r="H588" s="71">
        <v>10</v>
      </c>
      <c r="I588" s="32">
        <v>0</v>
      </c>
      <c r="J588" s="39">
        <v>0</v>
      </c>
      <c r="K588" s="39">
        <v>0</v>
      </c>
      <c r="L588" s="71">
        <v>25</v>
      </c>
      <c r="M588" s="32">
        <v>0</v>
      </c>
      <c r="N588" s="35"/>
      <c r="O588" s="35">
        <f t="shared" si="163"/>
        <v>0</v>
      </c>
      <c r="P588" s="35">
        <f t="shared" si="165"/>
        <v>0</v>
      </c>
      <c r="Q588" s="71">
        <v>30</v>
      </c>
      <c r="R588" s="72">
        <f t="shared" si="164"/>
        <v>30</v>
      </c>
    </row>
    <row r="589" spans="2:18" ht="12.75" customHeight="1" x14ac:dyDescent="0.2">
      <c r="B589" s="2">
        <v>277101</v>
      </c>
      <c r="C589" s="32">
        <v>19</v>
      </c>
      <c r="D589" s="32" t="s">
        <v>224</v>
      </c>
      <c r="E589" s="35">
        <v>172</v>
      </c>
      <c r="F589" s="35">
        <v>334</v>
      </c>
      <c r="G589" s="36">
        <f t="shared" si="162"/>
        <v>74.14800000000001</v>
      </c>
      <c r="H589" s="140">
        <v>70</v>
      </c>
      <c r="I589" s="32">
        <v>0</v>
      </c>
      <c r="J589" s="39">
        <v>0</v>
      </c>
      <c r="K589" s="39">
        <v>0</v>
      </c>
      <c r="L589" s="140">
        <v>0</v>
      </c>
      <c r="M589" s="32">
        <v>0</v>
      </c>
      <c r="N589" s="32"/>
      <c r="O589" s="35">
        <f t="shared" si="163"/>
        <v>0</v>
      </c>
      <c r="P589" s="32">
        <f t="shared" si="165"/>
        <v>0</v>
      </c>
      <c r="Q589" s="140">
        <v>0</v>
      </c>
      <c r="R589" s="72">
        <f t="shared" si="164"/>
        <v>0</v>
      </c>
    </row>
    <row r="590" spans="2:18" s="34" customFormat="1" ht="12.75" customHeight="1" x14ac:dyDescent="0.2">
      <c r="B590" s="2">
        <v>477101</v>
      </c>
      <c r="C590" s="32">
        <v>12</v>
      </c>
      <c r="D590" s="32" t="s">
        <v>225</v>
      </c>
      <c r="E590" s="35">
        <v>160</v>
      </c>
      <c r="F590" s="35">
        <v>298</v>
      </c>
      <c r="G590" s="36">
        <f t="shared" si="162"/>
        <v>66.156000000000006</v>
      </c>
      <c r="H590" s="71">
        <v>61</v>
      </c>
      <c r="I590" s="32">
        <v>0</v>
      </c>
      <c r="J590" s="39">
        <v>0</v>
      </c>
      <c r="K590" s="39">
        <v>0</v>
      </c>
      <c r="L590" s="71">
        <v>57</v>
      </c>
      <c r="M590" s="32">
        <v>0</v>
      </c>
      <c r="N590" s="35"/>
      <c r="O590" s="35">
        <f t="shared" si="163"/>
        <v>0</v>
      </c>
      <c r="P590" s="35">
        <f t="shared" si="165"/>
        <v>0</v>
      </c>
      <c r="Q590" s="71">
        <v>63</v>
      </c>
      <c r="R590" s="72">
        <f t="shared" si="164"/>
        <v>63</v>
      </c>
    </row>
    <row r="591" spans="2:18" s="34" customFormat="1" ht="12.75" customHeight="1" x14ac:dyDescent="0.2">
      <c r="B591" s="2">
        <v>526101</v>
      </c>
      <c r="C591" s="32">
        <v>9</v>
      </c>
      <c r="D591" s="32" t="s">
        <v>226</v>
      </c>
      <c r="E591" s="35">
        <v>164</v>
      </c>
      <c r="F591" s="35">
        <v>272</v>
      </c>
      <c r="G591" s="36">
        <f t="shared" si="162"/>
        <v>60.384</v>
      </c>
      <c r="H591" s="140">
        <v>50</v>
      </c>
      <c r="I591" s="32">
        <v>0</v>
      </c>
      <c r="J591" s="39">
        <v>0</v>
      </c>
      <c r="K591" s="39">
        <v>0</v>
      </c>
      <c r="L591" s="140">
        <v>40</v>
      </c>
      <c r="M591" s="32">
        <v>0</v>
      </c>
      <c r="N591" s="32"/>
      <c r="O591" s="35">
        <f t="shared" si="163"/>
        <v>0</v>
      </c>
      <c r="P591" s="32">
        <f t="shared" si="165"/>
        <v>0</v>
      </c>
      <c r="Q591" s="140">
        <v>40</v>
      </c>
      <c r="R591" s="72">
        <f t="shared" si="164"/>
        <v>40</v>
      </c>
    </row>
    <row r="592" spans="2:18" s="34" customFormat="1" ht="14.25" customHeight="1" x14ac:dyDescent="0.2">
      <c r="B592" s="2">
        <v>526102</v>
      </c>
      <c r="C592" s="32">
        <v>2</v>
      </c>
      <c r="D592" s="32" t="s">
        <v>227</v>
      </c>
      <c r="E592" s="35">
        <v>185</v>
      </c>
      <c r="F592" s="35">
        <v>255</v>
      </c>
      <c r="G592" s="36">
        <f t="shared" si="162"/>
        <v>56.61</v>
      </c>
      <c r="H592" s="140">
        <v>50</v>
      </c>
      <c r="I592" s="32">
        <v>0</v>
      </c>
      <c r="J592" s="39">
        <v>0</v>
      </c>
      <c r="K592" s="39">
        <v>0</v>
      </c>
      <c r="L592" s="140">
        <v>48</v>
      </c>
      <c r="M592" s="32">
        <v>0</v>
      </c>
      <c r="N592" s="32"/>
      <c r="O592" s="35">
        <f t="shared" si="163"/>
        <v>0</v>
      </c>
      <c r="P592" s="32">
        <f t="shared" si="165"/>
        <v>0</v>
      </c>
      <c r="Q592" s="140">
        <v>38</v>
      </c>
      <c r="R592" s="72">
        <f t="shared" si="164"/>
        <v>38</v>
      </c>
    </row>
    <row r="593" spans="2:18" s="34" customFormat="1" ht="14.25" customHeight="1" x14ac:dyDescent="0.2">
      <c r="B593" s="2">
        <v>526105</v>
      </c>
      <c r="C593" s="32">
        <v>51</v>
      </c>
      <c r="D593" s="32" t="s">
        <v>228</v>
      </c>
      <c r="E593" s="35">
        <v>261</v>
      </c>
      <c r="F593" s="35">
        <v>400</v>
      </c>
      <c r="G593" s="36">
        <f t="shared" si="162"/>
        <v>88.800000000000011</v>
      </c>
      <c r="H593" s="140">
        <v>70</v>
      </c>
      <c r="I593" s="32">
        <v>0</v>
      </c>
      <c r="J593" s="39">
        <v>0</v>
      </c>
      <c r="K593" s="39">
        <v>0</v>
      </c>
      <c r="L593" s="140">
        <v>68</v>
      </c>
      <c r="M593" s="32">
        <v>0</v>
      </c>
      <c r="N593" s="32"/>
      <c r="O593" s="35">
        <f t="shared" si="163"/>
        <v>0</v>
      </c>
      <c r="P593" s="32">
        <f t="shared" si="165"/>
        <v>0</v>
      </c>
      <c r="Q593" s="140">
        <v>65</v>
      </c>
      <c r="R593" s="72">
        <f t="shared" si="164"/>
        <v>65</v>
      </c>
    </row>
    <row r="594" spans="2:18" s="34" customFormat="1" ht="14.25" customHeight="1" x14ac:dyDescent="0.2">
      <c r="B594" s="1">
        <v>526106</v>
      </c>
      <c r="C594" s="35">
        <v>22</v>
      </c>
      <c r="D594" s="35" t="s">
        <v>229</v>
      </c>
      <c r="E594" s="35">
        <v>105</v>
      </c>
      <c r="F594" s="35">
        <v>154</v>
      </c>
      <c r="G594" s="36">
        <f t="shared" si="162"/>
        <v>34.188000000000002</v>
      </c>
      <c r="H594" s="140">
        <v>25</v>
      </c>
      <c r="I594" s="32">
        <v>0</v>
      </c>
      <c r="J594" s="39">
        <v>0</v>
      </c>
      <c r="K594" s="39">
        <v>0</v>
      </c>
      <c r="L594" s="140">
        <v>27</v>
      </c>
      <c r="M594" s="32">
        <v>0</v>
      </c>
      <c r="N594" s="32"/>
      <c r="O594" s="35">
        <f t="shared" si="163"/>
        <v>0</v>
      </c>
      <c r="P594" s="32">
        <f t="shared" si="165"/>
        <v>0</v>
      </c>
      <c r="Q594" s="140">
        <v>29</v>
      </c>
      <c r="R594" s="72">
        <f t="shared" si="164"/>
        <v>29</v>
      </c>
    </row>
    <row r="595" spans="2:18" s="34" customFormat="1" ht="14.25" customHeight="1" x14ac:dyDescent="0.2">
      <c r="B595" s="1">
        <v>526107</v>
      </c>
      <c r="C595" s="35">
        <v>73</v>
      </c>
      <c r="D595" s="35" t="s">
        <v>230</v>
      </c>
      <c r="E595" s="35">
        <v>51</v>
      </c>
      <c r="F595" s="35">
        <v>74</v>
      </c>
      <c r="G595" s="36">
        <f t="shared" ref="G595" si="166">F595*0.666*24/72</f>
        <v>16.428000000000004</v>
      </c>
      <c r="H595" s="140">
        <v>11</v>
      </c>
      <c r="I595" s="32">
        <v>0</v>
      </c>
      <c r="J595" s="39">
        <v>0</v>
      </c>
      <c r="K595" s="39">
        <v>0</v>
      </c>
      <c r="L595" s="140">
        <v>12</v>
      </c>
      <c r="M595" s="32">
        <v>0</v>
      </c>
      <c r="N595" s="32"/>
      <c r="O595" s="35">
        <f t="shared" ref="O595" si="167">ROUND((+G595*N595)/100,0)</f>
        <v>0</v>
      </c>
      <c r="P595" s="32">
        <f t="shared" ref="P595" si="168">IF(M595&gt;O595,+M595-O595,0)</f>
        <v>0</v>
      </c>
      <c r="Q595" s="140">
        <v>0</v>
      </c>
      <c r="R595" s="72">
        <f t="shared" ref="R595" si="169">+Q595</f>
        <v>0</v>
      </c>
    </row>
    <row r="596" spans="2:18" s="34" customFormat="1" ht="14.25" customHeight="1" x14ac:dyDescent="0.2">
      <c r="B596" s="1">
        <v>526108</v>
      </c>
      <c r="C596" s="35">
        <v>20</v>
      </c>
      <c r="D596" s="35" t="s">
        <v>467</v>
      </c>
      <c r="E596" s="35">
        <v>163</v>
      </c>
      <c r="F596" s="35">
        <v>237</v>
      </c>
      <c r="G596" s="36">
        <f t="shared" si="162"/>
        <v>52.614000000000004</v>
      </c>
      <c r="H596" s="140">
        <v>50</v>
      </c>
      <c r="I596" s="32">
        <v>0</v>
      </c>
      <c r="J596" s="39">
        <v>0</v>
      </c>
      <c r="K596" s="39">
        <v>0</v>
      </c>
      <c r="L596" s="140">
        <v>50</v>
      </c>
      <c r="M596" s="32">
        <v>0</v>
      </c>
      <c r="N596" s="32"/>
      <c r="O596" s="35">
        <f t="shared" si="163"/>
        <v>0</v>
      </c>
      <c r="P596" s="32">
        <f t="shared" si="165"/>
        <v>0</v>
      </c>
      <c r="Q596" s="140">
        <v>50</v>
      </c>
      <c r="R596" s="72">
        <f t="shared" si="164"/>
        <v>50</v>
      </c>
    </row>
    <row r="597" spans="2:18" s="34" customFormat="1" ht="14.25" customHeight="1" x14ac:dyDescent="0.2">
      <c r="B597" s="114"/>
      <c r="C597" s="115"/>
      <c r="D597" s="115"/>
      <c r="E597" s="115"/>
      <c r="F597" s="41"/>
      <c r="G597" s="174"/>
      <c r="H597" s="98"/>
      <c r="I597" s="41"/>
      <c r="J597" s="42"/>
      <c r="K597" s="42"/>
      <c r="L597" s="98"/>
      <c r="M597" s="41"/>
      <c r="N597" s="41"/>
      <c r="O597" s="41"/>
      <c r="P597" s="41"/>
      <c r="Q597" s="174"/>
      <c r="R597" s="59"/>
    </row>
    <row r="598" spans="2:18" ht="12.75" customHeight="1" x14ac:dyDescent="0.2">
      <c r="B598" s="46" t="s">
        <v>37</v>
      </c>
      <c r="C598" s="47"/>
      <c r="D598" s="47">
        <f>COUNTA(B584:B596)</f>
        <v>13</v>
      </c>
      <c r="E598" s="88">
        <f>SUM(E584:E596)</f>
        <v>1778</v>
      </c>
      <c r="F598" s="88">
        <f>SUM(F584:F596)</f>
        <v>2905</v>
      </c>
      <c r="G598" s="88">
        <f>SUM(G584:G596)</f>
        <v>644.91000000000008</v>
      </c>
      <c r="H598" s="88">
        <f t="shared" ref="H598:R598" si="170">SUM(H584:H596)</f>
        <v>519</v>
      </c>
      <c r="I598" s="88">
        <f t="shared" si="170"/>
        <v>0</v>
      </c>
      <c r="J598" s="88">
        <f t="shared" si="170"/>
        <v>0</v>
      </c>
      <c r="K598" s="88">
        <f t="shared" si="170"/>
        <v>0</v>
      </c>
      <c r="L598" s="88">
        <f t="shared" si="170"/>
        <v>425</v>
      </c>
      <c r="M598" s="88">
        <f t="shared" si="170"/>
        <v>0</v>
      </c>
      <c r="N598" s="88">
        <f t="shared" si="170"/>
        <v>0</v>
      </c>
      <c r="O598" s="88">
        <f t="shared" si="170"/>
        <v>0</v>
      </c>
      <c r="P598" s="88">
        <f t="shared" si="170"/>
        <v>0</v>
      </c>
      <c r="Q598" s="249">
        <f>SUM(Q584:Q596)</f>
        <v>412</v>
      </c>
      <c r="R598" s="88">
        <f t="shared" si="170"/>
        <v>412</v>
      </c>
    </row>
    <row r="599" spans="2:18" ht="15.4" customHeight="1" x14ac:dyDescent="0.2">
      <c r="B599" s="109" t="s">
        <v>483</v>
      </c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9"/>
      <c r="R599" s="175"/>
    </row>
    <row r="600" spans="2:18" ht="12.75" customHeight="1" x14ac:dyDescent="0.2">
      <c r="B600" s="1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97"/>
      <c r="N600" s="134"/>
      <c r="O600" s="134"/>
      <c r="P600" s="134"/>
      <c r="Q600" s="169" t="s">
        <v>39</v>
      </c>
      <c r="R600" s="96">
        <f>R598+R599</f>
        <v>412</v>
      </c>
    </row>
    <row r="601" spans="2:18" ht="12.75" customHeight="1" x14ac:dyDescent="0.2">
      <c r="B601" s="234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97"/>
      <c r="N601" s="104"/>
      <c r="O601" s="104"/>
      <c r="P601" s="104"/>
      <c r="Q601" s="247"/>
      <c r="R601" s="96"/>
    </row>
    <row r="602" spans="2:18" ht="12.75" customHeight="1" x14ac:dyDescent="0.2">
      <c r="B602" s="176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9"/>
      <c r="N602" s="56"/>
      <c r="O602" s="56"/>
      <c r="P602" s="56"/>
      <c r="Q602" s="250"/>
      <c r="R602" s="59"/>
    </row>
    <row r="603" spans="2:18" ht="12.75" customHeight="1" x14ac:dyDescent="0.2">
      <c r="B603" s="80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104"/>
      <c r="R603" s="59"/>
    </row>
    <row r="604" spans="2:18" ht="12.75" customHeight="1" x14ac:dyDescent="0.2">
      <c r="B604" s="63"/>
      <c r="C604" s="64" t="s">
        <v>231</v>
      </c>
      <c r="D604" s="65"/>
      <c r="E604" s="65"/>
      <c r="F604" s="32"/>
      <c r="G604" s="32"/>
      <c r="H604" s="32"/>
      <c r="I604" s="32"/>
      <c r="J604" s="66"/>
      <c r="K604" s="66"/>
      <c r="L604" s="32"/>
      <c r="M604" s="32"/>
      <c r="N604" s="32"/>
      <c r="O604" s="32"/>
      <c r="P604" s="32"/>
      <c r="Q604" s="35"/>
      <c r="R604" s="138"/>
    </row>
    <row r="605" spans="2:18" ht="12.75" customHeight="1" x14ac:dyDescent="0.2">
      <c r="B605" s="63"/>
      <c r="C605" s="32"/>
      <c r="D605" s="32"/>
      <c r="E605" s="41"/>
      <c r="F605" s="41"/>
      <c r="G605" s="32"/>
      <c r="H605" s="32"/>
      <c r="I605" s="32"/>
      <c r="J605" s="66"/>
      <c r="K605" s="66"/>
      <c r="L605" s="32"/>
      <c r="M605" s="32"/>
      <c r="N605" s="32"/>
      <c r="O605" s="32"/>
      <c r="P605" s="32"/>
      <c r="Q605" s="35"/>
      <c r="R605" s="32"/>
    </row>
    <row r="606" spans="2:18" ht="12.75" customHeight="1" x14ac:dyDescent="0.2">
      <c r="B606" s="30"/>
      <c r="C606" s="31"/>
      <c r="D606" s="31"/>
      <c r="E606" s="32"/>
      <c r="F606" s="32"/>
      <c r="G606" s="67"/>
      <c r="H606" s="31"/>
      <c r="I606" s="31"/>
      <c r="J606" s="68"/>
      <c r="K606" s="68"/>
      <c r="L606" s="31"/>
      <c r="M606" s="31"/>
      <c r="N606" s="31"/>
      <c r="O606" s="31"/>
      <c r="P606" s="31"/>
      <c r="Q606" s="77"/>
      <c r="R606" s="69"/>
    </row>
    <row r="607" spans="2:18" ht="12.75" customHeight="1" x14ac:dyDescent="0.2">
      <c r="B607" s="1">
        <v>17104</v>
      </c>
      <c r="C607" s="35">
        <v>27</v>
      </c>
      <c r="D607" s="35" t="s">
        <v>392</v>
      </c>
      <c r="E607" s="35">
        <v>57</v>
      </c>
      <c r="F607" s="35">
        <v>84</v>
      </c>
      <c r="G607" s="36">
        <f t="shared" ref="G607:G629" si="171">F607*0.666*24/72</f>
        <v>18.648</v>
      </c>
      <c r="H607" s="71">
        <v>14</v>
      </c>
      <c r="I607" s="32">
        <v>0</v>
      </c>
      <c r="J607" s="66">
        <v>0</v>
      </c>
      <c r="K607" s="66">
        <v>0</v>
      </c>
      <c r="L607" s="71">
        <v>0</v>
      </c>
      <c r="M607" s="32">
        <v>0</v>
      </c>
      <c r="N607" s="32"/>
      <c r="O607" s="32">
        <f t="shared" ref="O607:O629" si="172">ROUND((+G607*N607)/100,0)</f>
        <v>0</v>
      </c>
      <c r="P607" s="32">
        <f t="shared" ref="P607:P629" si="173">IF(M607&gt;O607,+M607-O607,0)</f>
        <v>0</v>
      </c>
      <c r="Q607" s="71">
        <v>0</v>
      </c>
      <c r="R607" s="72">
        <f t="shared" ref="R607:R629" si="174">+Q607</f>
        <v>0</v>
      </c>
    </row>
    <row r="608" spans="2:18" ht="12.75" customHeight="1" x14ac:dyDescent="0.2">
      <c r="B608" s="2">
        <v>108101</v>
      </c>
      <c r="C608" s="35">
        <v>23</v>
      </c>
      <c r="D608" s="32" t="s">
        <v>464</v>
      </c>
      <c r="E608" s="35">
        <v>71</v>
      </c>
      <c r="F608" s="35">
        <v>137</v>
      </c>
      <c r="G608" s="36">
        <f t="shared" si="171"/>
        <v>30.414000000000001</v>
      </c>
      <c r="H608" s="71">
        <v>28</v>
      </c>
      <c r="I608" s="32">
        <v>0</v>
      </c>
      <c r="J608" s="66">
        <v>0</v>
      </c>
      <c r="K608" s="66">
        <v>0</v>
      </c>
      <c r="L608" s="71">
        <v>30</v>
      </c>
      <c r="M608" s="32">
        <v>0</v>
      </c>
      <c r="N608" s="32"/>
      <c r="O608" s="32">
        <f>ROUND((+G608*N608)/100,0)</f>
        <v>0</v>
      </c>
      <c r="P608" s="32">
        <f>IF(M608&gt;O608,+M608-O608,0)</f>
        <v>0</v>
      </c>
      <c r="Q608" s="71">
        <v>22</v>
      </c>
      <c r="R608" s="72">
        <f t="shared" si="174"/>
        <v>22</v>
      </c>
    </row>
    <row r="609" spans="2:18" ht="12.75" customHeight="1" x14ac:dyDescent="0.2">
      <c r="B609" s="2">
        <v>137101</v>
      </c>
      <c r="C609" s="32">
        <v>36</v>
      </c>
      <c r="D609" s="32" t="s">
        <v>311</v>
      </c>
      <c r="E609" s="35">
        <v>62</v>
      </c>
      <c r="F609" s="35">
        <v>99</v>
      </c>
      <c r="G609" s="36">
        <f t="shared" si="171"/>
        <v>21.977999999999998</v>
      </c>
      <c r="H609" s="71">
        <v>18</v>
      </c>
      <c r="I609" s="32">
        <v>0</v>
      </c>
      <c r="J609" s="66">
        <v>0</v>
      </c>
      <c r="K609" s="66">
        <v>0</v>
      </c>
      <c r="L609" s="71">
        <v>18</v>
      </c>
      <c r="M609" s="32">
        <v>0</v>
      </c>
      <c r="N609" s="32"/>
      <c r="O609" s="32">
        <f t="shared" si="172"/>
        <v>0</v>
      </c>
      <c r="P609" s="32">
        <f t="shared" si="173"/>
        <v>0</v>
      </c>
      <c r="Q609" s="71">
        <v>18</v>
      </c>
      <c r="R609" s="72">
        <f t="shared" si="174"/>
        <v>18</v>
      </c>
    </row>
    <row r="610" spans="2:18" ht="14.25" customHeight="1" x14ac:dyDescent="0.2">
      <c r="B610" s="2">
        <v>149101</v>
      </c>
      <c r="C610" s="35">
        <v>114</v>
      </c>
      <c r="D610" s="35" t="s">
        <v>312</v>
      </c>
      <c r="E610" s="35">
        <v>164</v>
      </c>
      <c r="F610" s="35">
        <v>252</v>
      </c>
      <c r="G610" s="36">
        <f t="shared" si="171"/>
        <v>55.94400000000001</v>
      </c>
      <c r="H610" s="71">
        <v>12</v>
      </c>
      <c r="I610" s="32">
        <v>0</v>
      </c>
      <c r="J610" s="66">
        <v>0</v>
      </c>
      <c r="K610" s="66">
        <v>0</v>
      </c>
      <c r="L610" s="71">
        <v>43</v>
      </c>
      <c r="M610" s="32">
        <v>0</v>
      </c>
      <c r="N610" s="32"/>
      <c r="O610" s="32">
        <f t="shared" si="172"/>
        <v>0</v>
      </c>
      <c r="P610" s="32">
        <f t="shared" si="173"/>
        <v>0</v>
      </c>
      <c r="Q610" s="71">
        <v>50</v>
      </c>
      <c r="R610" s="72">
        <f t="shared" si="174"/>
        <v>50</v>
      </c>
    </row>
    <row r="611" spans="2:18" ht="12.75" customHeight="1" x14ac:dyDescent="0.2">
      <c r="B611" s="2">
        <v>155101</v>
      </c>
      <c r="C611" s="32">
        <v>60</v>
      </c>
      <c r="D611" s="32" t="s">
        <v>314</v>
      </c>
      <c r="E611" s="35">
        <v>77</v>
      </c>
      <c r="F611" s="35">
        <v>155</v>
      </c>
      <c r="G611" s="36">
        <f t="shared" si="171"/>
        <v>34.409999999999997</v>
      </c>
      <c r="H611" s="71">
        <v>28</v>
      </c>
      <c r="I611" s="32">
        <v>0</v>
      </c>
      <c r="J611" s="66">
        <v>0</v>
      </c>
      <c r="K611" s="66">
        <v>0</v>
      </c>
      <c r="L611" s="71">
        <v>27</v>
      </c>
      <c r="M611" s="32">
        <v>0</v>
      </c>
      <c r="N611" s="32"/>
      <c r="O611" s="32">
        <f t="shared" si="172"/>
        <v>0</v>
      </c>
      <c r="P611" s="32">
        <f t="shared" si="173"/>
        <v>0</v>
      </c>
      <c r="Q611" s="71">
        <v>26</v>
      </c>
      <c r="R611" s="72">
        <f t="shared" si="174"/>
        <v>26</v>
      </c>
    </row>
    <row r="612" spans="2:18" ht="12.75" customHeight="1" x14ac:dyDescent="0.2">
      <c r="B612" s="2">
        <v>158102</v>
      </c>
      <c r="C612" s="32">
        <v>20</v>
      </c>
      <c r="D612" s="32" t="s">
        <v>315</v>
      </c>
      <c r="E612" s="35">
        <v>90</v>
      </c>
      <c r="F612" s="35">
        <v>161</v>
      </c>
      <c r="G612" s="36">
        <f t="shared" si="171"/>
        <v>35.741999999999997</v>
      </c>
      <c r="H612" s="71">
        <v>30</v>
      </c>
      <c r="I612" s="32">
        <v>0</v>
      </c>
      <c r="J612" s="66">
        <v>0</v>
      </c>
      <c r="K612" s="66">
        <v>0</v>
      </c>
      <c r="L612" s="71">
        <v>30</v>
      </c>
      <c r="M612" s="32">
        <v>0</v>
      </c>
      <c r="N612" s="32"/>
      <c r="O612" s="32">
        <f t="shared" si="172"/>
        <v>0</v>
      </c>
      <c r="P612" s="32">
        <f t="shared" si="173"/>
        <v>0</v>
      </c>
      <c r="Q612" s="71">
        <v>25</v>
      </c>
      <c r="R612" s="72">
        <f t="shared" si="174"/>
        <v>25</v>
      </c>
    </row>
    <row r="613" spans="2:18" ht="12.75" customHeight="1" x14ac:dyDescent="0.2">
      <c r="B613" s="1">
        <v>158103</v>
      </c>
      <c r="C613" s="35">
        <v>82</v>
      </c>
      <c r="D613" s="32" t="s">
        <v>316</v>
      </c>
      <c r="E613" s="35">
        <v>48</v>
      </c>
      <c r="F613" s="35">
        <v>85</v>
      </c>
      <c r="G613" s="36">
        <f t="shared" si="171"/>
        <v>18.87</v>
      </c>
      <c r="H613" s="71">
        <v>18</v>
      </c>
      <c r="I613" s="32">
        <v>0</v>
      </c>
      <c r="J613" s="66">
        <v>0</v>
      </c>
      <c r="K613" s="66">
        <v>0</v>
      </c>
      <c r="L613" s="71">
        <v>18</v>
      </c>
      <c r="M613" s="32">
        <v>0</v>
      </c>
      <c r="N613" s="32"/>
      <c r="O613" s="32">
        <f>ROUND((+G613*N613)/100,0)</f>
        <v>0</v>
      </c>
      <c r="P613" s="32">
        <f>IF(M613&gt;O613,+M613-O613,0)</f>
        <v>0</v>
      </c>
      <c r="Q613" s="71">
        <v>18</v>
      </c>
      <c r="R613" s="72">
        <f t="shared" si="174"/>
        <v>18</v>
      </c>
    </row>
    <row r="614" spans="2:18" ht="12.75" customHeight="1" x14ac:dyDescent="0.2">
      <c r="B614" s="2">
        <v>158104</v>
      </c>
      <c r="C614" s="32">
        <v>118</v>
      </c>
      <c r="D614" s="32" t="s">
        <v>294</v>
      </c>
      <c r="E614" s="35">
        <v>39</v>
      </c>
      <c r="F614" s="35">
        <v>66</v>
      </c>
      <c r="G614" s="36">
        <f t="shared" si="171"/>
        <v>14.651999999999999</v>
      </c>
      <c r="H614" s="71">
        <v>14</v>
      </c>
      <c r="I614" s="32">
        <v>0</v>
      </c>
      <c r="J614" s="66">
        <v>0</v>
      </c>
      <c r="K614" s="66">
        <v>0</v>
      </c>
      <c r="L614" s="71">
        <v>12</v>
      </c>
      <c r="M614" s="32">
        <v>0</v>
      </c>
      <c r="N614" s="32"/>
      <c r="O614" s="32">
        <f t="shared" si="172"/>
        <v>0</v>
      </c>
      <c r="P614" s="32">
        <f t="shared" si="173"/>
        <v>0</v>
      </c>
      <c r="Q614" s="71">
        <v>11</v>
      </c>
      <c r="R614" s="72">
        <f t="shared" si="174"/>
        <v>11</v>
      </c>
    </row>
    <row r="615" spans="2:18" ht="12.75" customHeight="1" x14ac:dyDescent="0.2">
      <c r="B615" s="1">
        <v>229105</v>
      </c>
      <c r="C615" s="35">
        <v>74</v>
      </c>
      <c r="D615" s="35" t="s">
        <v>413</v>
      </c>
      <c r="E615" s="35">
        <v>42</v>
      </c>
      <c r="F615" s="35">
        <v>80</v>
      </c>
      <c r="G615" s="36">
        <f t="shared" si="171"/>
        <v>17.760000000000002</v>
      </c>
      <c r="H615" s="140">
        <v>13</v>
      </c>
      <c r="I615" s="32">
        <v>0</v>
      </c>
      <c r="J615" s="66">
        <v>0</v>
      </c>
      <c r="K615" s="66">
        <v>0</v>
      </c>
      <c r="L615" s="140">
        <v>10</v>
      </c>
      <c r="M615" s="32">
        <v>0</v>
      </c>
      <c r="N615" s="32"/>
      <c r="O615" s="32">
        <f t="shared" si="172"/>
        <v>0</v>
      </c>
      <c r="P615" s="32">
        <f t="shared" si="173"/>
        <v>0</v>
      </c>
      <c r="Q615" s="140">
        <v>15</v>
      </c>
      <c r="R615" s="72">
        <f t="shared" si="174"/>
        <v>15</v>
      </c>
    </row>
    <row r="616" spans="2:18" ht="12.75" customHeight="1" x14ac:dyDescent="0.2">
      <c r="B616" s="1">
        <v>277104</v>
      </c>
      <c r="C616" s="35">
        <v>100</v>
      </c>
      <c r="D616" s="35" t="s">
        <v>335</v>
      </c>
      <c r="E616" s="35">
        <v>187</v>
      </c>
      <c r="F616" s="35">
        <v>340</v>
      </c>
      <c r="G616" s="36">
        <f t="shared" si="171"/>
        <v>75.48</v>
      </c>
      <c r="H616" s="140">
        <v>70</v>
      </c>
      <c r="I616" s="32">
        <v>0</v>
      </c>
      <c r="J616" s="66">
        <v>0</v>
      </c>
      <c r="K616" s="66">
        <v>0</v>
      </c>
      <c r="L616" s="140">
        <v>70</v>
      </c>
      <c r="M616" s="32">
        <v>0</v>
      </c>
      <c r="N616" s="32"/>
      <c r="O616" s="32">
        <f t="shared" si="172"/>
        <v>0</v>
      </c>
      <c r="P616" s="32">
        <f t="shared" si="173"/>
        <v>0</v>
      </c>
      <c r="Q616" s="140">
        <v>65</v>
      </c>
      <c r="R616" s="72">
        <f t="shared" si="174"/>
        <v>65</v>
      </c>
    </row>
    <row r="617" spans="2:18" ht="12.75" customHeight="1" x14ac:dyDescent="0.2">
      <c r="B617" s="1">
        <v>277105</v>
      </c>
      <c r="C617" s="35">
        <v>2</v>
      </c>
      <c r="D617" s="35" t="s">
        <v>336</v>
      </c>
      <c r="E617" s="35">
        <v>44</v>
      </c>
      <c r="F617" s="35">
        <v>50</v>
      </c>
      <c r="G617" s="36">
        <f t="shared" si="171"/>
        <v>11.100000000000001</v>
      </c>
      <c r="H617" s="140">
        <v>9</v>
      </c>
      <c r="I617" s="32">
        <v>0</v>
      </c>
      <c r="J617" s="66">
        <v>0</v>
      </c>
      <c r="K617" s="66">
        <v>0</v>
      </c>
      <c r="L617" s="140">
        <v>8</v>
      </c>
      <c r="M617" s="32">
        <v>0</v>
      </c>
      <c r="N617" s="32"/>
      <c r="O617" s="32">
        <f t="shared" si="172"/>
        <v>0</v>
      </c>
      <c r="P617" s="32">
        <f t="shared" si="173"/>
        <v>0</v>
      </c>
      <c r="Q617" s="140">
        <v>9</v>
      </c>
      <c r="R617" s="72">
        <f t="shared" si="174"/>
        <v>9</v>
      </c>
    </row>
    <row r="618" spans="2:18" ht="12.75" customHeight="1" x14ac:dyDescent="0.2">
      <c r="B618" s="1">
        <v>277106</v>
      </c>
      <c r="C618" s="35">
        <v>51</v>
      </c>
      <c r="D618" s="35" t="s">
        <v>337</v>
      </c>
      <c r="E618" s="35">
        <v>47</v>
      </c>
      <c r="F618" s="35">
        <v>70</v>
      </c>
      <c r="G618" s="36">
        <f t="shared" si="171"/>
        <v>15.540000000000001</v>
      </c>
      <c r="H618" s="140">
        <v>14</v>
      </c>
      <c r="I618" s="32">
        <v>0</v>
      </c>
      <c r="J618" s="66">
        <v>0</v>
      </c>
      <c r="K618" s="66">
        <v>0</v>
      </c>
      <c r="L618" s="140">
        <v>13</v>
      </c>
      <c r="M618" s="32">
        <v>0</v>
      </c>
      <c r="N618" s="32"/>
      <c r="O618" s="32">
        <f t="shared" si="172"/>
        <v>0</v>
      </c>
      <c r="P618" s="32">
        <f t="shared" si="173"/>
        <v>0</v>
      </c>
      <c r="Q618" s="140">
        <v>14</v>
      </c>
      <c r="R618" s="72">
        <f t="shared" si="174"/>
        <v>14</v>
      </c>
    </row>
    <row r="619" spans="2:18" ht="12.75" customHeight="1" x14ac:dyDescent="0.2">
      <c r="B619" s="1">
        <v>277107</v>
      </c>
      <c r="C619" s="35">
        <v>7</v>
      </c>
      <c r="D619" s="35" t="s">
        <v>412</v>
      </c>
      <c r="E619" s="35">
        <v>53</v>
      </c>
      <c r="F619" s="35">
        <v>73</v>
      </c>
      <c r="G619" s="36">
        <f t="shared" si="171"/>
        <v>16.206000000000003</v>
      </c>
      <c r="H619" s="140">
        <v>10</v>
      </c>
      <c r="I619" s="32">
        <v>0</v>
      </c>
      <c r="J619" s="66">
        <v>0</v>
      </c>
      <c r="K619" s="66">
        <v>0</v>
      </c>
      <c r="L619" s="140">
        <v>0</v>
      </c>
      <c r="M619" s="32">
        <v>0</v>
      </c>
      <c r="N619" s="32"/>
      <c r="O619" s="32">
        <f>ROUND((+G619*N619)/100,0)</f>
        <v>0</v>
      </c>
      <c r="P619" s="32">
        <f>IF(M619&gt;O619,+M619-O619,0)</f>
        <v>0</v>
      </c>
      <c r="Q619" s="140">
        <v>10</v>
      </c>
      <c r="R619" s="72">
        <f t="shared" si="174"/>
        <v>10</v>
      </c>
    </row>
    <row r="620" spans="2:18" ht="12.75" customHeight="1" x14ac:dyDescent="0.2">
      <c r="B620" s="1">
        <v>386107</v>
      </c>
      <c r="C620" s="35">
        <v>34</v>
      </c>
      <c r="D620" s="35" t="s">
        <v>345</v>
      </c>
      <c r="E620" s="35">
        <v>234</v>
      </c>
      <c r="F620" s="35">
        <v>430</v>
      </c>
      <c r="G620" s="36">
        <f t="shared" si="171"/>
        <v>95.46</v>
      </c>
      <c r="H620" s="71">
        <v>80</v>
      </c>
      <c r="I620" s="32">
        <v>0</v>
      </c>
      <c r="J620" s="66">
        <v>0</v>
      </c>
      <c r="K620" s="66">
        <v>0</v>
      </c>
      <c r="L620" s="71">
        <v>78</v>
      </c>
      <c r="M620" s="32">
        <v>0</v>
      </c>
      <c r="N620" s="32"/>
      <c r="O620" s="32">
        <f t="shared" si="172"/>
        <v>0</v>
      </c>
      <c r="P620" s="32">
        <f t="shared" si="173"/>
        <v>0</v>
      </c>
      <c r="Q620" s="71">
        <v>80</v>
      </c>
      <c r="R620" s="72">
        <f t="shared" si="174"/>
        <v>80</v>
      </c>
    </row>
    <row r="621" spans="2:18" ht="12.75" customHeight="1" x14ac:dyDescent="0.2">
      <c r="B621" s="1">
        <v>386108</v>
      </c>
      <c r="C621" s="35">
        <v>92</v>
      </c>
      <c r="D621" s="35" t="s">
        <v>394</v>
      </c>
      <c r="E621" s="35">
        <v>37</v>
      </c>
      <c r="F621" s="35">
        <v>66</v>
      </c>
      <c r="G621" s="36">
        <f t="shared" si="171"/>
        <v>14.651999999999999</v>
      </c>
      <c r="H621" s="71">
        <v>14</v>
      </c>
      <c r="I621" s="32">
        <v>0</v>
      </c>
      <c r="J621" s="66">
        <v>0</v>
      </c>
      <c r="K621" s="66">
        <v>0</v>
      </c>
      <c r="L621" s="71">
        <v>10</v>
      </c>
      <c r="M621" s="32">
        <v>0</v>
      </c>
      <c r="N621" s="32"/>
      <c r="O621" s="32">
        <f>ROUND((+G621*N621)/100,0)</f>
        <v>0</v>
      </c>
      <c r="P621" s="32">
        <f>IF(M621&gt;O621,+M621-O621,0)</f>
        <v>0</v>
      </c>
      <c r="Q621" s="71">
        <v>12</v>
      </c>
      <c r="R621" s="72">
        <f t="shared" si="174"/>
        <v>12</v>
      </c>
    </row>
    <row r="622" spans="2:18" ht="12.75" customHeight="1" x14ac:dyDescent="0.2">
      <c r="B622" s="1">
        <v>386109</v>
      </c>
      <c r="C622" s="35">
        <v>78</v>
      </c>
      <c r="D622" s="35" t="s">
        <v>389</v>
      </c>
      <c r="E622" s="35">
        <v>28</v>
      </c>
      <c r="F622" s="35">
        <v>42</v>
      </c>
      <c r="G622" s="36">
        <f t="shared" si="171"/>
        <v>9.3239999999999998</v>
      </c>
      <c r="H622" s="71">
        <v>6</v>
      </c>
      <c r="I622" s="32">
        <v>0</v>
      </c>
      <c r="J622" s="66">
        <v>0</v>
      </c>
      <c r="K622" s="66">
        <v>0</v>
      </c>
      <c r="L622" s="71">
        <v>0</v>
      </c>
      <c r="M622" s="32">
        <v>0</v>
      </c>
      <c r="N622" s="32"/>
      <c r="O622" s="32">
        <f>ROUND((+G622*N622)/100,0)</f>
        <v>0</v>
      </c>
      <c r="P622" s="32">
        <f>IF(M622&gt;O622,+M622-O622,0)</f>
        <v>0</v>
      </c>
      <c r="Q622" s="71">
        <v>6</v>
      </c>
      <c r="R622" s="72">
        <f t="shared" si="174"/>
        <v>6</v>
      </c>
    </row>
    <row r="623" spans="2:18" ht="12.75" customHeight="1" x14ac:dyDescent="0.2">
      <c r="B623" s="1">
        <v>386110</v>
      </c>
      <c r="C623" s="35">
        <v>93</v>
      </c>
      <c r="D623" s="35" t="s">
        <v>435</v>
      </c>
      <c r="E623" s="35">
        <v>35</v>
      </c>
      <c r="F623" s="35">
        <v>88</v>
      </c>
      <c r="G623" s="36">
        <f t="shared" si="171"/>
        <v>19.536000000000001</v>
      </c>
      <c r="H623" s="71">
        <v>17</v>
      </c>
      <c r="I623" s="32">
        <v>0</v>
      </c>
      <c r="J623" s="66">
        <v>0</v>
      </c>
      <c r="K623" s="66">
        <v>0</v>
      </c>
      <c r="L623" s="71">
        <v>11</v>
      </c>
      <c r="M623" s="32">
        <v>0</v>
      </c>
      <c r="N623" s="32"/>
      <c r="O623" s="32">
        <f>ROUND((+G623*N623)/100,0)</f>
        <v>0</v>
      </c>
      <c r="P623" s="32">
        <f>IF(M623&gt;O623,+M623-O623,0)</f>
        <v>0</v>
      </c>
      <c r="Q623" s="71">
        <v>18</v>
      </c>
      <c r="R623" s="72">
        <f t="shared" si="174"/>
        <v>18</v>
      </c>
    </row>
    <row r="624" spans="2:18" ht="12.75" customHeight="1" x14ac:dyDescent="0.2">
      <c r="B624" s="1">
        <v>420102</v>
      </c>
      <c r="C624" s="35">
        <v>1</v>
      </c>
      <c r="D624" s="35" t="s">
        <v>355</v>
      </c>
      <c r="E624" s="35">
        <v>64</v>
      </c>
      <c r="F624" s="35">
        <v>91</v>
      </c>
      <c r="G624" s="36">
        <f t="shared" si="171"/>
        <v>20.202000000000002</v>
      </c>
      <c r="H624" s="71">
        <v>15</v>
      </c>
      <c r="I624" s="32">
        <v>0</v>
      </c>
      <c r="J624" s="66">
        <v>0</v>
      </c>
      <c r="K624" s="66">
        <v>0</v>
      </c>
      <c r="L624" s="71">
        <v>0</v>
      </c>
      <c r="M624" s="32">
        <v>0</v>
      </c>
      <c r="N624" s="32"/>
      <c r="O624" s="32">
        <f t="shared" si="172"/>
        <v>0</v>
      </c>
      <c r="P624" s="32">
        <f t="shared" si="173"/>
        <v>0</v>
      </c>
      <c r="Q624" s="71">
        <v>14</v>
      </c>
      <c r="R624" s="72">
        <f t="shared" si="174"/>
        <v>14</v>
      </c>
    </row>
    <row r="625" spans="1:18" ht="12.75" customHeight="1" x14ac:dyDescent="0.2">
      <c r="B625" s="2">
        <v>448102</v>
      </c>
      <c r="C625" s="35">
        <v>107</v>
      </c>
      <c r="D625" s="35" t="s">
        <v>359</v>
      </c>
      <c r="E625" s="35">
        <v>97</v>
      </c>
      <c r="F625" s="35">
        <v>140</v>
      </c>
      <c r="G625" s="36">
        <f t="shared" si="171"/>
        <v>31.080000000000002</v>
      </c>
      <c r="H625" s="71">
        <v>25</v>
      </c>
      <c r="I625" s="32">
        <v>0</v>
      </c>
      <c r="J625" s="66">
        <v>0</v>
      </c>
      <c r="K625" s="66">
        <v>0</v>
      </c>
      <c r="L625" s="71">
        <v>10</v>
      </c>
      <c r="M625" s="32">
        <v>0</v>
      </c>
      <c r="N625" s="32"/>
      <c r="O625" s="32">
        <f t="shared" si="172"/>
        <v>0</v>
      </c>
      <c r="P625" s="32">
        <f t="shared" si="173"/>
        <v>0</v>
      </c>
      <c r="Q625" s="71">
        <v>15</v>
      </c>
      <c r="R625" s="72">
        <f t="shared" si="174"/>
        <v>15</v>
      </c>
    </row>
    <row r="626" spans="1:18" s="34" customFormat="1" ht="12.75" customHeight="1" x14ac:dyDescent="0.2">
      <c r="B626" s="2">
        <v>491105</v>
      </c>
      <c r="C626" s="35">
        <v>8</v>
      </c>
      <c r="D626" s="35" t="s">
        <v>365</v>
      </c>
      <c r="E626" s="35">
        <v>98</v>
      </c>
      <c r="F626" s="35">
        <v>150</v>
      </c>
      <c r="G626" s="36">
        <f t="shared" si="171"/>
        <v>33.300000000000004</v>
      </c>
      <c r="H626" s="71">
        <v>25</v>
      </c>
      <c r="I626" s="32">
        <v>0</v>
      </c>
      <c r="J626" s="66">
        <v>0</v>
      </c>
      <c r="K626" s="66">
        <v>0</v>
      </c>
      <c r="L626" s="71">
        <v>20</v>
      </c>
      <c r="M626" s="32">
        <v>0</v>
      </c>
      <c r="N626" s="32"/>
      <c r="O626" s="32">
        <f t="shared" si="172"/>
        <v>0</v>
      </c>
      <c r="P626" s="32">
        <f t="shared" si="173"/>
        <v>0</v>
      </c>
      <c r="Q626" s="71">
        <v>25</v>
      </c>
      <c r="R626" s="72">
        <f t="shared" si="174"/>
        <v>25</v>
      </c>
    </row>
    <row r="627" spans="1:18" s="34" customFormat="1" ht="12.75" customHeight="1" x14ac:dyDescent="0.2">
      <c r="B627" s="2">
        <v>516101</v>
      </c>
      <c r="C627" s="35">
        <v>9</v>
      </c>
      <c r="D627" s="35" t="s">
        <v>372</v>
      </c>
      <c r="E627" s="35">
        <v>122</v>
      </c>
      <c r="F627" s="35">
        <v>184</v>
      </c>
      <c r="G627" s="36">
        <f t="shared" si="171"/>
        <v>40.848000000000006</v>
      </c>
      <c r="H627" s="71">
        <v>38</v>
      </c>
      <c r="I627" s="32">
        <v>0</v>
      </c>
      <c r="J627" s="66">
        <v>0</v>
      </c>
      <c r="K627" s="66">
        <v>0</v>
      </c>
      <c r="L627" s="71">
        <v>34</v>
      </c>
      <c r="M627" s="32">
        <v>0</v>
      </c>
      <c r="N627" s="32"/>
      <c r="O627" s="32">
        <f t="shared" si="172"/>
        <v>0</v>
      </c>
      <c r="P627" s="32">
        <f t="shared" si="173"/>
        <v>0</v>
      </c>
      <c r="Q627" s="71">
        <v>37</v>
      </c>
      <c r="R627" s="72">
        <f t="shared" si="174"/>
        <v>37</v>
      </c>
    </row>
    <row r="628" spans="1:18" s="34" customFormat="1" ht="12.75" customHeight="1" x14ac:dyDescent="0.2">
      <c r="B628" s="1">
        <v>516102</v>
      </c>
      <c r="C628" s="35">
        <v>33</v>
      </c>
      <c r="D628" s="35" t="s">
        <v>373</v>
      </c>
      <c r="E628" s="35">
        <v>78</v>
      </c>
      <c r="F628" s="35">
        <v>151</v>
      </c>
      <c r="G628" s="36">
        <f t="shared" si="171"/>
        <v>33.521999999999998</v>
      </c>
      <c r="H628" s="71">
        <v>28</v>
      </c>
      <c r="I628" s="32">
        <v>0</v>
      </c>
      <c r="J628" s="66">
        <v>0</v>
      </c>
      <c r="K628" s="66">
        <v>0</v>
      </c>
      <c r="L628" s="71">
        <v>30</v>
      </c>
      <c r="M628" s="32">
        <v>0</v>
      </c>
      <c r="N628" s="32"/>
      <c r="O628" s="32">
        <f t="shared" si="172"/>
        <v>0</v>
      </c>
      <c r="P628" s="32">
        <f t="shared" si="173"/>
        <v>0</v>
      </c>
      <c r="Q628" s="71">
        <v>28</v>
      </c>
      <c r="R628" s="72">
        <f t="shared" si="174"/>
        <v>28</v>
      </c>
    </row>
    <row r="629" spans="1:18" s="34" customFormat="1" ht="12.75" customHeight="1" x14ac:dyDescent="0.2">
      <c r="B629" s="2">
        <v>566101</v>
      </c>
      <c r="C629" s="32">
        <v>13</v>
      </c>
      <c r="D629" s="32" t="s">
        <v>380</v>
      </c>
      <c r="E629" s="35">
        <v>72</v>
      </c>
      <c r="F629" s="35">
        <v>106</v>
      </c>
      <c r="G629" s="36">
        <f t="shared" si="171"/>
        <v>23.532</v>
      </c>
      <c r="H629" s="71">
        <v>20</v>
      </c>
      <c r="I629" s="32">
        <v>0</v>
      </c>
      <c r="J629" s="66">
        <v>0</v>
      </c>
      <c r="K629" s="66">
        <v>0</v>
      </c>
      <c r="L629" s="71">
        <v>18</v>
      </c>
      <c r="M629" s="32">
        <v>0</v>
      </c>
      <c r="N629" s="32"/>
      <c r="O629" s="32">
        <f t="shared" si="172"/>
        <v>0</v>
      </c>
      <c r="P629" s="32">
        <f t="shared" si="173"/>
        <v>0</v>
      </c>
      <c r="Q629" s="71">
        <v>18</v>
      </c>
      <c r="R629" s="72">
        <f t="shared" si="174"/>
        <v>18</v>
      </c>
    </row>
    <row r="630" spans="1:18" s="34" customFormat="1" ht="12.75" customHeight="1" x14ac:dyDescent="0.2">
      <c r="B630" s="2"/>
      <c r="C630" s="32"/>
      <c r="D630" s="32"/>
      <c r="E630" s="36"/>
      <c r="F630" s="32"/>
      <c r="G630" s="59"/>
      <c r="H630" s="32"/>
      <c r="I630" s="32"/>
      <c r="J630" s="66"/>
      <c r="K630" s="66"/>
      <c r="L630" s="251"/>
      <c r="M630" s="32"/>
      <c r="N630" s="32"/>
      <c r="O630" s="32"/>
      <c r="P630" s="32"/>
      <c r="Q630" s="251"/>
      <c r="R630" s="177"/>
    </row>
    <row r="631" spans="1:18" s="34" customFormat="1" ht="12.75" customHeight="1" x14ac:dyDescent="0.2">
      <c r="B631" s="30" t="s">
        <v>37</v>
      </c>
      <c r="C631" s="31"/>
      <c r="D631" s="31">
        <f>COUNTA(B607:B629)</f>
        <v>23</v>
      </c>
      <c r="E631" s="117">
        <f t="shared" ref="E631:R631" si="175">SUM(E607:E629)</f>
        <v>1846</v>
      </c>
      <c r="F631" s="117">
        <f t="shared" si="175"/>
        <v>3100</v>
      </c>
      <c r="G631" s="117">
        <f t="shared" si="175"/>
        <v>688.2</v>
      </c>
      <c r="H631" s="117">
        <f t="shared" si="175"/>
        <v>546</v>
      </c>
      <c r="I631" s="117">
        <f t="shared" si="175"/>
        <v>0</v>
      </c>
      <c r="J631" s="117">
        <f t="shared" si="175"/>
        <v>0</v>
      </c>
      <c r="K631" s="117">
        <f t="shared" si="175"/>
        <v>0</v>
      </c>
      <c r="L631" s="117">
        <f t="shared" si="175"/>
        <v>490</v>
      </c>
      <c r="M631" s="117">
        <f t="shared" si="175"/>
        <v>0</v>
      </c>
      <c r="N631" s="117">
        <f t="shared" si="175"/>
        <v>0</v>
      </c>
      <c r="O631" s="117">
        <f t="shared" si="175"/>
        <v>0</v>
      </c>
      <c r="P631" s="117">
        <f t="shared" si="175"/>
        <v>0</v>
      </c>
      <c r="Q631" s="167">
        <f>SUM(Q607:Q629)</f>
        <v>536</v>
      </c>
      <c r="R631" s="117">
        <f t="shared" si="175"/>
        <v>536</v>
      </c>
    </row>
    <row r="632" spans="1:18" s="34" customFormat="1" ht="14.25" customHeight="1" x14ac:dyDescent="0.2">
      <c r="B632" s="178" t="s">
        <v>38</v>
      </c>
      <c r="C632" s="111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80"/>
      <c r="O632" s="180"/>
      <c r="P632" s="180"/>
      <c r="Q632" s="262"/>
      <c r="R632" s="78"/>
    </row>
    <row r="633" spans="1:18" ht="12.75" customHeight="1" x14ac:dyDescent="0.2">
      <c r="B633" s="143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5"/>
      <c r="N633" s="104"/>
      <c r="O633" s="104"/>
      <c r="P633" s="104"/>
      <c r="Q633" s="247"/>
      <c r="R633" s="96">
        <f>SUM(R631:R632)</f>
        <v>536</v>
      </c>
    </row>
    <row r="634" spans="1:18" ht="12.75" customHeight="1" x14ac:dyDescent="0.2">
      <c r="B634" s="181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</row>
    <row r="635" spans="1:18" ht="12.75" customHeight="1" x14ac:dyDescent="0.2">
      <c r="Q635" s="34"/>
    </row>
    <row r="636" spans="1:18" s="34" customFormat="1" ht="12.75" customHeight="1" x14ac:dyDescent="0.2">
      <c r="B636" s="63"/>
      <c r="C636" s="64" t="s">
        <v>232</v>
      </c>
      <c r="D636" s="65"/>
      <c r="E636" s="32"/>
      <c r="F636" s="32"/>
      <c r="G636" s="32"/>
      <c r="H636" s="32"/>
      <c r="I636" s="32"/>
      <c r="J636" s="66"/>
      <c r="K636" s="66"/>
      <c r="L636" s="32"/>
      <c r="M636" s="32"/>
      <c r="N636" s="32"/>
      <c r="O636" s="32"/>
      <c r="P636" s="32"/>
      <c r="Q636" s="35"/>
      <c r="R636" s="138"/>
    </row>
    <row r="637" spans="1:18" s="34" customFormat="1" ht="12.75" customHeight="1" x14ac:dyDescent="0.2">
      <c r="B637" s="4"/>
      <c r="C637" s="35"/>
      <c r="D637" s="35"/>
      <c r="E637" s="115"/>
      <c r="F637" s="115"/>
      <c r="G637" s="35"/>
      <c r="H637" s="35"/>
      <c r="I637" s="35"/>
      <c r="J637" s="84"/>
      <c r="K637" s="84"/>
      <c r="L637" s="35"/>
      <c r="M637" s="35"/>
      <c r="N637" s="35"/>
      <c r="O637" s="35"/>
      <c r="P637" s="35"/>
      <c r="Q637" s="35"/>
      <c r="R637" s="35"/>
    </row>
    <row r="638" spans="1:18" ht="12.75" customHeight="1" x14ac:dyDescent="0.2">
      <c r="A638" s="34"/>
      <c r="B638" s="149"/>
      <c r="C638" s="77"/>
      <c r="D638" s="77"/>
      <c r="E638" s="35"/>
      <c r="F638" s="35"/>
      <c r="G638" s="253"/>
      <c r="H638" s="77"/>
      <c r="I638" s="77"/>
      <c r="J638" s="275"/>
      <c r="K638" s="275"/>
      <c r="L638" s="77"/>
      <c r="M638" s="77"/>
      <c r="N638" s="77"/>
      <c r="O638" s="77"/>
      <c r="P638" s="77"/>
      <c r="Q638" s="77"/>
      <c r="R638" s="284"/>
    </row>
    <row r="639" spans="1:18" ht="12.75" customHeight="1" x14ac:dyDescent="0.2">
      <c r="A639" s="34"/>
      <c r="B639" s="1">
        <v>131104</v>
      </c>
      <c r="C639" s="35">
        <v>18</v>
      </c>
      <c r="D639" s="35" t="s">
        <v>423</v>
      </c>
      <c r="E639" s="35">
        <v>120</v>
      </c>
      <c r="F639" s="35">
        <v>159</v>
      </c>
      <c r="G639" s="140">
        <f t="shared" ref="G639:G645" si="176">F639*0.666*24/72</f>
        <v>35.298000000000002</v>
      </c>
      <c r="H639" s="265">
        <v>10</v>
      </c>
      <c r="I639" s="35">
        <v>0</v>
      </c>
      <c r="J639" s="70">
        <v>0</v>
      </c>
      <c r="K639" s="70">
        <v>0</v>
      </c>
      <c r="L639" s="265">
        <v>8</v>
      </c>
      <c r="M639" s="35">
        <v>0</v>
      </c>
      <c r="N639" s="35"/>
      <c r="O639" s="35">
        <v>0</v>
      </c>
      <c r="P639" s="35">
        <f t="shared" ref="P639:P645" si="177">IF(M639&gt;O639,+M639-O639,0)</f>
        <v>0</v>
      </c>
      <c r="Q639" s="265">
        <v>7</v>
      </c>
      <c r="R639" s="73">
        <f t="shared" ref="R639:R645" si="178">+Q639</f>
        <v>7</v>
      </c>
    </row>
    <row r="640" spans="1:18" ht="12.75" customHeight="1" x14ac:dyDescent="0.2">
      <c r="A640" s="34"/>
      <c r="B640" s="1">
        <v>131105</v>
      </c>
      <c r="C640" s="35">
        <v>9</v>
      </c>
      <c r="D640" s="35" t="s">
        <v>426</v>
      </c>
      <c r="E640" s="35">
        <v>177</v>
      </c>
      <c r="F640" s="35">
        <v>239</v>
      </c>
      <c r="G640" s="140">
        <f t="shared" si="176"/>
        <v>53.058000000000007</v>
      </c>
      <c r="H640" s="265">
        <v>15</v>
      </c>
      <c r="I640" s="35">
        <v>0</v>
      </c>
      <c r="J640" s="70">
        <v>0</v>
      </c>
      <c r="K640" s="70">
        <v>0</v>
      </c>
      <c r="L640" s="265">
        <v>15</v>
      </c>
      <c r="M640" s="35">
        <v>0</v>
      </c>
      <c r="N640" s="35"/>
      <c r="O640" s="35">
        <v>0</v>
      </c>
      <c r="P640" s="35">
        <f>IF(M640&gt;O640,+M640-O640,0)</f>
        <v>0</v>
      </c>
      <c r="Q640" s="265">
        <v>15</v>
      </c>
      <c r="R640" s="73">
        <f>+Q640</f>
        <v>15</v>
      </c>
    </row>
    <row r="641" spans="1:18" ht="12.75" customHeight="1" x14ac:dyDescent="0.2">
      <c r="A641" s="34"/>
      <c r="B641" s="1">
        <v>194102</v>
      </c>
      <c r="C641" s="35">
        <v>6</v>
      </c>
      <c r="D641" s="35" t="s">
        <v>233</v>
      </c>
      <c r="E641" s="35">
        <v>34</v>
      </c>
      <c r="F641" s="35">
        <v>40</v>
      </c>
      <c r="G641" s="140">
        <f t="shared" si="176"/>
        <v>8.8800000000000008</v>
      </c>
      <c r="H641" s="265">
        <v>5</v>
      </c>
      <c r="I641" s="35">
        <v>0</v>
      </c>
      <c r="J641" s="70">
        <v>0</v>
      </c>
      <c r="K641" s="70">
        <v>0</v>
      </c>
      <c r="L641" s="265">
        <v>5</v>
      </c>
      <c r="M641" s="35">
        <v>0</v>
      </c>
      <c r="N641" s="35"/>
      <c r="O641" s="35">
        <v>0</v>
      </c>
      <c r="P641" s="35">
        <f t="shared" si="177"/>
        <v>0</v>
      </c>
      <c r="Q641" s="265">
        <v>5</v>
      </c>
      <c r="R641" s="73">
        <f t="shared" si="178"/>
        <v>5</v>
      </c>
    </row>
    <row r="642" spans="1:18" ht="12.75" customHeight="1" x14ac:dyDescent="0.2">
      <c r="A642" s="34"/>
      <c r="B642" s="1">
        <v>219102</v>
      </c>
      <c r="C642" s="35">
        <v>29</v>
      </c>
      <c r="D642" s="35" t="s">
        <v>391</v>
      </c>
      <c r="E642" s="35">
        <v>70</v>
      </c>
      <c r="F642" s="35">
        <v>110</v>
      </c>
      <c r="G642" s="140">
        <f t="shared" si="176"/>
        <v>24.42</v>
      </c>
      <c r="H642" s="265">
        <v>5</v>
      </c>
      <c r="I642" s="35">
        <v>0</v>
      </c>
      <c r="J642" s="70">
        <v>0</v>
      </c>
      <c r="K642" s="70">
        <v>0</v>
      </c>
      <c r="L642" s="265">
        <v>12</v>
      </c>
      <c r="M642" s="35">
        <v>0</v>
      </c>
      <c r="N642" s="35"/>
      <c r="O642" s="35">
        <v>0</v>
      </c>
      <c r="P642" s="35">
        <f t="shared" si="177"/>
        <v>0</v>
      </c>
      <c r="Q642" s="265">
        <v>3</v>
      </c>
      <c r="R642" s="73">
        <f t="shared" si="178"/>
        <v>3</v>
      </c>
    </row>
    <row r="643" spans="1:18" ht="12.75" customHeight="1" x14ac:dyDescent="0.2">
      <c r="A643" s="34"/>
      <c r="B643" s="1">
        <v>226102</v>
      </c>
      <c r="C643" s="35">
        <v>5</v>
      </c>
      <c r="D643" s="35" t="s">
        <v>234</v>
      </c>
      <c r="E643" s="35">
        <v>68</v>
      </c>
      <c r="F643" s="35">
        <v>96</v>
      </c>
      <c r="G643" s="140">
        <f t="shared" si="176"/>
        <v>21.312000000000001</v>
      </c>
      <c r="H643" s="269">
        <v>12</v>
      </c>
      <c r="I643" s="35">
        <v>0</v>
      </c>
      <c r="J643" s="70">
        <v>0</v>
      </c>
      <c r="K643" s="70">
        <v>0</v>
      </c>
      <c r="L643" s="269">
        <v>11</v>
      </c>
      <c r="M643" s="35">
        <v>0</v>
      </c>
      <c r="N643" s="35"/>
      <c r="O643" s="35">
        <f>ROUND((+G643*N643)/100,0)</f>
        <v>0</v>
      </c>
      <c r="P643" s="35">
        <f t="shared" si="177"/>
        <v>0</v>
      </c>
      <c r="Q643" s="269">
        <v>10</v>
      </c>
      <c r="R643" s="73">
        <f t="shared" si="178"/>
        <v>10</v>
      </c>
    </row>
    <row r="644" spans="1:18" ht="12.75" customHeight="1" x14ac:dyDescent="0.2">
      <c r="A644" s="34"/>
      <c r="B644" s="1">
        <v>343102</v>
      </c>
      <c r="C644" s="35">
        <v>10</v>
      </c>
      <c r="D644" s="35" t="s">
        <v>422</v>
      </c>
      <c r="E644" s="35">
        <v>61</v>
      </c>
      <c r="F644" s="35">
        <v>95</v>
      </c>
      <c r="G644" s="140">
        <f t="shared" si="176"/>
        <v>21.09</v>
      </c>
      <c r="H644" s="269">
        <v>10</v>
      </c>
      <c r="I644" s="35">
        <v>0</v>
      </c>
      <c r="J644" s="70">
        <v>0</v>
      </c>
      <c r="K644" s="70">
        <v>0</v>
      </c>
      <c r="L644" s="269">
        <v>14</v>
      </c>
      <c r="M644" s="35">
        <v>0</v>
      </c>
      <c r="N644" s="35"/>
      <c r="O644" s="35">
        <f>ROUND((+G644*N644)/100,0)</f>
        <v>0</v>
      </c>
      <c r="P644" s="35">
        <f t="shared" si="177"/>
        <v>0</v>
      </c>
      <c r="Q644" s="269">
        <v>12</v>
      </c>
      <c r="R644" s="73">
        <f t="shared" si="178"/>
        <v>12</v>
      </c>
    </row>
    <row r="645" spans="1:18" ht="12.75" customHeight="1" x14ac:dyDescent="0.2">
      <c r="A645" s="34"/>
      <c r="B645" s="1">
        <v>449101</v>
      </c>
      <c r="C645" s="35">
        <v>75</v>
      </c>
      <c r="D645" s="35" t="s">
        <v>235</v>
      </c>
      <c r="E645" s="35">
        <v>141</v>
      </c>
      <c r="F645" s="35">
        <v>220</v>
      </c>
      <c r="G645" s="140">
        <f t="shared" si="176"/>
        <v>48.84</v>
      </c>
      <c r="H645" s="269">
        <v>30</v>
      </c>
      <c r="I645" s="35">
        <v>0</v>
      </c>
      <c r="J645" s="70">
        <v>0</v>
      </c>
      <c r="K645" s="70">
        <v>0</v>
      </c>
      <c r="L645" s="269">
        <v>12</v>
      </c>
      <c r="M645" s="35">
        <v>0</v>
      </c>
      <c r="N645" s="35"/>
      <c r="O645" s="35">
        <f>ROUND((+G645*N645)/100,0)</f>
        <v>0</v>
      </c>
      <c r="P645" s="35">
        <f t="shared" si="177"/>
        <v>0</v>
      </c>
      <c r="Q645" s="269">
        <v>36</v>
      </c>
      <c r="R645" s="73">
        <f t="shared" si="178"/>
        <v>36</v>
      </c>
    </row>
    <row r="646" spans="1:18" ht="12.75" customHeight="1" x14ac:dyDescent="0.2">
      <c r="A646" s="34"/>
      <c r="B646" s="1"/>
      <c r="C646" s="35"/>
      <c r="D646" s="35"/>
      <c r="E646" s="140"/>
      <c r="F646" s="35"/>
      <c r="G646" s="106"/>
      <c r="H646" s="251"/>
      <c r="I646" s="35"/>
      <c r="J646" s="84"/>
      <c r="K646" s="84"/>
      <c r="L646" s="251"/>
      <c r="M646" s="35"/>
      <c r="N646" s="35"/>
      <c r="O646" s="35"/>
      <c r="P646" s="35"/>
      <c r="Q646" s="251"/>
      <c r="R646" s="285"/>
    </row>
    <row r="647" spans="1:18" ht="12.75" customHeight="1" x14ac:dyDescent="0.2">
      <c r="A647" s="34"/>
      <c r="B647" s="172" t="s">
        <v>37</v>
      </c>
      <c r="C647" s="173"/>
      <c r="D647" s="173">
        <f>COUNTA(B639:B645)</f>
        <v>7</v>
      </c>
      <c r="E647" s="249">
        <f t="shared" ref="E647:R647" si="179">SUM(E639:E645)</f>
        <v>671</v>
      </c>
      <c r="F647" s="249">
        <f t="shared" si="179"/>
        <v>959</v>
      </c>
      <c r="G647" s="249">
        <f t="shared" si="179"/>
        <v>212.89800000000002</v>
      </c>
      <c r="H647" s="249">
        <f t="shared" si="179"/>
        <v>87</v>
      </c>
      <c r="I647" s="249">
        <f t="shared" si="179"/>
        <v>0</v>
      </c>
      <c r="J647" s="249">
        <f t="shared" si="179"/>
        <v>0</v>
      </c>
      <c r="K647" s="249">
        <f t="shared" si="179"/>
        <v>0</v>
      </c>
      <c r="L647" s="249">
        <f t="shared" si="179"/>
        <v>77</v>
      </c>
      <c r="M647" s="249">
        <f t="shared" si="179"/>
        <v>0</v>
      </c>
      <c r="N647" s="249">
        <f t="shared" si="179"/>
        <v>0</v>
      </c>
      <c r="O647" s="249">
        <f t="shared" si="179"/>
        <v>0</v>
      </c>
      <c r="P647" s="249">
        <f t="shared" si="179"/>
        <v>0</v>
      </c>
      <c r="Q647" s="249">
        <f t="shared" si="179"/>
        <v>88</v>
      </c>
      <c r="R647" s="249">
        <f t="shared" si="179"/>
        <v>88</v>
      </c>
    </row>
    <row r="648" spans="1:18" s="34" customFormat="1" ht="12.75" customHeight="1" x14ac:dyDescent="0.2">
      <c r="B648" s="50" t="s">
        <v>83</v>
      </c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2"/>
      <c r="O648" s="52"/>
      <c r="P648" s="52"/>
      <c r="Q648" s="246"/>
      <c r="R648" s="53"/>
    </row>
    <row r="649" spans="1:18" ht="13.5" customHeight="1" x14ac:dyDescent="0.2">
      <c r="A649" s="34"/>
      <c r="B649" s="272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5"/>
      <c r="N649" s="104"/>
      <c r="O649" s="104"/>
      <c r="P649" s="104"/>
      <c r="Q649" s="247" t="s">
        <v>39</v>
      </c>
      <c r="R649" s="96">
        <f>+R647+R648</f>
        <v>88</v>
      </c>
    </row>
    <row r="650" spans="1:18" ht="12.75" customHeight="1" x14ac:dyDescent="0.2">
      <c r="Q650" s="34"/>
    </row>
    <row r="651" spans="1:18" s="34" customFormat="1" ht="12.75" customHeight="1" x14ac:dyDescent="0.2">
      <c r="B651" s="63" t="s">
        <v>33</v>
      </c>
      <c r="C651" s="32"/>
      <c r="D651" s="32"/>
      <c r="E651" s="32"/>
      <c r="F651" s="32"/>
      <c r="G651" s="62"/>
      <c r="H651" s="32"/>
      <c r="I651" s="32"/>
      <c r="J651" s="66"/>
      <c r="K651" s="66"/>
      <c r="L651" s="32"/>
      <c r="M651" s="32"/>
      <c r="N651" s="32"/>
      <c r="O651" s="32"/>
      <c r="P651" s="32"/>
      <c r="Q651" s="35"/>
      <c r="R651" s="62"/>
    </row>
    <row r="652" spans="1:18" ht="12.75" customHeight="1" x14ac:dyDescent="0.2">
      <c r="B652" s="63"/>
      <c r="C652" s="64" t="s">
        <v>236</v>
      </c>
      <c r="D652" s="65"/>
      <c r="E652" s="32"/>
      <c r="F652" s="32"/>
      <c r="G652" s="32"/>
      <c r="H652" s="32"/>
      <c r="I652" s="32"/>
      <c r="J652" s="66"/>
      <c r="K652" s="66"/>
      <c r="L652" s="32"/>
      <c r="M652" s="32"/>
      <c r="N652" s="32"/>
      <c r="O652" s="32"/>
      <c r="P652" s="32"/>
      <c r="Q652" s="35"/>
      <c r="R652" s="138"/>
    </row>
    <row r="653" spans="1:18" ht="12.75" customHeight="1" x14ac:dyDescent="0.2">
      <c r="A653" s="34"/>
      <c r="B653" s="4"/>
      <c r="C653" s="35"/>
      <c r="D653" s="35"/>
      <c r="E653" s="115"/>
      <c r="F653" s="115"/>
      <c r="G653" s="35"/>
      <c r="H653" s="35"/>
      <c r="I653" s="35"/>
      <c r="J653" s="84"/>
      <c r="K653" s="84"/>
      <c r="L653" s="35"/>
      <c r="M653" s="35"/>
      <c r="N653" s="35"/>
      <c r="O653" s="35"/>
      <c r="P653" s="35"/>
      <c r="Q653" s="35"/>
      <c r="R653" s="35"/>
    </row>
    <row r="654" spans="1:18" ht="12.75" customHeight="1" x14ac:dyDescent="0.2">
      <c r="A654" s="34"/>
      <c r="B654" s="149"/>
      <c r="C654" s="77"/>
      <c r="D654" s="77"/>
      <c r="E654" s="35"/>
      <c r="F654" s="35"/>
      <c r="G654" s="253"/>
      <c r="H654" s="77"/>
      <c r="I654" s="77"/>
      <c r="J654" s="275"/>
      <c r="K654" s="275"/>
      <c r="L654" s="77"/>
      <c r="M654" s="77"/>
      <c r="N654" s="77"/>
      <c r="O654" s="77"/>
      <c r="P654" s="77"/>
      <c r="Q654" s="77"/>
      <c r="R654" s="284"/>
    </row>
    <row r="655" spans="1:18" ht="12.75" customHeight="1" x14ac:dyDescent="0.2">
      <c r="A655" s="34"/>
      <c r="B655" s="1">
        <v>299101</v>
      </c>
      <c r="C655" s="35">
        <v>9</v>
      </c>
      <c r="D655" s="35" t="s">
        <v>237</v>
      </c>
      <c r="E655" s="35">
        <v>22</v>
      </c>
      <c r="F655" s="35">
        <v>29</v>
      </c>
      <c r="G655" s="140">
        <f>F655*0.666*24/72</f>
        <v>6.4379999999999997</v>
      </c>
      <c r="H655" s="265">
        <v>5</v>
      </c>
      <c r="I655" s="35">
        <v>0</v>
      </c>
      <c r="J655" s="84">
        <v>0</v>
      </c>
      <c r="K655" s="84">
        <v>0</v>
      </c>
      <c r="L655" s="265">
        <v>5</v>
      </c>
      <c r="M655" s="35">
        <v>0</v>
      </c>
      <c r="N655" s="35"/>
      <c r="O655" s="35">
        <f t="shared" ref="O655:P657" si="180">ROUND((+G655*N655)/100,0)</f>
        <v>0</v>
      </c>
      <c r="P655" s="35">
        <f t="shared" si="180"/>
        <v>0</v>
      </c>
      <c r="Q655" s="265">
        <v>0</v>
      </c>
      <c r="R655" s="85">
        <f>+Q655</f>
        <v>0</v>
      </c>
    </row>
    <row r="656" spans="1:18" ht="12.75" customHeight="1" x14ac:dyDescent="0.2">
      <c r="A656" s="34"/>
      <c r="B656" s="1">
        <v>457103</v>
      </c>
      <c r="C656" s="35">
        <v>14</v>
      </c>
      <c r="D656" s="35" t="s">
        <v>238</v>
      </c>
      <c r="E656" s="35">
        <v>59</v>
      </c>
      <c r="F656" s="35">
        <v>83</v>
      </c>
      <c r="G656" s="140">
        <f>F656*0.666*24/72</f>
        <v>18.426000000000002</v>
      </c>
      <c r="H656" s="265">
        <v>13</v>
      </c>
      <c r="I656" s="35">
        <v>0</v>
      </c>
      <c r="J656" s="84">
        <v>0</v>
      </c>
      <c r="K656" s="84">
        <v>0</v>
      </c>
      <c r="L656" s="265">
        <v>13</v>
      </c>
      <c r="M656" s="35">
        <v>0</v>
      </c>
      <c r="N656" s="35"/>
      <c r="O656" s="35">
        <f t="shared" si="180"/>
        <v>0</v>
      </c>
      <c r="P656" s="35">
        <f t="shared" si="180"/>
        <v>0</v>
      </c>
      <c r="Q656" s="265">
        <v>16</v>
      </c>
      <c r="R656" s="85">
        <f>+Q656</f>
        <v>16</v>
      </c>
    </row>
    <row r="657" spans="1:18" ht="12.75" customHeight="1" x14ac:dyDescent="0.2">
      <c r="A657" s="34"/>
      <c r="B657" s="1">
        <v>522101</v>
      </c>
      <c r="C657" s="35">
        <v>11</v>
      </c>
      <c r="D657" s="35" t="s">
        <v>239</v>
      </c>
      <c r="E657" s="35">
        <v>75</v>
      </c>
      <c r="F657" s="35">
        <v>100</v>
      </c>
      <c r="G657" s="140">
        <f>F657*0.666*24/72</f>
        <v>22.200000000000003</v>
      </c>
      <c r="H657" s="265">
        <v>13</v>
      </c>
      <c r="I657" s="35">
        <v>0</v>
      </c>
      <c r="J657" s="84">
        <v>0</v>
      </c>
      <c r="K657" s="84">
        <v>0</v>
      </c>
      <c r="L657" s="265">
        <v>12</v>
      </c>
      <c r="M657" s="35">
        <v>0</v>
      </c>
      <c r="N657" s="35"/>
      <c r="O657" s="35">
        <f t="shared" si="180"/>
        <v>0</v>
      </c>
      <c r="P657" s="35">
        <f t="shared" si="180"/>
        <v>0</v>
      </c>
      <c r="Q657" s="265">
        <v>11</v>
      </c>
      <c r="R657" s="85">
        <f>+Q657</f>
        <v>11</v>
      </c>
    </row>
    <row r="658" spans="1:18" s="34" customFormat="1" ht="12.75" customHeight="1" x14ac:dyDescent="0.2">
      <c r="B658" s="1"/>
      <c r="C658" s="35"/>
      <c r="D658" s="35"/>
      <c r="E658" s="140"/>
      <c r="F658" s="35"/>
      <c r="G658" s="106"/>
      <c r="H658" s="35"/>
      <c r="I658" s="35"/>
      <c r="J658" s="84"/>
      <c r="K658" s="84"/>
      <c r="L658" s="35"/>
      <c r="M658" s="35"/>
      <c r="N658" s="35"/>
      <c r="O658" s="35"/>
      <c r="P658" s="35"/>
      <c r="Q658" s="251"/>
      <c r="R658" s="285"/>
    </row>
    <row r="659" spans="1:18" s="34" customFormat="1" ht="12.75" customHeight="1" x14ac:dyDescent="0.2">
      <c r="B659" s="172" t="s">
        <v>37</v>
      </c>
      <c r="C659" s="173"/>
      <c r="D659" s="173">
        <f>COUNTA(B655:B657)</f>
        <v>3</v>
      </c>
      <c r="E659" s="249">
        <f t="shared" ref="E659:R659" si="181">SUM(E655:E657)</f>
        <v>156</v>
      </c>
      <c r="F659" s="249">
        <f t="shared" si="181"/>
        <v>212</v>
      </c>
      <c r="G659" s="249">
        <f t="shared" si="181"/>
        <v>47.064000000000007</v>
      </c>
      <c r="H659" s="249">
        <f t="shared" si="181"/>
        <v>31</v>
      </c>
      <c r="I659" s="255">
        <f t="shared" si="181"/>
        <v>0</v>
      </c>
      <c r="J659" s="255">
        <f t="shared" si="181"/>
        <v>0</v>
      </c>
      <c r="K659" s="255">
        <f t="shared" si="181"/>
        <v>0</v>
      </c>
      <c r="L659" s="249">
        <f t="shared" si="181"/>
        <v>30</v>
      </c>
      <c r="M659" s="249">
        <f t="shared" si="181"/>
        <v>0</v>
      </c>
      <c r="N659" s="255">
        <f t="shared" si="181"/>
        <v>0</v>
      </c>
      <c r="O659" s="255">
        <f t="shared" si="181"/>
        <v>0</v>
      </c>
      <c r="P659" s="255">
        <f t="shared" si="181"/>
        <v>0</v>
      </c>
      <c r="Q659" s="249">
        <f t="shared" si="181"/>
        <v>27</v>
      </c>
      <c r="R659" s="286">
        <f t="shared" si="181"/>
        <v>27</v>
      </c>
    </row>
    <row r="660" spans="1:18" s="34" customFormat="1" ht="12" customHeight="1" x14ac:dyDescent="0.2">
      <c r="B660" s="287" t="s">
        <v>493</v>
      </c>
      <c r="C660" s="288"/>
      <c r="D660" s="288"/>
      <c r="E660" s="288"/>
      <c r="F660" s="288"/>
      <c r="G660" s="288"/>
      <c r="H660" s="288"/>
      <c r="I660" s="288"/>
      <c r="J660" s="288"/>
      <c r="K660" s="288"/>
      <c r="L660" s="288"/>
      <c r="M660" s="288"/>
      <c r="N660" s="288"/>
      <c r="O660" s="288"/>
      <c r="P660" s="288"/>
      <c r="Q660" s="289"/>
      <c r="R660" s="53"/>
    </row>
    <row r="661" spans="1:18" s="34" customFormat="1" ht="12.75" customHeight="1" x14ac:dyDescent="0.2">
      <c r="B661" s="143"/>
      <c r="C661" s="144"/>
      <c r="D661" s="290"/>
      <c r="E661" s="144"/>
      <c r="F661" s="144"/>
      <c r="G661" s="144"/>
      <c r="H661" s="144"/>
      <c r="I661" s="144"/>
      <c r="J661" s="144"/>
      <c r="K661" s="144"/>
      <c r="L661" s="144"/>
      <c r="M661" s="145"/>
      <c r="N661" s="134"/>
      <c r="O661" s="134"/>
      <c r="P661" s="134"/>
      <c r="Q661" s="169" t="s">
        <v>39</v>
      </c>
      <c r="R661" s="96">
        <f>+R659+R660</f>
        <v>27</v>
      </c>
    </row>
    <row r="662" spans="1:18" s="34" customFormat="1" ht="12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spans="1:18" s="34" customFormat="1" ht="12.75" customHeight="1" x14ac:dyDescent="0.2">
      <c r="A663" s="5"/>
      <c r="B663" s="5"/>
      <c r="C663" s="5"/>
      <c r="D663" s="182"/>
      <c r="E663" s="182"/>
      <c r="F663" s="182"/>
      <c r="G663" s="213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spans="1:18" s="34" customFormat="1" ht="21.75" customHeight="1" x14ac:dyDescent="0.2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spans="1:18" s="34" customFormat="1" ht="12.75" customHeight="1" x14ac:dyDescent="0.2">
      <c r="B665" s="183"/>
      <c r="C665" s="5"/>
      <c r="D665" s="5"/>
      <c r="E665" s="5"/>
      <c r="F665" s="184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spans="1:18" x14ac:dyDescent="0.2">
      <c r="D666" s="184">
        <f>+D28+D47+D61+D78+D105+D128+D150+D185+D196+D206+D222+D232+D250+D276+D296+D318+D345+D358+D376+D403+D428+D463+D497+D510+D533+D574+D598+D631+D647+D659</f>
        <v>360</v>
      </c>
      <c r="E666" s="184">
        <f>+E28+E47+E61+E78+E105+E128+E150+E185+E196+E206+E222+E232+E250+E276+E296+E318+E345+E358+E376+E403+E428+E463+E497+E510+E533+E574+E598+E631+E647+E659</f>
        <v>33012</v>
      </c>
      <c r="F666" s="184">
        <f>+F28+F47+F61+F78+F105+F128+F150+F185+F196+F206+F222+F232+F250+F276+F296+F318+F345+F358+F376+F403+F428+F463+F497+F510+F533+F574+F598+F631+F647+F659</f>
        <v>51854</v>
      </c>
      <c r="G666" s="184">
        <f>+G28+G47+G61+G78+G105+G128+G150+G185+G196+G206+G222+G232+G250+G276+G296+G318+G345+G358+G376+G403+G428+G463+G497+G510+G533+G574+G598+G631+G647+G659</f>
        <v>11511.588000000002</v>
      </c>
    </row>
    <row r="667" spans="1:18" ht="12.75" customHeight="1" x14ac:dyDescent="0.2">
      <c r="B667" s="308"/>
      <c r="C667" s="308"/>
      <c r="D667" s="308"/>
      <c r="E667" s="308"/>
      <c r="F667" s="308"/>
      <c r="G667" s="308"/>
      <c r="H667" s="308"/>
      <c r="I667" s="308"/>
      <c r="J667" s="308"/>
      <c r="K667" s="308"/>
      <c r="L667" s="308"/>
      <c r="M667" s="308"/>
      <c r="N667" s="308"/>
      <c r="O667" s="308"/>
      <c r="P667" s="308"/>
      <c r="Q667" s="308"/>
    </row>
    <row r="668" spans="1:18" x14ac:dyDescent="0.2">
      <c r="D668" s="263" t="e">
        <f>#REF!</f>
        <v>#REF!</v>
      </c>
      <c r="E668" s="184" t="e">
        <f>#REF!</f>
        <v>#REF!</v>
      </c>
      <c r="F668" s="184" t="e">
        <f>#REF!</f>
        <v>#REF!</v>
      </c>
    </row>
    <row r="670" spans="1:18" x14ac:dyDescent="0.2">
      <c r="D670" s="184" t="e">
        <f>+D666-D668</f>
        <v>#REF!</v>
      </c>
      <c r="E670" s="184" t="e">
        <f t="shared" ref="E670:F670" si="182">+E666-E668</f>
        <v>#REF!</v>
      </c>
      <c r="F670" s="184" t="e">
        <f t="shared" si="182"/>
        <v>#REF!</v>
      </c>
      <c r="G670" s="184"/>
    </row>
    <row r="671" spans="1:18" x14ac:dyDescent="0.2">
      <c r="E671" s="184"/>
    </row>
  </sheetData>
  <sheetProtection selectLockedCells="1" selectUnlockedCells="1"/>
  <autoFilter ref="B12:R664" xr:uid="{00000000-0009-0000-0000-000000000000}"/>
  <sortState xmlns:xlrd2="http://schemas.microsoft.com/office/spreadsheetml/2017/richdata2" ref="B159:R182">
    <sortCondition ref="B159:B182"/>
  </sortState>
  <mergeCells count="11">
    <mergeCell ref="B1:R1"/>
    <mergeCell ref="B2:R2"/>
    <mergeCell ref="B3:R3"/>
    <mergeCell ref="B4:R4"/>
    <mergeCell ref="B5:R5"/>
    <mergeCell ref="L6:R6"/>
    <mergeCell ref="B667:Q667"/>
    <mergeCell ref="E7:F7"/>
    <mergeCell ref="J7:K7"/>
    <mergeCell ref="N7:O7"/>
    <mergeCell ref="N8:O8"/>
  </mergeCells>
  <pageMargins left="0.390277777777778" right="0.62986111111111098" top="0.98402777777777795" bottom="0.98402777777777795" header="0.51180555555555496" footer="0.51180555555555496"/>
  <pageSetup paperSize="75" scale="91" orientation="landscape" horizontalDpi="300" verticalDpi="300" r:id="rId1"/>
  <rowBreaks count="20" manualBreakCount="20">
    <brk id="33" max="16383" man="1"/>
    <brk id="52" max="16383" man="1"/>
    <brk id="70" max="16383" man="1"/>
    <brk id="87" max="16383" man="1"/>
    <brk id="114" max="16383" man="1"/>
    <brk id="138" max="16383" man="1"/>
    <brk id="162" max="16383" man="1"/>
    <brk id="193" max="16383" man="1"/>
    <brk id="214" max="16383" man="1"/>
    <brk id="230" max="16383" man="1"/>
    <brk id="243" max="16383" man="1"/>
    <brk id="284" max="16383" man="1"/>
    <brk id="312" max="16383" man="1"/>
    <brk id="330" max="16383" man="1"/>
    <brk id="365" max="16383" man="1"/>
    <brk id="384" max="16383" man="1"/>
    <brk id="413" max="16383" man="1"/>
    <brk id="438" max="16383" man="1"/>
    <brk id="519" max="16383" man="1"/>
    <brk id="585" max="16383" man="1"/>
  </rowBreaks>
  <colBreaks count="1" manualBreakCount="1">
    <brk id="19" max="1048575" man="1"/>
  </colBreaks>
  <ignoredErrors>
    <ignoredError sqref="G648:G659 G417:G419 R490 G490 R343:R345 R482:R487 G439:G441 G186:G191 R439:R441 G620 G375:G387 G482:G487 G500:G516 G624:G639 R391:R396 G391:G396 G313:G314 G602:G607 R313:R314 R248:R257 G248:G257 G566:G569 G536:G544 R536 G126:G127 G456:G464 R456:R461 G596:G600 G518:G527 G616:G618 G609:G614 R426:R436 G426:G436 R454 G454 R272:R278 G272:G278 R316:R320 G316:G320 G571:G577 R244:R246 G244:G246 R205 R492:R493 G493 R406:R415 G406:G415 G446:G452 R446:R452 H659:J659 K654:Q654 O126:P126 G128:Q128 O39:P45 K658:Q659 K655:K657 O496:Q497 O490:P495 R645:R677 P642 P646:Q647 G646:N647 G645 G642:G643 R642:R643 P639 O605:Q605 S602:S605 O601:S601 O581:Q583 O597:Q597 O630:Q632 O624:P629 R624:R633 O532:Q533 I14:K26 M14:P26 O596:P596 I645:K645 I642:K643 M642:N642 M645:P645 M643:P643 M655:P657 M160:P160 I160:K160 R155:R160 G155:G160 O600:Q600 R294:R311 G294:G311 M166:P168 I166:K168 R166:R168 G166:G168 G185:P185 O343:P343 O328:P328 R323:R328 G323:G328 R357 O573:Q576 R602:R622 O607:P622 R422:R424 G422:G424 R280:R291 G280:G291 O330:P331 R330:R331 G330:G331 O334:P339 R334:R339 G334:G339 R347 G359:G370 G564 G529:G534 O520:P531 R500:R534 G554:G561 R374:R378 O598:P599 E359:F365 E575:F577 E151:F153 E317:F320 E277:F278 E599:F600 E534:F534 E464:F464 F631 E632:F638 F598 E602:F606 F574 E580:F583 F533 E536:F541 F510:F511 E512:F519 F497 E500:F506 F463 E469:F474 F428 E429:F435 F403 E406:F411 F376 E377:F383 F276 E280:F283 F150 E155:F159 F105 E106:F113 E658:F659 E597:F597 E573:F573 E532:F532 E509:F509 E496:F496 E462:F462 E427:F427 E402:F402 E375:F375 E357:G357 E349:G354 E295:F304 E275:F275 E205:G205 E195:F202 E184:F191 E149:F149 E127:F136 E104:F104 E77:F86 E60:F69 E46:F46 E221:F229 E323:F327 E646:F654 E630:F630 E249:F256 E27:F28 G547:G552 R542:S561 O542:P561 G39:G46 R39:R46 G173:G184 R173:R191 I173:K183 M173:P183 G261:G268 R261:R269 O124:P124 R124 G124 O577:P580 R126:R153 G129:G153 M170:P171 I170:K171 R170:R171 G170:G171 R14:R31 G14:G28 E48:F55 R218:R229 G218:G229 O564:P572 R564:S576 R380:R387 E404:F404 G402:G404 R402:R404 O57:P59 G76:G96 R76:R96 R351:R355 R540:R541 R34:R36 R48:R74 G48:G74 R635:R639 R359:R372 G194:G203 R194:R203 E207:F213 R207:R216 G207:G216 G99:G119 R99:R119 O114:P119 R596:S600 E498:F498 R495:R498 G495:G498 O482:P487 G488 R488 E344:F347 G343:G347 O602:P604 R464 O475:P476 G469:G476 R469:R476 P56 G121:G122 R121:R122 O121:P122 R417:R420 E231:F239 R231:R241 G231:G241 G163:G164 R163:R164 I163:K164 M163:P164 S577:S581 R582:S594 O584:P594 G580:G594 E30:G36 I184:Q184 O478:P480 G478:G480 R478:R480 O488:P488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603"/>
  <sheetViews>
    <sheetView showGridLines="0" tabSelected="1" zoomScale="160" zoomScaleNormal="160" workbookViewId="0">
      <selection activeCell="J11" sqref="J11"/>
    </sheetView>
  </sheetViews>
  <sheetFormatPr baseColWidth="10" defaultColWidth="10.85546875" defaultRowHeight="12.75" x14ac:dyDescent="0.2"/>
  <cols>
    <col min="1" max="1" width="8.28515625" style="34" customWidth="1"/>
    <col min="2" max="2" width="30.28515625" style="34" customWidth="1"/>
    <col min="3" max="9" width="12.85546875" style="185" customWidth="1"/>
    <col min="10" max="10" width="16.42578125" style="185" customWidth="1"/>
    <col min="11" max="11" width="6.28515625" style="34" customWidth="1"/>
    <col min="12" max="12" width="7" style="34" customWidth="1"/>
    <col min="13" max="13" width="6.140625" style="34" customWidth="1"/>
    <col min="14" max="14" width="7.42578125" style="34" customWidth="1"/>
    <col min="15" max="15" width="8" style="34" customWidth="1"/>
    <col min="16" max="1024" width="10.85546875" style="34"/>
  </cols>
  <sheetData>
    <row r="1" spans="1:20" ht="20.85" customHeight="1" x14ac:dyDescent="0.3">
      <c r="A1" s="303" t="s">
        <v>459</v>
      </c>
      <c r="B1" s="303"/>
      <c r="C1" s="303"/>
      <c r="D1" s="303"/>
      <c r="E1" s="303"/>
      <c r="F1" s="303"/>
      <c r="G1" s="303"/>
      <c r="H1" s="303"/>
      <c r="I1" s="303"/>
      <c r="J1" s="303"/>
    </row>
    <row r="2" spans="1:20" ht="20.100000000000001" customHeight="1" x14ac:dyDescent="0.2">
      <c r="A2" s="304" t="s">
        <v>2</v>
      </c>
      <c r="B2" s="304"/>
      <c r="C2" s="304"/>
      <c r="D2" s="304"/>
      <c r="E2" s="304"/>
      <c r="F2" s="304"/>
      <c r="G2" s="304"/>
      <c r="H2" s="304"/>
      <c r="I2" s="304"/>
      <c r="J2" s="304"/>
    </row>
    <row r="3" spans="1:20" ht="17.850000000000001" customHeight="1" x14ac:dyDescent="0.2">
      <c r="A3" s="305" t="s">
        <v>240</v>
      </c>
      <c r="B3" s="305"/>
      <c r="C3" s="305"/>
      <c r="D3" s="305"/>
      <c r="E3" s="305"/>
      <c r="F3" s="305"/>
      <c r="G3" s="305"/>
      <c r="H3" s="305"/>
      <c r="I3" s="305"/>
      <c r="J3" s="305"/>
    </row>
    <row r="4" spans="1:20" ht="17.850000000000001" customHeight="1" x14ac:dyDescent="0.2">
      <c r="A4" s="305" t="str">
        <f>+'POR ALMACEN'!B4</f>
        <v>REQUERIMIENTO DE LECHE EN POLVO CORRESPONDIENTE AL MES DE MARZO DEL 2026</v>
      </c>
      <c r="B4" s="305"/>
      <c r="C4" s="305" t="s">
        <v>4</v>
      </c>
      <c r="D4" s="305"/>
      <c r="E4" s="305"/>
      <c r="F4" s="305"/>
      <c r="G4" s="305"/>
      <c r="H4" s="305"/>
      <c r="I4" s="305"/>
      <c r="J4" s="305"/>
    </row>
    <row r="5" spans="1:20" ht="20.100000000000001" customHeight="1" x14ac:dyDescent="0.2">
      <c r="A5" s="306" t="s">
        <v>460</v>
      </c>
      <c r="B5" s="306"/>
      <c r="C5" s="306"/>
      <c r="D5" s="306"/>
      <c r="E5" s="306"/>
      <c r="F5" s="306"/>
      <c r="G5" s="306"/>
      <c r="H5" s="306"/>
      <c r="I5" s="306"/>
      <c r="J5" s="306"/>
    </row>
    <row r="6" spans="1:20" ht="18.600000000000001" customHeight="1" x14ac:dyDescent="0.2">
      <c r="A6" s="295" t="s">
        <v>448</v>
      </c>
      <c r="B6" s="295"/>
      <c r="C6" s="295"/>
      <c r="D6" s="295"/>
      <c r="E6" s="295"/>
      <c r="F6" s="295"/>
      <c r="G6" s="295"/>
      <c r="H6" s="295"/>
      <c r="I6" s="295"/>
      <c r="J6" s="295"/>
    </row>
    <row r="7" spans="1:20" ht="15.2" customHeight="1" x14ac:dyDescent="0.2">
      <c r="A7" s="296" t="s">
        <v>241</v>
      </c>
      <c r="B7" s="296"/>
      <c r="C7" s="297" t="s">
        <v>242</v>
      </c>
      <c r="D7" s="298" t="s">
        <v>7</v>
      </c>
      <c r="E7" s="298"/>
      <c r="F7" s="297" t="s">
        <v>243</v>
      </c>
      <c r="G7" s="299" t="s">
        <v>244</v>
      </c>
      <c r="H7" s="298" t="s">
        <v>245</v>
      </c>
      <c r="I7" s="298"/>
      <c r="J7" s="300" t="s">
        <v>246</v>
      </c>
    </row>
    <row r="8" spans="1:20" ht="18.75" customHeight="1" x14ac:dyDescent="0.2">
      <c r="A8" s="296"/>
      <c r="B8" s="296"/>
      <c r="C8" s="297"/>
      <c r="D8" s="301" t="s">
        <v>19</v>
      </c>
      <c r="E8" s="301" t="s">
        <v>20</v>
      </c>
      <c r="F8" s="297"/>
      <c r="G8" s="299"/>
      <c r="H8" s="301" t="s">
        <v>14</v>
      </c>
      <c r="I8" s="302" t="s">
        <v>281</v>
      </c>
      <c r="J8" s="300"/>
      <c r="L8" s="235"/>
    </row>
    <row r="9" spans="1:20" ht="18.75" customHeight="1" x14ac:dyDescent="0.2">
      <c r="A9" s="296"/>
      <c r="B9" s="296"/>
      <c r="C9" s="297"/>
      <c r="D9" s="301"/>
      <c r="E9" s="301"/>
      <c r="F9" s="297"/>
      <c r="G9" s="299"/>
      <c r="H9" s="301"/>
      <c r="I9" s="302"/>
      <c r="J9" s="300"/>
    </row>
    <row r="10" spans="1:20" ht="8.1" customHeight="1" thickBot="1" x14ac:dyDescent="0.25">
      <c r="G10" s="186"/>
    </row>
    <row r="11" spans="1:20" s="193" customFormat="1" ht="20.100000000000001" customHeight="1" thickBot="1" x14ac:dyDescent="0.25">
      <c r="A11" s="187" t="s">
        <v>247</v>
      </c>
      <c r="B11" s="188"/>
      <c r="C11" s="189"/>
      <c r="D11" s="189"/>
      <c r="E11" s="189"/>
      <c r="F11" s="190"/>
      <c r="G11" s="189"/>
      <c r="H11" s="191"/>
      <c r="I11" s="189"/>
      <c r="J11" s="192">
        <f>SUM(I13:I20)</f>
        <v>1712</v>
      </c>
      <c r="L11" s="219"/>
      <c r="M11" s="219"/>
      <c r="N11" s="219"/>
      <c r="O11" s="219"/>
      <c r="P11" s="219"/>
      <c r="Q11" s="219"/>
      <c r="T11" s="219"/>
    </row>
    <row r="12" spans="1:20" ht="8.1" customHeight="1" x14ac:dyDescent="0.2">
      <c r="A12" s="195"/>
      <c r="B12" s="113"/>
      <c r="C12" s="186"/>
      <c r="D12" s="186"/>
      <c r="E12" s="186"/>
      <c r="F12" s="186"/>
      <c r="G12" s="186"/>
      <c r="H12" s="186"/>
      <c r="I12" s="186"/>
      <c r="J12" s="196"/>
    </row>
    <row r="13" spans="1:20" x14ac:dyDescent="0.2">
      <c r="A13" s="197"/>
      <c r="B13" s="34" t="s">
        <v>248</v>
      </c>
      <c r="C13" s="186">
        <f>+'POR ALMACEN'!D28</f>
        <v>13</v>
      </c>
      <c r="D13" s="186">
        <f>'POR ALMACEN'!E28</f>
        <v>1682</v>
      </c>
      <c r="E13" s="186">
        <f>'POR ALMACEN'!F28</f>
        <v>2406</v>
      </c>
      <c r="F13" s="186">
        <f>+'POR ALMACEN'!G28</f>
        <v>534.13200000000006</v>
      </c>
      <c r="G13" s="186">
        <f>+'POR ALMACEN'!I28</f>
        <v>0</v>
      </c>
      <c r="H13" s="198">
        <f>+'POR ALMACEN'!Q28</f>
        <v>189</v>
      </c>
      <c r="I13" s="186">
        <f t="shared" ref="I13:I20" si="0">H13-G13</f>
        <v>189</v>
      </c>
      <c r="J13" s="196"/>
      <c r="K13" s="185"/>
      <c r="L13" s="185"/>
      <c r="P13" s="220"/>
      <c r="Q13" s="220"/>
      <c r="R13" s="220"/>
    </row>
    <row r="14" spans="1:20" x14ac:dyDescent="0.2">
      <c r="A14" s="197"/>
      <c r="B14" s="34" t="s">
        <v>249</v>
      </c>
      <c r="C14" s="186">
        <f>+'POR ALMACEN'!D47</f>
        <v>9</v>
      </c>
      <c r="D14" s="186">
        <f>+'POR ALMACEN'!E47</f>
        <v>672</v>
      </c>
      <c r="E14" s="186">
        <f>+'POR ALMACEN'!F47</f>
        <v>1030</v>
      </c>
      <c r="F14" s="186">
        <f>+'POR ALMACEN'!G47</f>
        <v>228.66000000000003</v>
      </c>
      <c r="G14" s="186">
        <f>+'POR ALMACEN'!I47</f>
        <v>0</v>
      </c>
      <c r="H14" s="198">
        <f>+'POR ALMACEN'!Q47</f>
        <v>150</v>
      </c>
      <c r="I14" s="186">
        <f t="shared" si="0"/>
        <v>150</v>
      </c>
      <c r="J14" s="196"/>
      <c r="K14" s="185"/>
      <c r="L14" s="185"/>
      <c r="M14" s="220"/>
      <c r="P14" s="220"/>
      <c r="Q14" s="220"/>
      <c r="R14" s="220"/>
    </row>
    <row r="15" spans="1:20" x14ac:dyDescent="0.2">
      <c r="A15" s="197"/>
      <c r="B15" s="34" t="s">
        <v>250</v>
      </c>
      <c r="C15" s="186">
        <f>+'POR ALMACEN'!D61</f>
        <v>4</v>
      </c>
      <c r="D15" s="186">
        <f>+'POR ALMACEN'!E61</f>
        <v>419</v>
      </c>
      <c r="E15" s="186">
        <f>+'POR ALMACEN'!F61</f>
        <v>740</v>
      </c>
      <c r="F15" s="186">
        <f>+'POR ALMACEN'!G61</f>
        <v>164.28</v>
      </c>
      <c r="G15" s="186">
        <f>+'POR ALMACEN'!I61</f>
        <v>0</v>
      </c>
      <c r="H15" s="198">
        <f>+'POR ALMACEN'!Q61</f>
        <v>118</v>
      </c>
      <c r="I15" s="186">
        <f t="shared" si="0"/>
        <v>118</v>
      </c>
      <c r="J15" s="196"/>
      <c r="K15" s="185"/>
      <c r="L15" s="185"/>
      <c r="M15" s="220"/>
      <c r="P15" s="220"/>
      <c r="Q15" s="220"/>
      <c r="R15" s="220"/>
    </row>
    <row r="16" spans="1:20" x14ac:dyDescent="0.2">
      <c r="A16" s="197"/>
      <c r="B16" s="34" t="s">
        <v>251</v>
      </c>
      <c r="C16" s="186">
        <f>+'POR ALMACEN'!D78</f>
        <v>7</v>
      </c>
      <c r="D16" s="186">
        <f>+'POR ALMACEN'!E78</f>
        <v>749</v>
      </c>
      <c r="E16" s="186">
        <f>+'POR ALMACEN'!F78</f>
        <v>1207</v>
      </c>
      <c r="F16" s="186">
        <f>+'POR ALMACEN'!G78</f>
        <v>267.95400000000001</v>
      </c>
      <c r="G16" s="186">
        <f>+'POR ALMACEN'!I78</f>
        <v>0</v>
      </c>
      <c r="H16" s="198">
        <f>+'POR ALMACEN'!Q78</f>
        <v>187</v>
      </c>
      <c r="I16" s="186">
        <f t="shared" si="0"/>
        <v>187</v>
      </c>
      <c r="J16" s="196"/>
      <c r="K16" s="185"/>
      <c r="L16" s="185"/>
      <c r="M16" s="220"/>
      <c r="P16" s="220"/>
      <c r="Q16" s="220"/>
      <c r="R16" s="220"/>
    </row>
    <row r="17" spans="1:20" x14ac:dyDescent="0.2">
      <c r="A17" s="197"/>
      <c r="B17" s="34" t="s">
        <v>252</v>
      </c>
      <c r="C17" s="186">
        <f>+'POR ALMACEN'!D105</f>
        <v>17</v>
      </c>
      <c r="D17" s="186">
        <f>+'POR ALMACEN'!E105</f>
        <v>1478</v>
      </c>
      <c r="E17" s="186">
        <f>+'POR ALMACEN'!F105</f>
        <v>2366</v>
      </c>
      <c r="F17" s="186">
        <f>+'POR ALMACEN'!G105</f>
        <v>525.25199999999995</v>
      </c>
      <c r="G17" s="186">
        <f>+'POR ALMACEN'!I105</f>
        <v>0</v>
      </c>
      <c r="H17" s="198">
        <f>+'POR ALMACEN'!Q105</f>
        <v>281</v>
      </c>
      <c r="I17" s="186">
        <f t="shared" si="0"/>
        <v>281</v>
      </c>
      <c r="J17" s="196"/>
      <c r="K17" s="185"/>
      <c r="L17" s="185"/>
      <c r="M17" s="220"/>
      <c r="P17" s="220"/>
      <c r="Q17" s="220"/>
      <c r="R17" s="220"/>
    </row>
    <row r="18" spans="1:20" x14ac:dyDescent="0.2">
      <c r="A18" s="197"/>
      <c r="B18" s="34" t="s">
        <v>253</v>
      </c>
      <c r="C18" s="186">
        <f>+'POR ALMACEN'!D128</f>
        <v>13</v>
      </c>
      <c r="D18" s="186">
        <f>+'POR ALMACEN'!E128</f>
        <v>1128</v>
      </c>
      <c r="E18" s="186">
        <f>+'POR ALMACEN'!F128</f>
        <v>1541</v>
      </c>
      <c r="F18" s="186">
        <f>+'POR ALMACEN'!G128</f>
        <v>342.10199999999998</v>
      </c>
      <c r="G18" s="186">
        <f>+'POR ALMACEN'!I128</f>
        <v>0</v>
      </c>
      <c r="H18" s="198">
        <f>+'POR ALMACEN'!Q128</f>
        <v>214</v>
      </c>
      <c r="I18" s="186">
        <f t="shared" si="0"/>
        <v>214</v>
      </c>
      <c r="J18" s="196"/>
      <c r="K18" s="185"/>
      <c r="L18" s="185"/>
      <c r="M18" s="220"/>
      <c r="P18" s="220"/>
      <c r="Q18" s="220"/>
      <c r="R18" s="220"/>
    </row>
    <row r="19" spans="1:20" x14ac:dyDescent="0.2">
      <c r="A19" s="197"/>
      <c r="B19" s="34" t="s">
        <v>254</v>
      </c>
      <c r="C19" s="186">
        <f>+'POR ALMACEN'!D150</f>
        <v>12</v>
      </c>
      <c r="D19" s="186">
        <f>+'POR ALMACEN'!E150</f>
        <v>1068</v>
      </c>
      <c r="E19" s="186">
        <f>+'POR ALMACEN'!F150</f>
        <v>1813</v>
      </c>
      <c r="F19" s="186">
        <f>+'POR ALMACEN'!G150</f>
        <v>402.48600000000005</v>
      </c>
      <c r="G19" s="186">
        <f>+'POR ALMACEN'!I150</f>
        <v>0</v>
      </c>
      <c r="H19" s="198">
        <f>+'POR ALMACEN'!Q150</f>
        <v>241</v>
      </c>
      <c r="I19" s="186">
        <f t="shared" si="0"/>
        <v>241</v>
      </c>
      <c r="J19" s="196"/>
      <c r="K19" s="185"/>
      <c r="L19" s="185"/>
      <c r="M19" s="220"/>
      <c r="P19" s="220"/>
      <c r="Q19" s="220"/>
      <c r="R19" s="220"/>
    </row>
    <row r="20" spans="1:20" x14ac:dyDescent="0.2">
      <c r="A20" s="197"/>
      <c r="B20" s="34" t="s">
        <v>255</v>
      </c>
      <c r="C20" s="186">
        <f>+'POR ALMACEN'!D185</f>
        <v>24</v>
      </c>
      <c r="D20" s="186">
        <f>+'POR ALMACEN'!E185</f>
        <v>1832</v>
      </c>
      <c r="E20" s="186">
        <f>+'POR ALMACEN'!F185</f>
        <v>2827</v>
      </c>
      <c r="F20" s="186">
        <f>+'POR ALMACEN'!G185</f>
        <v>627.59399999999994</v>
      </c>
      <c r="G20" s="186">
        <f>+'POR ALMACEN'!I185</f>
        <v>0</v>
      </c>
      <c r="H20" s="198">
        <f>+'POR ALMACEN'!Q185</f>
        <v>332</v>
      </c>
      <c r="I20" s="186">
        <f t="shared" si="0"/>
        <v>332</v>
      </c>
      <c r="J20" s="196"/>
      <c r="K20" s="185"/>
      <c r="L20" s="185"/>
      <c r="M20" s="220"/>
      <c r="P20" s="220"/>
      <c r="Q20" s="220"/>
      <c r="R20" s="220"/>
    </row>
    <row r="21" spans="1:20" s="34" customFormat="1" ht="11.25" customHeight="1" thickBot="1" x14ac:dyDescent="0.25">
      <c r="A21" s="195"/>
      <c r="B21" s="113"/>
      <c r="C21" s="186"/>
      <c r="D21" s="186"/>
      <c r="E21" s="186"/>
      <c r="F21" s="186"/>
      <c r="G21" s="186"/>
      <c r="H21" s="198"/>
      <c r="J21" s="199"/>
      <c r="L21" s="185"/>
    </row>
    <row r="22" spans="1:20" s="193" customFormat="1" ht="20.100000000000001" customHeight="1" thickBot="1" x14ac:dyDescent="0.25">
      <c r="A22" s="187" t="s">
        <v>256</v>
      </c>
      <c r="B22" s="188"/>
      <c r="C22" s="189"/>
      <c r="D22" s="189"/>
      <c r="E22" s="189"/>
      <c r="F22" s="190"/>
      <c r="G22" s="200"/>
      <c r="H22" s="201"/>
      <c r="I22" s="201"/>
      <c r="J22" s="192">
        <f>SUM(I24:I33)</f>
        <v>1755</v>
      </c>
      <c r="L22" s="219"/>
      <c r="M22" s="219"/>
      <c r="N22" s="219"/>
      <c r="O22" s="202"/>
      <c r="P22" s="219"/>
      <c r="Q22" s="219"/>
      <c r="R22" s="219"/>
      <c r="T22" s="219"/>
    </row>
    <row r="23" spans="1:20" ht="8.1" customHeight="1" x14ac:dyDescent="0.2">
      <c r="A23" s="195"/>
      <c r="B23" s="113"/>
      <c r="C23" s="186"/>
      <c r="D23" s="186"/>
      <c r="E23" s="186"/>
      <c r="F23" s="186"/>
      <c r="G23" s="186"/>
      <c r="H23" s="198"/>
      <c r="I23" s="113"/>
      <c r="J23" s="196"/>
      <c r="L23" s="221"/>
      <c r="N23" s="113"/>
      <c r="O23" s="113"/>
      <c r="P23" s="113"/>
    </row>
    <row r="24" spans="1:20" x14ac:dyDescent="0.2">
      <c r="A24" s="197"/>
      <c r="B24" s="34" t="s">
        <v>257</v>
      </c>
      <c r="C24" s="186">
        <f>+'POR ALMACEN'!D196</f>
        <v>3</v>
      </c>
      <c r="D24" s="186">
        <f>'POR ALMACEN'!E196</f>
        <v>258</v>
      </c>
      <c r="E24" s="186">
        <f>'POR ALMACEN'!F196</f>
        <v>402</v>
      </c>
      <c r="F24" s="186">
        <f>+'POR ALMACEN'!G196</f>
        <v>89.243999999999986</v>
      </c>
      <c r="G24" s="186">
        <f>+'POR ALMACEN'!I196</f>
        <v>0</v>
      </c>
      <c r="H24" s="198">
        <f>'POR ALMACEN'!Q196</f>
        <v>72</v>
      </c>
      <c r="I24" s="186">
        <f t="shared" ref="I24:I33" si="1">H24-G24</f>
        <v>72</v>
      </c>
      <c r="J24" s="196"/>
      <c r="K24" s="185"/>
      <c r="L24" s="221"/>
      <c r="M24" s="220"/>
      <c r="N24" s="113"/>
      <c r="O24" s="113"/>
      <c r="P24" s="222"/>
      <c r="Q24" s="220"/>
      <c r="R24" s="220"/>
    </row>
    <row r="25" spans="1:20" x14ac:dyDescent="0.2">
      <c r="A25" s="197"/>
      <c r="B25" s="34" t="s">
        <v>258</v>
      </c>
      <c r="C25" s="186">
        <f>+'POR ALMACEN'!D206</f>
        <v>2</v>
      </c>
      <c r="D25" s="186">
        <f>'POR ALMACEN'!E206</f>
        <v>185</v>
      </c>
      <c r="E25" s="186">
        <f>'POR ALMACEN'!F206</f>
        <v>322</v>
      </c>
      <c r="F25" s="186">
        <f>+'POR ALMACEN'!G203</f>
        <v>41.07</v>
      </c>
      <c r="G25" s="186">
        <f>+'POR ALMACEN'!I205</f>
        <v>0</v>
      </c>
      <c r="H25" s="198">
        <f>+'POR ALMACEN'!Q206</f>
        <v>10</v>
      </c>
      <c r="I25" s="186">
        <f t="shared" si="1"/>
        <v>10</v>
      </c>
      <c r="J25" s="196"/>
      <c r="K25" s="185"/>
      <c r="L25" s="221"/>
      <c r="M25" s="113"/>
      <c r="N25" s="113"/>
      <c r="O25" s="113"/>
      <c r="P25" s="222"/>
      <c r="Q25" s="220"/>
      <c r="R25" s="220"/>
    </row>
    <row r="26" spans="1:20" x14ac:dyDescent="0.2">
      <c r="A26" s="197"/>
      <c r="B26" s="34" t="s">
        <v>259</v>
      </c>
      <c r="C26" s="186">
        <f>+'POR ALMACEN'!D222</f>
        <v>7</v>
      </c>
      <c r="D26" s="186">
        <f>'POR ALMACEN'!E222</f>
        <v>817</v>
      </c>
      <c r="E26" s="186">
        <f>'POR ALMACEN'!F222</f>
        <v>1245</v>
      </c>
      <c r="F26" s="186">
        <f>'POR ALMACEN'!G222</f>
        <v>276.39</v>
      </c>
      <c r="G26" s="186">
        <f>+'POR ALMACEN'!I206</f>
        <v>0</v>
      </c>
      <c r="H26" s="198">
        <f>+'POR ALMACEN'!Q222</f>
        <v>196</v>
      </c>
      <c r="I26" s="186">
        <f t="shared" si="1"/>
        <v>196</v>
      </c>
      <c r="J26" s="196"/>
      <c r="K26" s="185"/>
      <c r="L26" s="221"/>
      <c r="M26" s="113"/>
      <c r="N26" s="221"/>
      <c r="O26" s="113"/>
      <c r="P26" s="222"/>
      <c r="Q26" s="220"/>
      <c r="R26" s="220"/>
    </row>
    <row r="27" spans="1:20" x14ac:dyDescent="0.2">
      <c r="A27" s="197"/>
      <c r="B27" s="34" t="s">
        <v>260</v>
      </c>
      <c r="C27" s="186">
        <f>+'POR ALMACEN'!D232</f>
        <v>1</v>
      </c>
      <c r="D27" s="186">
        <f>'POR ALMACEN'!E232</f>
        <v>79</v>
      </c>
      <c r="E27" s="186">
        <f>'POR ALMACEN'!F232</f>
        <v>116</v>
      </c>
      <c r="F27" s="186">
        <f>'POR ALMACEN'!G232</f>
        <v>25.751999999999999</v>
      </c>
      <c r="G27" s="186">
        <f>+'POR ALMACEN'!I231</f>
        <v>0</v>
      </c>
      <c r="H27" s="198">
        <f>+'POR ALMACEN'!Q232</f>
        <v>22</v>
      </c>
      <c r="I27" s="186">
        <f t="shared" si="1"/>
        <v>22</v>
      </c>
      <c r="J27" s="196"/>
      <c r="K27" s="185"/>
      <c r="L27" s="221"/>
      <c r="M27" s="113"/>
      <c r="N27" s="113"/>
      <c r="O27" s="113"/>
      <c r="P27" s="222"/>
      <c r="Q27" s="220"/>
      <c r="R27" s="220"/>
    </row>
    <row r="28" spans="1:20" x14ac:dyDescent="0.2">
      <c r="A28" s="197"/>
      <c r="B28" s="34" t="s">
        <v>261</v>
      </c>
      <c r="C28" s="186">
        <f>+'POR ALMACEN'!D250</f>
        <v>9</v>
      </c>
      <c r="D28" s="186">
        <f>'POR ALMACEN'!E250</f>
        <v>639</v>
      </c>
      <c r="E28" s="186">
        <f>'POR ALMACEN'!F250</f>
        <v>1026</v>
      </c>
      <c r="F28" s="186">
        <f>'POR ALMACEN'!G250</f>
        <v>227.77199999999999</v>
      </c>
      <c r="G28" s="186">
        <f>+'POR ALMACEN'!I249</f>
        <v>0</v>
      </c>
      <c r="H28" s="198">
        <f>+'POR ALMACEN'!Q250</f>
        <v>165</v>
      </c>
      <c r="I28" s="186">
        <f t="shared" si="1"/>
        <v>165</v>
      </c>
      <c r="J28" s="196"/>
      <c r="K28" s="185"/>
      <c r="L28" s="221"/>
      <c r="M28" s="113"/>
      <c r="N28" s="113"/>
      <c r="O28" s="113"/>
      <c r="P28" s="222"/>
      <c r="Q28" s="220"/>
      <c r="R28" s="220"/>
    </row>
    <row r="29" spans="1:20" x14ac:dyDescent="0.2">
      <c r="A29" s="197"/>
      <c r="B29" s="34" t="s">
        <v>262</v>
      </c>
      <c r="C29" s="186">
        <f>+'POR ALMACEN'!D276</f>
        <v>18</v>
      </c>
      <c r="D29" s="186">
        <f>'POR ALMACEN'!E276</f>
        <v>1567</v>
      </c>
      <c r="E29" s="186">
        <f>'POR ALMACEN'!F276</f>
        <v>2538</v>
      </c>
      <c r="F29" s="186">
        <f>'POR ALMACEN'!G276</f>
        <v>563.43600000000015</v>
      </c>
      <c r="G29" s="186">
        <f>+'POR ALMACEN'!I275</f>
        <v>0</v>
      </c>
      <c r="H29" s="198">
        <f>+'POR ALMACEN'!Q276</f>
        <v>369</v>
      </c>
      <c r="I29" s="186">
        <f t="shared" si="1"/>
        <v>369</v>
      </c>
      <c r="J29" s="196"/>
      <c r="K29" s="185"/>
      <c r="L29" s="221"/>
      <c r="M29" s="113"/>
      <c r="N29" s="113"/>
      <c r="O29" s="113"/>
      <c r="P29" s="222"/>
      <c r="Q29" s="220"/>
      <c r="R29" s="220"/>
    </row>
    <row r="30" spans="1:20" x14ac:dyDescent="0.2">
      <c r="A30" s="197"/>
      <c r="B30" s="34" t="s">
        <v>263</v>
      </c>
      <c r="C30" s="186">
        <f>+'POR ALMACEN'!D296</f>
        <v>11</v>
      </c>
      <c r="D30" s="186">
        <f>'POR ALMACEN'!E296</f>
        <v>1182</v>
      </c>
      <c r="E30" s="186">
        <f>'POR ALMACEN'!F296</f>
        <v>1843</v>
      </c>
      <c r="F30" s="186">
        <f>'POR ALMACEN'!G296</f>
        <v>409.14600000000002</v>
      </c>
      <c r="G30" s="186">
        <f>+'POR ALMACEN'!I295</f>
        <v>0</v>
      </c>
      <c r="H30" s="198">
        <f>+'POR ALMACEN'!Q296</f>
        <v>235</v>
      </c>
      <c r="I30" s="186">
        <f t="shared" si="1"/>
        <v>235</v>
      </c>
      <c r="J30" s="196"/>
      <c r="K30" s="185"/>
      <c r="L30" s="221"/>
      <c r="M30" s="113"/>
      <c r="N30" s="113"/>
      <c r="O30" s="113"/>
      <c r="P30" s="222"/>
      <c r="Q30" s="220"/>
      <c r="R30" s="220"/>
    </row>
    <row r="31" spans="1:20" x14ac:dyDescent="0.2">
      <c r="A31" s="197"/>
      <c r="B31" s="34" t="s">
        <v>264</v>
      </c>
      <c r="C31" s="186">
        <f>+'POR ALMACEN'!D318</f>
        <v>12</v>
      </c>
      <c r="D31" s="186">
        <f>'POR ALMACEN'!E318</f>
        <v>650</v>
      </c>
      <c r="E31" s="186">
        <f>'POR ALMACEN'!F318</f>
        <v>1044</v>
      </c>
      <c r="F31" s="186">
        <f>'POR ALMACEN'!G318</f>
        <v>231.768</v>
      </c>
      <c r="G31" s="186">
        <f>+'POR ALMACEN'!I318</f>
        <v>0</v>
      </c>
      <c r="H31" s="198">
        <f>+'POR ALMACEN'!Q318</f>
        <v>148</v>
      </c>
      <c r="I31" s="186">
        <f t="shared" si="1"/>
        <v>148</v>
      </c>
      <c r="J31" s="196"/>
      <c r="K31" s="185"/>
      <c r="L31" s="221"/>
      <c r="M31" s="113"/>
      <c r="N31" s="113"/>
      <c r="O31" s="113"/>
      <c r="P31" s="222"/>
      <c r="Q31" s="220"/>
      <c r="R31" s="220"/>
    </row>
    <row r="32" spans="1:20" x14ac:dyDescent="0.2">
      <c r="A32" s="197"/>
      <c r="B32" s="34" t="s">
        <v>265</v>
      </c>
      <c r="C32" s="186">
        <f>+'POR ALMACEN'!D345</f>
        <v>16</v>
      </c>
      <c r="D32" s="186">
        <f>'POR ALMACEN'!E345</f>
        <v>2338</v>
      </c>
      <c r="E32" s="186">
        <f>'POR ALMACEN'!F345</f>
        <v>3906</v>
      </c>
      <c r="F32" s="186">
        <f>'POR ALMACEN'!G345</f>
        <v>867.13200000000029</v>
      </c>
      <c r="G32" s="186">
        <f>+'POR ALMACEN'!I344</f>
        <v>0</v>
      </c>
      <c r="H32" s="198">
        <f>+'POR ALMACEN'!Q345</f>
        <v>525</v>
      </c>
      <c r="I32" s="186">
        <f t="shared" si="1"/>
        <v>525</v>
      </c>
      <c r="J32" s="196"/>
      <c r="K32" s="185"/>
      <c r="L32" s="221"/>
      <c r="M32" s="113"/>
      <c r="N32" s="113"/>
      <c r="O32" s="113"/>
      <c r="P32" s="222"/>
      <c r="Q32" s="220"/>
      <c r="R32" s="220"/>
    </row>
    <row r="33" spans="1:20" x14ac:dyDescent="0.2">
      <c r="A33" s="197"/>
      <c r="B33" s="34" t="s">
        <v>266</v>
      </c>
      <c r="C33" s="186">
        <f>+'POR ALMACEN'!D358</f>
        <v>2</v>
      </c>
      <c r="D33" s="186">
        <f>'POR ALMACEN'!E358</f>
        <v>77</v>
      </c>
      <c r="E33" s="186">
        <f>'POR ALMACEN'!F358</f>
        <v>140</v>
      </c>
      <c r="F33" s="186">
        <f>'POR ALMACEN'!G358</f>
        <v>31.08</v>
      </c>
      <c r="G33" s="186">
        <f>+'POR ALMACEN'!I357</f>
        <v>0</v>
      </c>
      <c r="H33" s="198">
        <f>+'POR ALMACEN'!Q358</f>
        <v>13</v>
      </c>
      <c r="I33" s="186">
        <f t="shared" si="1"/>
        <v>13</v>
      </c>
      <c r="J33" s="196"/>
      <c r="K33" s="185"/>
      <c r="L33" s="221"/>
      <c r="M33" s="113"/>
      <c r="N33" s="113"/>
      <c r="O33" s="113"/>
      <c r="P33" s="222"/>
      <c r="Q33" s="220"/>
      <c r="R33" s="220"/>
    </row>
    <row r="34" spans="1:20" ht="12" customHeight="1" thickBot="1" x14ac:dyDescent="0.25">
      <c r="A34" s="195"/>
      <c r="B34" s="113"/>
      <c r="C34" s="186"/>
      <c r="D34" s="186"/>
      <c r="E34" s="186"/>
      <c r="F34" s="186"/>
      <c r="G34" s="186"/>
      <c r="H34" s="198"/>
      <c r="I34" s="186"/>
      <c r="J34" s="196"/>
      <c r="L34" s="221"/>
      <c r="M34" s="113"/>
      <c r="N34" s="113"/>
      <c r="O34" s="113"/>
      <c r="P34" s="113"/>
    </row>
    <row r="35" spans="1:20" s="193" customFormat="1" ht="20.100000000000001" customHeight="1" thickBot="1" x14ac:dyDescent="0.25">
      <c r="A35" s="187" t="s">
        <v>267</v>
      </c>
      <c r="B35" s="188"/>
      <c r="C35" s="189"/>
      <c r="D35" s="189"/>
      <c r="E35" s="189"/>
      <c r="F35" s="189"/>
      <c r="G35" s="189"/>
      <c r="H35" s="201"/>
      <c r="I35" s="201"/>
      <c r="J35" s="192">
        <f>SUM(I37:I48)</f>
        <v>3325</v>
      </c>
      <c r="L35" s="219"/>
      <c r="M35" s="219"/>
      <c r="N35" s="219"/>
      <c r="O35" s="202"/>
      <c r="P35" s="219"/>
      <c r="Q35" s="219"/>
      <c r="T35" s="219"/>
    </row>
    <row r="36" spans="1:20" s="34" customFormat="1" ht="8.1" customHeight="1" x14ac:dyDescent="0.2">
      <c r="A36" s="195"/>
      <c r="B36" s="113"/>
      <c r="C36" s="186"/>
      <c r="D36" s="186"/>
      <c r="E36" s="186"/>
      <c r="F36" s="186"/>
      <c r="G36" s="186"/>
      <c r="H36" s="198"/>
      <c r="J36" s="196"/>
      <c r="L36" s="221"/>
      <c r="N36" s="113"/>
      <c r="O36" s="113"/>
      <c r="P36" s="113"/>
    </row>
    <row r="37" spans="1:20" x14ac:dyDescent="0.2">
      <c r="A37" s="197"/>
      <c r="B37" s="291" t="s">
        <v>268</v>
      </c>
      <c r="C37" s="186">
        <f>+'POR ALMACEN'!D376</f>
        <v>9</v>
      </c>
      <c r="D37" s="186">
        <f>'POR ALMACEN'!E376</f>
        <v>669</v>
      </c>
      <c r="E37" s="186">
        <f>'POR ALMACEN'!F376</f>
        <v>1105</v>
      </c>
      <c r="F37" s="186">
        <f>'POR ALMACEN'!G376</f>
        <v>245.31</v>
      </c>
      <c r="G37" s="186">
        <f>+'POR ALMACEN'!I375</f>
        <v>0</v>
      </c>
      <c r="H37" s="186">
        <f>+'POR ALMACEN'!Q376</f>
        <v>144</v>
      </c>
      <c r="I37" s="186">
        <f t="shared" ref="I37:I48" si="2">H37-G37</f>
        <v>144</v>
      </c>
      <c r="J37" s="196"/>
      <c r="K37" s="185"/>
      <c r="L37" s="221"/>
      <c r="M37" s="220"/>
      <c r="N37" s="113"/>
      <c r="O37" s="113"/>
      <c r="P37" s="222"/>
      <c r="Q37" s="220"/>
      <c r="R37" s="220"/>
    </row>
    <row r="38" spans="1:20" x14ac:dyDescent="0.2">
      <c r="A38" s="197"/>
      <c r="B38" s="291" t="s">
        <v>269</v>
      </c>
      <c r="C38" s="186">
        <f>+'POR ALMACEN'!D403</f>
        <v>18</v>
      </c>
      <c r="D38" s="186">
        <f>'POR ALMACEN'!E403</f>
        <v>3095</v>
      </c>
      <c r="E38" s="186">
        <f>'POR ALMACEN'!F403</f>
        <v>5230</v>
      </c>
      <c r="F38" s="186">
        <f>'POR ALMACEN'!G403</f>
        <v>1161.0599999999997</v>
      </c>
      <c r="G38" s="186">
        <f>+'POR ALMACEN'!I402</f>
        <v>0</v>
      </c>
      <c r="H38" s="186">
        <f>+'POR ALMACEN'!Q403</f>
        <v>749</v>
      </c>
      <c r="I38" s="186">
        <f t="shared" si="2"/>
        <v>749</v>
      </c>
      <c r="J38" s="196"/>
      <c r="K38" s="185"/>
      <c r="L38" s="221"/>
      <c r="M38" s="220"/>
      <c r="N38" s="113"/>
      <c r="O38" s="221"/>
      <c r="P38" s="222"/>
      <c r="Q38" s="220"/>
      <c r="R38" s="220"/>
    </row>
    <row r="39" spans="1:20" x14ac:dyDescent="0.2">
      <c r="A39" s="197"/>
      <c r="B39" s="291" t="s">
        <v>270</v>
      </c>
      <c r="C39" s="186">
        <f>+'POR ALMACEN'!D428</f>
        <v>15</v>
      </c>
      <c r="D39" s="186">
        <f>'POR ALMACEN'!E428</f>
        <v>1036</v>
      </c>
      <c r="E39" s="186">
        <f>'POR ALMACEN'!F428</f>
        <v>1591</v>
      </c>
      <c r="F39" s="186">
        <f>'POR ALMACEN'!G428</f>
        <v>353.202</v>
      </c>
      <c r="G39" s="186">
        <f>+'POR ALMACEN'!I427</f>
        <v>0</v>
      </c>
      <c r="H39" s="186">
        <f>+'POR ALMACEN'!Q428</f>
        <v>193</v>
      </c>
      <c r="I39" s="186">
        <f t="shared" si="2"/>
        <v>193</v>
      </c>
      <c r="J39" s="196"/>
      <c r="K39" s="185"/>
      <c r="L39" s="221"/>
      <c r="M39" s="220"/>
      <c r="N39" s="113"/>
      <c r="O39" s="113"/>
      <c r="P39" s="222"/>
      <c r="Q39" s="220"/>
      <c r="R39" s="220"/>
    </row>
    <row r="40" spans="1:20" x14ac:dyDescent="0.2">
      <c r="A40" s="197"/>
      <c r="B40" s="291" t="s">
        <v>271</v>
      </c>
      <c r="C40" s="186">
        <f>+'POR ALMACEN'!D463</f>
        <v>26</v>
      </c>
      <c r="D40" s="186">
        <f>'POR ALMACEN'!E463</f>
        <v>1791</v>
      </c>
      <c r="E40" s="186">
        <f>'POR ALMACEN'!F463</f>
        <v>2604</v>
      </c>
      <c r="F40" s="186">
        <f>'POR ALMACEN'!G463</f>
        <v>578.08799999999997</v>
      </c>
      <c r="G40" s="186">
        <f>+'POR ALMACEN'!I462</f>
        <v>0</v>
      </c>
      <c r="H40" s="186">
        <f>+'POR ALMACEN'!Q463</f>
        <v>296</v>
      </c>
      <c r="I40" s="186">
        <f t="shared" si="2"/>
        <v>296</v>
      </c>
      <c r="J40" s="196"/>
      <c r="K40" s="185"/>
      <c r="L40" s="221"/>
      <c r="M40" s="220"/>
      <c r="N40" s="113"/>
      <c r="O40" s="113"/>
      <c r="P40" s="222"/>
      <c r="Q40" s="220"/>
      <c r="R40" s="220"/>
    </row>
    <row r="41" spans="1:20" x14ac:dyDescent="0.2">
      <c r="A41" s="197"/>
      <c r="B41" s="291" t="s">
        <v>272</v>
      </c>
      <c r="C41" s="186">
        <f>+'POR ALMACEN'!D497</f>
        <v>21</v>
      </c>
      <c r="D41" s="186">
        <f>'POR ALMACEN'!E497</f>
        <v>1763</v>
      </c>
      <c r="E41" s="186">
        <f>'POR ALMACEN'!F497</f>
        <v>2560</v>
      </c>
      <c r="F41" s="186">
        <f>'POR ALMACEN'!G497</f>
        <v>568.31999999999994</v>
      </c>
      <c r="G41" s="186">
        <f>+'POR ALMACEN'!I497</f>
        <v>0</v>
      </c>
      <c r="H41" s="186">
        <f>+'POR ALMACEN'!Q497</f>
        <v>200</v>
      </c>
      <c r="I41" s="186">
        <f t="shared" si="2"/>
        <v>200</v>
      </c>
      <c r="J41" s="196"/>
      <c r="K41" s="185"/>
      <c r="L41" s="221"/>
      <c r="M41" s="220"/>
      <c r="N41" s="113"/>
      <c r="O41" s="113"/>
      <c r="P41" s="222"/>
      <c r="Q41" s="220"/>
      <c r="R41" s="220"/>
    </row>
    <row r="42" spans="1:20" x14ac:dyDescent="0.2">
      <c r="A42" s="197"/>
      <c r="B42" s="291" t="s">
        <v>273</v>
      </c>
      <c r="C42" s="186">
        <f>+'POR ALMACEN'!D510</f>
        <v>2</v>
      </c>
      <c r="D42" s="186">
        <f>'POR ALMACEN'!E510</f>
        <v>134</v>
      </c>
      <c r="E42" s="186">
        <f>'POR ALMACEN'!F510</f>
        <v>178</v>
      </c>
      <c r="F42" s="186">
        <f>'POR ALMACEN'!G510</f>
        <v>39.516000000000005</v>
      </c>
      <c r="G42" s="186">
        <f>+'POR ALMACEN'!I510</f>
        <v>0</v>
      </c>
      <c r="H42" s="186">
        <f>+'POR ALMACEN'!Q510</f>
        <v>30</v>
      </c>
      <c r="I42" s="186">
        <f t="shared" si="2"/>
        <v>30</v>
      </c>
      <c r="J42" s="196"/>
      <c r="K42" s="185"/>
      <c r="L42" s="221"/>
      <c r="M42" s="220"/>
      <c r="N42" s="113"/>
      <c r="O42" s="113"/>
      <c r="P42" s="222"/>
      <c r="Q42" s="220"/>
      <c r="R42" s="220"/>
    </row>
    <row r="43" spans="1:20" x14ac:dyDescent="0.2">
      <c r="A43" s="197"/>
      <c r="B43" s="291" t="s">
        <v>274</v>
      </c>
      <c r="C43" s="186">
        <f>+'POR ALMACEN'!D533</f>
        <v>12</v>
      </c>
      <c r="D43" s="186">
        <f>'POR ALMACEN'!E533</f>
        <v>792</v>
      </c>
      <c r="E43" s="186">
        <f>'POR ALMACEN'!F533</f>
        <v>1306</v>
      </c>
      <c r="F43" s="186">
        <f>'POR ALMACEN'!G533</f>
        <v>289.93199999999996</v>
      </c>
      <c r="G43" s="186">
        <f>+'POR ALMACEN'!I533</f>
        <v>0</v>
      </c>
      <c r="H43" s="186">
        <f>+'POR ALMACEN'!Q533</f>
        <v>194</v>
      </c>
      <c r="I43" s="186">
        <f t="shared" si="2"/>
        <v>194</v>
      </c>
      <c r="J43" s="196"/>
      <c r="K43" s="185"/>
      <c r="L43" s="221"/>
      <c r="M43" s="113"/>
      <c r="N43" s="113"/>
      <c r="O43" s="113"/>
      <c r="P43" s="222"/>
      <c r="Q43" s="220"/>
      <c r="R43" s="220"/>
    </row>
    <row r="44" spans="1:20" x14ac:dyDescent="0.2">
      <c r="A44" s="197"/>
      <c r="B44" s="291" t="s">
        <v>275</v>
      </c>
      <c r="C44" s="186">
        <f>+'POR ALMACEN'!D574</f>
        <v>31</v>
      </c>
      <c r="D44" s="186">
        <f>'POR ALMACEN'!E574</f>
        <v>2461</v>
      </c>
      <c r="E44" s="186">
        <f>'POR ALMACEN'!F574</f>
        <v>3592</v>
      </c>
      <c r="F44" s="186">
        <f>'POR ALMACEN'!G574</f>
        <v>797.42400000000009</v>
      </c>
      <c r="G44" s="186">
        <f>+'POR ALMACEN'!I574</f>
        <v>0</v>
      </c>
      <c r="H44" s="186">
        <f>+'POR ALMACEN'!Q574</f>
        <v>456</v>
      </c>
      <c r="I44" s="186">
        <f t="shared" si="2"/>
        <v>456</v>
      </c>
      <c r="J44" s="196"/>
      <c r="K44" s="185"/>
      <c r="L44" s="221"/>
      <c r="M44" s="113"/>
      <c r="N44" s="113"/>
      <c r="O44" s="113"/>
      <c r="P44" s="222"/>
      <c r="Q44" s="220"/>
      <c r="R44" s="220"/>
    </row>
    <row r="45" spans="1:20" x14ac:dyDescent="0.2">
      <c r="A45" s="197"/>
      <c r="B45" s="291" t="s">
        <v>276</v>
      </c>
      <c r="C45" s="186">
        <f>+'POR ALMACEN'!D598</f>
        <v>13</v>
      </c>
      <c r="D45" s="186">
        <f>'POR ALMACEN'!E598</f>
        <v>1778</v>
      </c>
      <c r="E45" s="186">
        <f>'POR ALMACEN'!F598</f>
        <v>2905</v>
      </c>
      <c r="F45" s="186">
        <f>'POR ALMACEN'!G598</f>
        <v>644.91000000000008</v>
      </c>
      <c r="G45" s="186">
        <f>+'POR ALMACEN'!I598</f>
        <v>0</v>
      </c>
      <c r="H45" s="186">
        <f>+'POR ALMACEN'!Q598</f>
        <v>412</v>
      </c>
      <c r="I45" s="186">
        <f t="shared" si="2"/>
        <v>412</v>
      </c>
      <c r="J45" s="196"/>
      <c r="K45" s="185"/>
      <c r="L45" s="221"/>
      <c r="M45" s="113"/>
      <c r="N45" s="113"/>
      <c r="O45" s="113"/>
      <c r="P45" s="222"/>
      <c r="Q45" s="220"/>
      <c r="R45" s="220"/>
    </row>
    <row r="46" spans="1:20" x14ac:dyDescent="0.2">
      <c r="A46" s="197"/>
      <c r="B46" s="291" t="s">
        <v>277</v>
      </c>
      <c r="C46" s="186">
        <f>+'POR ALMACEN'!D631</f>
        <v>23</v>
      </c>
      <c r="D46" s="186">
        <f>'POR ALMACEN'!E631</f>
        <v>1846</v>
      </c>
      <c r="E46" s="186">
        <f>'POR ALMACEN'!F631</f>
        <v>3100</v>
      </c>
      <c r="F46" s="186">
        <f>'POR ALMACEN'!G631</f>
        <v>688.2</v>
      </c>
      <c r="G46" s="186">
        <f>+'POR ALMACEN'!I631</f>
        <v>0</v>
      </c>
      <c r="H46" s="186">
        <f>+'POR ALMACEN'!Q631</f>
        <v>536</v>
      </c>
      <c r="I46" s="186">
        <f t="shared" si="2"/>
        <v>536</v>
      </c>
      <c r="J46" s="196"/>
      <c r="K46" s="185"/>
      <c r="L46" s="221"/>
      <c r="M46" s="113"/>
      <c r="N46" s="113"/>
      <c r="O46" s="113"/>
      <c r="P46" s="222"/>
      <c r="Q46" s="220"/>
      <c r="R46" s="220"/>
    </row>
    <row r="47" spans="1:20" x14ac:dyDescent="0.2">
      <c r="A47" s="197"/>
      <c r="B47" s="291" t="s">
        <v>278</v>
      </c>
      <c r="C47" s="186">
        <f>+'POR ALMACEN'!D647</f>
        <v>7</v>
      </c>
      <c r="D47" s="186">
        <f>'POR ALMACEN'!E647</f>
        <v>671</v>
      </c>
      <c r="E47" s="186">
        <f>'POR ALMACEN'!F647</f>
        <v>959</v>
      </c>
      <c r="F47" s="186">
        <f>'POR ALMACEN'!G647</f>
        <v>212.89800000000002</v>
      </c>
      <c r="G47" s="186">
        <f>+'POR ALMACEN'!I647</f>
        <v>0</v>
      </c>
      <c r="H47" s="186">
        <f>+'POR ALMACEN'!Q647</f>
        <v>88</v>
      </c>
      <c r="I47" s="186">
        <f t="shared" si="2"/>
        <v>88</v>
      </c>
      <c r="J47" s="196"/>
      <c r="K47" s="185"/>
      <c r="L47" s="221"/>
      <c r="M47" s="113"/>
      <c r="N47" s="113"/>
      <c r="O47" s="113"/>
      <c r="P47" s="222"/>
      <c r="Q47" s="220"/>
      <c r="R47" s="220"/>
    </row>
    <row r="48" spans="1:20" ht="11.25" customHeight="1" x14ac:dyDescent="0.2">
      <c r="A48" s="197"/>
      <c r="B48" s="291" t="s">
        <v>279</v>
      </c>
      <c r="C48" s="186">
        <f>+'POR ALMACEN'!D659</f>
        <v>3</v>
      </c>
      <c r="D48" s="186">
        <f>'POR ALMACEN'!E659</f>
        <v>156</v>
      </c>
      <c r="E48" s="186">
        <f>'POR ALMACEN'!F659</f>
        <v>212</v>
      </c>
      <c r="F48" s="186">
        <f>'POR ALMACEN'!G659</f>
        <v>47.064000000000007</v>
      </c>
      <c r="G48" s="186">
        <f>+'POR ALMACEN'!I659</f>
        <v>0</v>
      </c>
      <c r="H48" s="186">
        <f>+'POR ALMACEN'!Q659</f>
        <v>27</v>
      </c>
      <c r="I48" s="186">
        <f t="shared" si="2"/>
        <v>27</v>
      </c>
      <c r="J48" s="196"/>
      <c r="K48" s="185"/>
      <c r="L48" s="221"/>
      <c r="M48" s="113"/>
      <c r="N48" s="113"/>
      <c r="O48" s="113"/>
      <c r="P48" s="222"/>
      <c r="Q48" s="220"/>
      <c r="R48" s="220"/>
    </row>
    <row r="49" spans="1:16" ht="11.25" customHeight="1" x14ac:dyDescent="0.2">
      <c r="A49" s="197"/>
      <c r="C49" s="186"/>
      <c r="D49" s="186"/>
      <c r="E49" s="186"/>
      <c r="F49" s="186"/>
      <c r="G49" s="186"/>
      <c r="H49" s="186"/>
      <c r="I49" s="186"/>
      <c r="J49" s="196"/>
      <c r="L49" s="221"/>
      <c r="M49" s="221"/>
      <c r="N49" s="113"/>
      <c r="O49" s="113"/>
      <c r="P49" s="113"/>
    </row>
    <row r="50" spans="1:16" s="193" customFormat="1" ht="23.45" customHeight="1" x14ac:dyDescent="0.2">
      <c r="A50" s="203">
        <f>COUNTA(B13:B47)</f>
        <v>29</v>
      </c>
      <c r="B50" s="204" t="s">
        <v>280</v>
      </c>
      <c r="C50" s="205">
        <f t="shared" ref="C50:H50" si="3">SUM(C12:C49)</f>
        <v>360</v>
      </c>
      <c r="D50" s="205">
        <f t="shared" si="3"/>
        <v>33012</v>
      </c>
      <c r="E50" s="205">
        <f t="shared" si="3"/>
        <v>51854</v>
      </c>
      <c r="F50" s="205">
        <f t="shared" si="3"/>
        <v>11481.174000000001</v>
      </c>
      <c r="G50" s="205">
        <f t="shared" si="3"/>
        <v>0</v>
      </c>
      <c r="H50" s="205">
        <f t="shared" si="3"/>
        <v>6792</v>
      </c>
      <c r="I50" s="205">
        <f>SUM(I12:I49)</f>
        <v>6792</v>
      </c>
      <c r="J50" s="205">
        <f>SUM(J11:J49)</f>
        <v>6792</v>
      </c>
      <c r="L50" s="194"/>
      <c r="M50" s="194"/>
      <c r="N50" s="194"/>
      <c r="O50" s="202"/>
      <c r="P50" s="194"/>
    </row>
    <row r="51" spans="1:16" x14ac:dyDescent="0.2">
      <c r="A51" s="206"/>
      <c r="B51" s="207"/>
      <c r="C51" s="208"/>
      <c r="D51" s="208"/>
      <c r="E51" s="208"/>
      <c r="F51" s="208"/>
      <c r="G51" s="208"/>
      <c r="H51" s="208"/>
      <c r="I51" s="208"/>
      <c r="J51" s="209"/>
      <c r="L51" s="113"/>
      <c r="M51" s="113"/>
      <c r="N51" s="113"/>
      <c r="O51" s="113"/>
      <c r="P51" s="113"/>
    </row>
    <row r="52" spans="1:16" x14ac:dyDescent="0.2">
      <c r="L52" s="185">
        <f>+J11+J22+J35</f>
        <v>6792</v>
      </c>
      <c r="M52" s="34">
        <f>749+193+296+23+369+235+44+150+349+113+148+72+22+10+196+189+214+281+187+332+5+150+241+502+13+30+144+27+88+200+536+194+15+63+412</f>
        <v>6792</v>
      </c>
      <c r="N52" s="185">
        <f>+L52-M52</f>
        <v>0</v>
      </c>
      <c r="O52" s="202"/>
      <c r="P52" s="194"/>
    </row>
    <row r="53" spans="1:16" x14ac:dyDescent="0.2">
      <c r="I53" s="34"/>
      <c r="N53" s="185"/>
    </row>
    <row r="54" spans="1:16" x14ac:dyDescent="0.2">
      <c r="I54" s="34"/>
      <c r="L54" s="185"/>
      <c r="N54" s="185"/>
    </row>
    <row r="55" spans="1:16" x14ac:dyDescent="0.2">
      <c r="I55" s="34"/>
      <c r="N55" s="185"/>
    </row>
    <row r="56" spans="1:16" ht="20.25" x14ac:dyDescent="0.3">
      <c r="H56" s="294"/>
      <c r="I56" s="294"/>
      <c r="J56" s="294"/>
      <c r="N56" s="185"/>
      <c r="P56" s="185"/>
    </row>
    <row r="57" spans="1:16" x14ac:dyDescent="0.2">
      <c r="I57" s="34"/>
    </row>
    <row r="68" spans="9:9" x14ac:dyDescent="0.2">
      <c r="I68" s="34"/>
    </row>
    <row r="69" spans="9:9" x14ac:dyDescent="0.2">
      <c r="I69" s="34"/>
    </row>
    <row r="70" spans="9:9" x14ac:dyDescent="0.2">
      <c r="I70" s="34"/>
    </row>
    <row r="71" spans="9:9" x14ac:dyDescent="0.2">
      <c r="I71" s="34"/>
    </row>
    <row r="72" spans="9:9" x14ac:dyDescent="0.2">
      <c r="I72" s="34"/>
    </row>
    <row r="73" spans="9:9" x14ac:dyDescent="0.2">
      <c r="I73" s="34"/>
    </row>
    <row r="84" spans="9:9" x14ac:dyDescent="0.2">
      <c r="I84" s="34"/>
    </row>
    <row r="85" spans="9:9" x14ac:dyDescent="0.2">
      <c r="I85" s="34"/>
    </row>
    <row r="86" spans="9:9" x14ac:dyDescent="0.2">
      <c r="I86" s="34"/>
    </row>
    <row r="87" spans="9:9" x14ac:dyDescent="0.2">
      <c r="I87" s="34"/>
    </row>
    <row r="88" spans="9:9" x14ac:dyDescent="0.2">
      <c r="I88" s="34"/>
    </row>
    <row r="89" spans="9:9" x14ac:dyDescent="0.2">
      <c r="I89" s="34"/>
    </row>
    <row r="90" spans="9:9" x14ac:dyDescent="0.2">
      <c r="I90" s="34"/>
    </row>
    <row r="91" spans="9:9" x14ac:dyDescent="0.2">
      <c r="I91" s="34"/>
    </row>
    <row r="92" spans="9:9" x14ac:dyDescent="0.2">
      <c r="I92" s="34"/>
    </row>
    <row r="93" spans="9:9" x14ac:dyDescent="0.2">
      <c r="I93" s="34"/>
    </row>
    <row r="94" spans="9:9" x14ac:dyDescent="0.2">
      <c r="I94" s="34"/>
    </row>
    <row r="95" spans="9:9" x14ac:dyDescent="0.2">
      <c r="I95" s="34"/>
    </row>
    <row r="96" spans="9:9" x14ac:dyDescent="0.2">
      <c r="I96" s="34"/>
    </row>
    <row r="97" spans="3:9" x14ac:dyDescent="0.2">
      <c r="I97" s="34"/>
    </row>
    <row r="98" spans="3:9" x14ac:dyDescent="0.2">
      <c r="I98" s="34"/>
    </row>
    <row r="99" spans="3:9" x14ac:dyDescent="0.2">
      <c r="I99" s="34"/>
    </row>
    <row r="102" spans="3:9" x14ac:dyDescent="0.2">
      <c r="C102" s="185" t="s">
        <v>83</v>
      </c>
    </row>
    <row r="110" spans="3:9" x14ac:dyDescent="0.2">
      <c r="I110" s="34"/>
    </row>
    <row r="111" spans="3:9" x14ac:dyDescent="0.2">
      <c r="I111" s="34"/>
    </row>
    <row r="112" spans="3:9" x14ac:dyDescent="0.2">
      <c r="I112" s="34"/>
    </row>
    <row r="113" spans="9:9" x14ac:dyDescent="0.2">
      <c r="I113" s="34"/>
    </row>
    <row r="114" spans="9:9" x14ac:dyDescent="0.2">
      <c r="I114" s="34"/>
    </row>
    <row r="115" spans="9:9" x14ac:dyDescent="0.2">
      <c r="I115" s="34"/>
    </row>
    <row r="116" spans="9:9" x14ac:dyDescent="0.2">
      <c r="I116" s="34"/>
    </row>
    <row r="117" spans="9:9" x14ac:dyDescent="0.2">
      <c r="I117" s="34"/>
    </row>
    <row r="118" spans="9:9" x14ac:dyDescent="0.2">
      <c r="I118" s="34"/>
    </row>
    <row r="119" spans="9:9" x14ac:dyDescent="0.2">
      <c r="I119" s="34"/>
    </row>
    <row r="130" spans="9:9" x14ac:dyDescent="0.2">
      <c r="I130" s="34"/>
    </row>
    <row r="131" spans="9:9" x14ac:dyDescent="0.2">
      <c r="I131" s="34"/>
    </row>
    <row r="132" spans="9:9" x14ac:dyDescent="0.2">
      <c r="I132" s="34"/>
    </row>
    <row r="133" spans="9:9" x14ac:dyDescent="0.2">
      <c r="I133" s="34"/>
    </row>
    <row r="134" spans="9:9" x14ac:dyDescent="0.2">
      <c r="I134" s="34"/>
    </row>
    <row r="135" spans="9:9" x14ac:dyDescent="0.2">
      <c r="I135" s="34"/>
    </row>
    <row r="136" spans="9:9" x14ac:dyDescent="0.2">
      <c r="I136" s="34"/>
    </row>
    <row r="137" spans="9:9" x14ac:dyDescent="0.2">
      <c r="I137" s="34"/>
    </row>
    <row r="138" spans="9:9" x14ac:dyDescent="0.2">
      <c r="I138" s="34"/>
    </row>
    <row r="139" spans="9:9" x14ac:dyDescent="0.2">
      <c r="I139" s="34"/>
    </row>
    <row r="140" spans="9:9" x14ac:dyDescent="0.2">
      <c r="I140" s="34"/>
    </row>
    <row r="141" spans="9:9" x14ac:dyDescent="0.2">
      <c r="I141" s="34"/>
    </row>
    <row r="142" spans="9:9" x14ac:dyDescent="0.2">
      <c r="I142" s="34"/>
    </row>
    <row r="143" spans="9:9" x14ac:dyDescent="0.2">
      <c r="I143" s="34"/>
    </row>
    <row r="144" spans="9:9" x14ac:dyDescent="0.2">
      <c r="I144" s="34"/>
    </row>
    <row r="145" spans="3:9" x14ac:dyDescent="0.2">
      <c r="I145" s="34"/>
    </row>
    <row r="146" spans="3:9" x14ac:dyDescent="0.2">
      <c r="I146" s="34"/>
    </row>
    <row r="147" spans="3:9" x14ac:dyDescent="0.2">
      <c r="I147" s="34"/>
    </row>
    <row r="148" spans="3:9" x14ac:dyDescent="0.2">
      <c r="I148" s="34"/>
    </row>
    <row r="151" spans="3:9" x14ac:dyDescent="0.2">
      <c r="C151" s="185" t="s">
        <v>83</v>
      </c>
    </row>
    <row r="159" spans="3:9" x14ac:dyDescent="0.2">
      <c r="I159" s="34"/>
    </row>
    <row r="160" spans="3:9" x14ac:dyDescent="0.2">
      <c r="I160" s="34"/>
    </row>
    <row r="161" spans="9:9" x14ac:dyDescent="0.2">
      <c r="I161" s="34"/>
    </row>
    <row r="162" spans="9:9" x14ac:dyDescent="0.2">
      <c r="I162" s="34"/>
    </row>
    <row r="163" spans="9:9" x14ac:dyDescent="0.2">
      <c r="I163" s="34"/>
    </row>
    <row r="164" spans="9:9" x14ac:dyDescent="0.2">
      <c r="I164" s="34"/>
    </row>
    <row r="165" spans="9:9" x14ac:dyDescent="0.2">
      <c r="I165" s="34"/>
    </row>
    <row r="166" spans="9:9" x14ac:dyDescent="0.2">
      <c r="I166" s="34"/>
    </row>
    <row r="167" spans="9:9" x14ac:dyDescent="0.2">
      <c r="I167" s="34"/>
    </row>
    <row r="168" spans="9:9" x14ac:dyDescent="0.2">
      <c r="I168" s="34"/>
    </row>
    <row r="169" spans="9:9" x14ac:dyDescent="0.2">
      <c r="I169" s="34"/>
    </row>
    <row r="170" spans="9:9" x14ac:dyDescent="0.2">
      <c r="I170" s="34"/>
    </row>
    <row r="171" spans="9:9" x14ac:dyDescent="0.2">
      <c r="I171" s="34"/>
    </row>
    <row r="172" spans="9:9" x14ac:dyDescent="0.2">
      <c r="I172" s="34"/>
    </row>
    <row r="173" spans="9:9" x14ac:dyDescent="0.2">
      <c r="I173" s="34"/>
    </row>
    <row r="174" spans="9:9" x14ac:dyDescent="0.2">
      <c r="I174" s="34"/>
    </row>
    <row r="175" spans="9:9" x14ac:dyDescent="0.2">
      <c r="I175" s="34"/>
    </row>
    <row r="176" spans="9:9" x14ac:dyDescent="0.2">
      <c r="I176" s="34"/>
    </row>
    <row r="177" spans="9:13" x14ac:dyDescent="0.2">
      <c r="I177" s="34"/>
    </row>
    <row r="178" spans="9:13" x14ac:dyDescent="0.2">
      <c r="I178" s="34"/>
    </row>
    <row r="187" spans="9:13" x14ac:dyDescent="0.2">
      <c r="M187" s="34">
        <v>64</v>
      </c>
    </row>
    <row r="188" spans="9:13" x14ac:dyDescent="0.2">
      <c r="M188" s="34">
        <v>22</v>
      </c>
    </row>
    <row r="197" spans="9:13" x14ac:dyDescent="0.2">
      <c r="I197" s="185">
        <v>5</v>
      </c>
      <c r="M197" s="34">
        <v>32</v>
      </c>
    </row>
    <row r="207" spans="9:13" x14ac:dyDescent="0.2">
      <c r="I207" s="34"/>
    </row>
    <row r="208" spans="9:13" x14ac:dyDescent="0.2">
      <c r="I208" s="34"/>
    </row>
    <row r="209" spans="9:13" x14ac:dyDescent="0.2">
      <c r="I209" s="34"/>
    </row>
    <row r="210" spans="9:13" x14ac:dyDescent="0.2">
      <c r="I210" s="34"/>
    </row>
    <row r="211" spans="9:13" x14ac:dyDescent="0.2">
      <c r="I211" s="34"/>
    </row>
    <row r="212" spans="9:13" x14ac:dyDescent="0.2">
      <c r="I212" s="34"/>
    </row>
    <row r="213" spans="9:13" x14ac:dyDescent="0.2">
      <c r="I213" s="34"/>
    </row>
    <row r="223" spans="9:13" x14ac:dyDescent="0.2">
      <c r="I223" s="185">
        <v>89</v>
      </c>
      <c r="M223" s="34">
        <v>0</v>
      </c>
    </row>
    <row r="233" spans="9:9" x14ac:dyDescent="0.2">
      <c r="I233" s="34"/>
    </row>
    <row r="234" spans="9:9" x14ac:dyDescent="0.2">
      <c r="I234" s="34"/>
    </row>
    <row r="235" spans="9:9" x14ac:dyDescent="0.2">
      <c r="I235" s="34"/>
    </row>
    <row r="236" spans="9:9" x14ac:dyDescent="0.2">
      <c r="I236" s="34"/>
    </row>
    <row r="237" spans="9:9" x14ac:dyDescent="0.2">
      <c r="I237" s="34"/>
    </row>
    <row r="238" spans="9:9" x14ac:dyDescent="0.2">
      <c r="I238" s="34"/>
    </row>
    <row r="239" spans="9:9" x14ac:dyDescent="0.2">
      <c r="I239" s="34"/>
    </row>
    <row r="240" spans="9:9" x14ac:dyDescent="0.2">
      <c r="I240" s="34"/>
    </row>
    <row r="241" spans="3:9" x14ac:dyDescent="0.2">
      <c r="I241" s="34"/>
    </row>
    <row r="244" spans="3:9" x14ac:dyDescent="0.2">
      <c r="C244" s="185" t="s">
        <v>83</v>
      </c>
    </row>
    <row r="250" spans="3:9" x14ac:dyDescent="0.2">
      <c r="I250" s="34"/>
    </row>
    <row r="251" spans="3:9" x14ac:dyDescent="0.2">
      <c r="I251" s="34"/>
    </row>
    <row r="252" spans="3:9" x14ac:dyDescent="0.2">
      <c r="I252" s="34"/>
    </row>
    <row r="253" spans="3:9" x14ac:dyDescent="0.2">
      <c r="I253" s="34"/>
    </row>
    <row r="254" spans="3:9" x14ac:dyDescent="0.2">
      <c r="I254" s="34"/>
    </row>
    <row r="255" spans="3:9" x14ac:dyDescent="0.2">
      <c r="I255" s="34"/>
    </row>
    <row r="256" spans="3:9" x14ac:dyDescent="0.2">
      <c r="I256" s="34"/>
    </row>
    <row r="257" spans="3:9" x14ac:dyDescent="0.2">
      <c r="I257" s="34"/>
    </row>
    <row r="258" spans="3:9" x14ac:dyDescent="0.2">
      <c r="I258" s="34"/>
    </row>
    <row r="259" spans="3:9" x14ac:dyDescent="0.2">
      <c r="I259" s="34"/>
    </row>
    <row r="260" spans="3:9" x14ac:dyDescent="0.2">
      <c r="I260" s="34"/>
    </row>
    <row r="261" spans="3:9" x14ac:dyDescent="0.2">
      <c r="I261" s="34"/>
    </row>
    <row r="262" spans="3:9" x14ac:dyDescent="0.2">
      <c r="I262" s="34"/>
    </row>
    <row r="263" spans="3:9" x14ac:dyDescent="0.2">
      <c r="I263" s="34"/>
    </row>
    <row r="264" spans="3:9" x14ac:dyDescent="0.2">
      <c r="I264" s="34"/>
    </row>
    <row r="265" spans="3:9" x14ac:dyDescent="0.2">
      <c r="I265" s="34"/>
    </row>
    <row r="266" spans="3:9" x14ac:dyDescent="0.2">
      <c r="I266" s="34"/>
    </row>
    <row r="269" spans="3:9" x14ac:dyDescent="0.2">
      <c r="C269" s="185" t="s">
        <v>83</v>
      </c>
    </row>
    <row r="272" spans="3:9" x14ac:dyDescent="0.2">
      <c r="C272" s="210"/>
    </row>
    <row r="277" spans="3:9" x14ac:dyDescent="0.2">
      <c r="I277" s="34"/>
    </row>
    <row r="278" spans="3:9" x14ac:dyDescent="0.2">
      <c r="I278" s="34"/>
    </row>
    <row r="279" spans="3:9" x14ac:dyDescent="0.2">
      <c r="I279" s="34"/>
    </row>
    <row r="280" spans="3:9" x14ac:dyDescent="0.2">
      <c r="I280" s="34"/>
    </row>
    <row r="281" spans="3:9" x14ac:dyDescent="0.2">
      <c r="I281" s="34"/>
    </row>
    <row r="282" spans="3:9" x14ac:dyDescent="0.2">
      <c r="I282" s="34"/>
    </row>
    <row r="283" spans="3:9" x14ac:dyDescent="0.2">
      <c r="I283" s="34"/>
    </row>
    <row r="284" spans="3:9" x14ac:dyDescent="0.2">
      <c r="I284" s="34"/>
    </row>
    <row r="285" spans="3:9" x14ac:dyDescent="0.2">
      <c r="I285" s="34"/>
    </row>
    <row r="288" spans="3:9" x14ac:dyDescent="0.2">
      <c r="C288" s="185" t="s">
        <v>83</v>
      </c>
    </row>
    <row r="289" spans="3:9" x14ac:dyDescent="0.2">
      <c r="C289" s="211"/>
    </row>
    <row r="290" spans="3:9" x14ac:dyDescent="0.2">
      <c r="C290" s="211"/>
    </row>
    <row r="291" spans="3:9" x14ac:dyDescent="0.2">
      <c r="C291" s="211"/>
    </row>
    <row r="296" spans="3:9" x14ac:dyDescent="0.2">
      <c r="I296" s="34"/>
    </row>
    <row r="297" spans="3:9" x14ac:dyDescent="0.2">
      <c r="I297" s="34"/>
    </row>
    <row r="298" spans="3:9" x14ac:dyDescent="0.2">
      <c r="I298" s="34"/>
    </row>
    <row r="299" spans="3:9" x14ac:dyDescent="0.2">
      <c r="I299" s="34"/>
    </row>
    <row r="300" spans="3:9" x14ac:dyDescent="0.2">
      <c r="I300" s="34"/>
    </row>
    <row r="301" spans="3:9" x14ac:dyDescent="0.2">
      <c r="I301" s="34"/>
    </row>
    <row r="302" spans="3:9" x14ac:dyDescent="0.2">
      <c r="I302" s="34"/>
    </row>
    <row r="303" spans="3:9" x14ac:dyDescent="0.2">
      <c r="I303" s="34"/>
    </row>
    <row r="304" spans="3:9" x14ac:dyDescent="0.2">
      <c r="I304" s="34"/>
    </row>
    <row r="305" spans="9:9" x14ac:dyDescent="0.2">
      <c r="I305" s="34"/>
    </row>
    <row r="306" spans="9:9" x14ac:dyDescent="0.2">
      <c r="I306" s="34"/>
    </row>
    <row r="307" spans="9:9" x14ac:dyDescent="0.2">
      <c r="I307" s="34"/>
    </row>
    <row r="308" spans="9:9" x14ac:dyDescent="0.2">
      <c r="I308" s="34"/>
    </row>
    <row r="309" spans="9:9" x14ac:dyDescent="0.2">
      <c r="I309" s="34"/>
    </row>
    <row r="310" spans="9:9" x14ac:dyDescent="0.2">
      <c r="I310" s="34"/>
    </row>
    <row r="320" spans="9:9" x14ac:dyDescent="0.2">
      <c r="I320" s="34"/>
    </row>
    <row r="321" spans="9:9" x14ac:dyDescent="0.2">
      <c r="I321" s="34"/>
    </row>
    <row r="322" spans="9:9" x14ac:dyDescent="0.2">
      <c r="I322" s="34"/>
    </row>
    <row r="323" spans="9:9" x14ac:dyDescent="0.2">
      <c r="I323" s="34"/>
    </row>
    <row r="324" spans="9:9" x14ac:dyDescent="0.2">
      <c r="I324" s="34"/>
    </row>
    <row r="325" spans="9:9" x14ac:dyDescent="0.2">
      <c r="I325" s="34"/>
    </row>
    <row r="326" spans="9:9" x14ac:dyDescent="0.2">
      <c r="I326" s="34"/>
    </row>
    <row r="327" spans="9:9" x14ac:dyDescent="0.2">
      <c r="I327" s="34"/>
    </row>
    <row r="328" spans="9:9" x14ac:dyDescent="0.2">
      <c r="I328" s="34"/>
    </row>
    <row r="329" spans="9:9" x14ac:dyDescent="0.2">
      <c r="I329" s="34"/>
    </row>
    <row r="340" spans="9:9" x14ac:dyDescent="0.2">
      <c r="I340" s="34"/>
    </row>
    <row r="341" spans="9:9" x14ac:dyDescent="0.2">
      <c r="I341" s="34"/>
    </row>
    <row r="351" spans="9:9" x14ac:dyDescent="0.2">
      <c r="I351" s="34"/>
    </row>
    <row r="352" spans="9:9" x14ac:dyDescent="0.2">
      <c r="I352" s="34"/>
    </row>
    <row r="353" spans="9:9" x14ac:dyDescent="0.2">
      <c r="I353" s="34"/>
    </row>
    <row r="354" spans="9:9" x14ac:dyDescent="0.2">
      <c r="I354" s="34"/>
    </row>
    <row r="355" spans="9:9" x14ac:dyDescent="0.2">
      <c r="I355" s="34"/>
    </row>
    <row r="356" spans="9:9" x14ac:dyDescent="0.2">
      <c r="I356" s="34"/>
    </row>
    <row r="357" spans="9:9" x14ac:dyDescent="0.2">
      <c r="I357" s="34"/>
    </row>
    <row r="358" spans="9:9" x14ac:dyDescent="0.2">
      <c r="I358" s="34"/>
    </row>
    <row r="368" spans="9:9" x14ac:dyDescent="0.2">
      <c r="I368" s="34"/>
    </row>
    <row r="369" spans="9:9" x14ac:dyDescent="0.2">
      <c r="I369" s="34"/>
    </row>
    <row r="370" spans="9:9" x14ac:dyDescent="0.2">
      <c r="I370" s="34"/>
    </row>
    <row r="371" spans="9:9" x14ac:dyDescent="0.2">
      <c r="I371" s="34"/>
    </row>
    <row r="372" spans="9:9" x14ac:dyDescent="0.2">
      <c r="I372" s="34"/>
    </row>
    <row r="373" spans="9:9" x14ac:dyDescent="0.2">
      <c r="I373" s="34"/>
    </row>
    <row r="374" spans="9:9" x14ac:dyDescent="0.2">
      <c r="I374" s="34"/>
    </row>
    <row r="375" spans="9:9" x14ac:dyDescent="0.2">
      <c r="I375" s="34"/>
    </row>
    <row r="376" spans="9:9" x14ac:dyDescent="0.2">
      <c r="I376" s="34"/>
    </row>
    <row r="377" spans="9:9" x14ac:dyDescent="0.2">
      <c r="I377" s="34"/>
    </row>
    <row r="378" spans="9:9" x14ac:dyDescent="0.2">
      <c r="I378" s="34"/>
    </row>
    <row r="388" spans="9:9" x14ac:dyDescent="0.2">
      <c r="I388" s="34"/>
    </row>
    <row r="389" spans="9:9" x14ac:dyDescent="0.2">
      <c r="I389" s="34"/>
    </row>
    <row r="390" spans="9:9" x14ac:dyDescent="0.2">
      <c r="I390" s="34"/>
    </row>
    <row r="391" spans="9:9" x14ac:dyDescent="0.2">
      <c r="I391" s="34"/>
    </row>
    <row r="392" spans="9:9" x14ac:dyDescent="0.2">
      <c r="I392" s="34"/>
    </row>
    <row r="393" spans="9:9" x14ac:dyDescent="0.2">
      <c r="I393" s="34"/>
    </row>
    <row r="394" spans="9:9" x14ac:dyDescent="0.2">
      <c r="I394" s="34"/>
    </row>
    <row r="395" spans="9:9" x14ac:dyDescent="0.2">
      <c r="I395" s="34"/>
    </row>
    <row r="396" spans="9:9" x14ac:dyDescent="0.2">
      <c r="I396" s="34"/>
    </row>
    <row r="397" spans="9:9" x14ac:dyDescent="0.2">
      <c r="I397" s="34"/>
    </row>
    <row r="398" spans="9:9" x14ac:dyDescent="0.2">
      <c r="I398" s="34"/>
    </row>
    <row r="399" spans="9:9" x14ac:dyDescent="0.2">
      <c r="I399" s="34"/>
    </row>
    <row r="400" spans="9:9" x14ac:dyDescent="0.2">
      <c r="I400" s="34"/>
    </row>
    <row r="401" spans="9:9" x14ac:dyDescent="0.2">
      <c r="I401" s="34"/>
    </row>
    <row r="411" spans="9:9" x14ac:dyDescent="0.2">
      <c r="I411" s="34"/>
    </row>
    <row r="412" spans="9:9" x14ac:dyDescent="0.2">
      <c r="I412" s="34"/>
    </row>
    <row r="413" spans="9:9" x14ac:dyDescent="0.2">
      <c r="I413" s="34"/>
    </row>
    <row r="414" spans="9:9" x14ac:dyDescent="0.2">
      <c r="I414" s="34"/>
    </row>
    <row r="415" spans="9:9" x14ac:dyDescent="0.2">
      <c r="I415" s="34"/>
    </row>
    <row r="416" spans="9:9" x14ac:dyDescent="0.2">
      <c r="I416" s="34"/>
    </row>
    <row r="417" spans="9:9" x14ac:dyDescent="0.2">
      <c r="I417" s="34"/>
    </row>
    <row r="418" spans="9:9" x14ac:dyDescent="0.2">
      <c r="I418" s="34"/>
    </row>
    <row r="419" spans="9:9" x14ac:dyDescent="0.2">
      <c r="I419" s="34"/>
    </row>
    <row r="420" spans="9:9" x14ac:dyDescent="0.2">
      <c r="I420" s="34"/>
    </row>
    <row r="421" spans="9:9" x14ac:dyDescent="0.2">
      <c r="I421" s="34"/>
    </row>
    <row r="422" spans="9:9" x14ac:dyDescent="0.2">
      <c r="I422" s="34"/>
    </row>
    <row r="423" spans="9:9" x14ac:dyDescent="0.2">
      <c r="I423" s="34"/>
    </row>
    <row r="424" spans="9:9" x14ac:dyDescent="0.2">
      <c r="I424" s="34"/>
    </row>
    <row r="425" spans="9:9" x14ac:dyDescent="0.2">
      <c r="I425" s="34"/>
    </row>
    <row r="426" spans="9:9" x14ac:dyDescent="0.2">
      <c r="I426" s="34"/>
    </row>
    <row r="427" spans="9:9" x14ac:dyDescent="0.2">
      <c r="I427" s="34"/>
    </row>
    <row r="428" spans="9:9" x14ac:dyDescent="0.2">
      <c r="I428" s="34"/>
    </row>
    <row r="438" spans="9:9" x14ac:dyDescent="0.2">
      <c r="I438" s="34"/>
    </row>
    <row r="439" spans="9:9" x14ac:dyDescent="0.2">
      <c r="I439" s="34"/>
    </row>
    <row r="440" spans="9:9" x14ac:dyDescent="0.2">
      <c r="I440" s="34"/>
    </row>
    <row r="441" spans="9:9" x14ac:dyDescent="0.2">
      <c r="I441" s="34"/>
    </row>
    <row r="442" spans="9:9" x14ac:dyDescent="0.2">
      <c r="I442" s="34"/>
    </row>
    <row r="443" spans="9:9" x14ac:dyDescent="0.2">
      <c r="I443" s="34"/>
    </row>
    <row r="444" spans="9:9" x14ac:dyDescent="0.2">
      <c r="I444" s="34"/>
    </row>
    <row r="445" spans="9:9" x14ac:dyDescent="0.2">
      <c r="I445" s="34"/>
    </row>
    <row r="446" spans="9:9" x14ac:dyDescent="0.2">
      <c r="I446" s="34"/>
    </row>
    <row r="447" spans="9:9" x14ac:dyDescent="0.2">
      <c r="I447" s="34"/>
    </row>
    <row r="448" spans="9:9" x14ac:dyDescent="0.2">
      <c r="I448" s="34"/>
    </row>
    <row r="449" spans="9:9" x14ac:dyDescent="0.2">
      <c r="I449" s="34"/>
    </row>
    <row r="450" spans="9:9" x14ac:dyDescent="0.2">
      <c r="I450" s="34"/>
    </row>
    <row r="451" spans="9:9" x14ac:dyDescent="0.2">
      <c r="I451" s="34"/>
    </row>
    <row r="463" spans="9:9" x14ac:dyDescent="0.2">
      <c r="I463" s="34"/>
    </row>
    <row r="464" spans="9:9" x14ac:dyDescent="0.2">
      <c r="I464" s="34"/>
    </row>
    <row r="476" spans="9:9" x14ac:dyDescent="0.2">
      <c r="I476" s="34"/>
    </row>
    <row r="477" spans="9:9" x14ac:dyDescent="0.2">
      <c r="I477" s="34"/>
    </row>
    <row r="478" spans="9:9" x14ac:dyDescent="0.2">
      <c r="I478" s="34"/>
    </row>
    <row r="479" spans="9:9" x14ac:dyDescent="0.2">
      <c r="I479" s="34"/>
    </row>
    <row r="480" spans="9:9" x14ac:dyDescent="0.2">
      <c r="I480" s="34"/>
    </row>
    <row r="481" spans="9:9" x14ac:dyDescent="0.2">
      <c r="I481" s="34"/>
    </row>
    <row r="482" spans="9:9" x14ac:dyDescent="0.2">
      <c r="I482" s="34"/>
    </row>
    <row r="483" spans="9:9" x14ac:dyDescent="0.2">
      <c r="I483" s="34"/>
    </row>
    <row r="484" spans="9:9" x14ac:dyDescent="0.2">
      <c r="I484" s="34"/>
    </row>
    <row r="485" spans="9:9" x14ac:dyDescent="0.2">
      <c r="I485" s="34"/>
    </row>
    <row r="486" spans="9:9" x14ac:dyDescent="0.2">
      <c r="I486" s="34"/>
    </row>
    <row r="487" spans="9:9" x14ac:dyDescent="0.2">
      <c r="I487" s="34"/>
    </row>
    <row r="497" spans="9:9" x14ac:dyDescent="0.2">
      <c r="I497" s="34"/>
    </row>
    <row r="498" spans="9:9" x14ac:dyDescent="0.2">
      <c r="I498" s="34"/>
    </row>
    <row r="499" spans="9:9" x14ac:dyDescent="0.2">
      <c r="I499" s="34"/>
    </row>
    <row r="500" spans="9:9" x14ac:dyDescent="0.2">
      <c r="I500" s="34"/>
    </row>
    <row r="501" spans="9:9" x14ac:dyDescent="0.2">
      <c r="I501" s="34"/>
    </row>
    <row r="502" spans="9:9" x14ac:dyDescent="0.2">
      <c r="I502" s="34"/>
    </row>
    <row r="503" spans="9:9" x14ac:dyDescent="0.2">
      <c r="I503" s="34"/>
    </row>
    <row r="504" spans="9:9" x14ac:dyDescent="0.2">
      <c r="I504" s="34"/>
    </row>
    <row r="505" spans="9:9" x14ac:dyDescent="0.2">
      <c r="I505" s="34"/>
    </row>
    <row r="506" spans="9:9" x14ac:dyDescent="0.2">
      <c r="I506" s="34"/>
    </row>
    <row r="507" spans="9:9" x14ac:dyDescent="0.2">
      <c r="I507" s="34"/>
    </row>
    <row r="508" spans="9:9" x14ac:dyDescent="0.2">
      <c r="I508" s="34"/>
    </row>
    <row r="509" spans="9:9" x14ac:dyDescent="0.2">
      <c r="I509" s="34"/>
    </row>
    <row r="510" spans="9:9" x14ac:dyDescent="0.2">
      <c r="I510" s="34"/>
    </row>
    <row r="511" spans="9:9" x14ac:dyDescent="0.2">
      <c r="I511" s="34"/>
    </row>
    <row r="512" spans="9:9" x14ac:dyDescent="0.2">
      <c r="I512" s="34"/>
    </row>
    <row r="513" spans="9:9" x14ac:dyDescent="0.2">
      <c r="I513" s="34"/>
    </row>
    <row r="514" spans="9:9" x14ac:dyDescent="0.2">
      <c r="I514" s="34"/>
    </row>
    <row r="515" spans="9:9" x14ac:dyDescent="0.2">
      <c r="I515" s="34"/>
    </row>
    <row r="516" spans="9:9" x14ac:dyDescent="0.2">
      <c r="I516" s="34"/>
    </row>
    <row r="517" spans="9:9" x14ac:dyDescent="0.2">
      <c r="I517" s="34"/>
    </row>
    <row r="518" spans="9:9" x14ac:dyDescent="0.2">
      <c r="I518" s="34"/>
    </row>
    <row r="519" spans="9:9" x14ac:dyDescent="0.2">
      <c r="I519" s="34"/>
    </row>
    <row r="520" spans="9:9" x14ac:dyDescent="0.2">
      <c r="I520" s="34"/>
    </row>
    <row r="521" spans="9:9" x14ac:dyDescent="0.2">
      <c r="I521" s="34"/>
    </row>
    <row r="522" spans="9:9" x14ac:dyDescent="0.2">
      <c r="I522" s="34"/>
    </row>
    <row r="523" spans="9:9" x14ac:dyDescent="0.2">
      <c r="I523" s="34"/>
    </row>
    <row r="524" spans="9:9" x14ac:dyDescent="0.2">
      <c r="I524" s="34"/>
    </row>
    <row r="525" spans="9:9" x14ac:dyDescent="0.2">
      <c r="I525" s="34"/>
    </row>
    <row r="526" spans="9:9" x14ac:dyDescent="0.2">
      <c r="I526" s="34"/>
    </row>
    <row r="527" spans="9:9" x14ac:dyDescent="0.2">
      <c r="I527" s="34"/>
    </row>
    <row r="537" spans="9:9" x14ac:dyDescent="0.2">
      <c r="I537" s="34"/>
    </row>
    <row r="538" spans="9:9" x14ac:dyDescent="0.2">
      <c r="I538" s="34"/>
    </row>
    <row r="539" spans="9:9" x14ac:dyDescent="0.2">
      <c r="I539" s="34"/>
    </row>
    <row r="540" spans="9:9" x14ac:dyDescent="0.2">
      <c r="I540" s="34"/>
    </row>
    <row r="541" spans="9:9" x14ac:dyDescent="0.2">
      <c r="I541" s="34"/>
    </row>
    <row r="542" spans="9:9" x14ac:dyDescent="0.2">
      <c r="I542" s="34"/>
    </row>
    <row r="543" spans="9:9" x14ac:dyDescent="0.2">
      <c r="I543" s="34"/>
    </row>
    <row r="544" spans="9:9" x14ac:dyDescent="0.2">
      <c r="I544" s="34"/>
    </row>
    <row r="545" spans="3:9" x14ac:dyDescent="0.2">
      <c r="I545" s="34"/>
    </row>
    <row r="546" spans="3:9" x14ac:dyDescent="0.2">
      <c r="I546" s="34"/>
    </row>
    <row r="547" spans="3:9" x14ac:dyDescent="0.2">
      <c r="I547" s="34"/>
    </row>
    <row r="548" spans="3:9" x14ac:dyDescent="0.2">
      <c r="I548" s="34"/>
    </row>
    <row r="551" spans="3:9" x14ac:dyDescent="0.2">
      <c r="C551" s="185" t="s">
        <v>83</v>
      </c>
    </row>
    <row r="558" spans="3:9" x14ac:dyDescent="0.2">
      <c r="I558" s="34"/>
    </row>
    <row r="559" spans="3:9" x14ac:dyDescent="0.2">
      <c r="I559" s="34"/>
    </row>
    <row r="560" spans="3:9" x14ac:dyDescent="0.2">
      <c r="I560" s="34"/>
    </row>
    <row r="561" spans="9:9" x14ac:dyDescent="0.2">
      <c r="I561" s="34"/>
    </row>
    <row r="562" spans="9:9" x14ac:dyDescent="0.2">
      <c r="I562" s="34"/>
    </row>
    <row r="563" spans="9:9" x14ac:dyDescent="0.2">
      <c r="I563" s="34"/>
    </row>
    <row r="564" spans="9:9" x14ac:dyDescent="0.2">
      <c r="I564" s="34"/>
    </row>
    <row r="565" spans="9:9" x14ac:dyDescent="0.2">
      <c r="I565" s="34"/>
    </row>
    <row r="566" spans="9:9" x14ac:dyDescent="0.2">
      <c r="I566" s="34"/>
    </row>
    <row r="567" spans="9:9" x14ac:dyDescent="0.2">
      <c r="I567" s="34"/>
    </row>
    <row r="568" spans="9:9" x14ac:dyDescent="0.2">
      <c r="I568" s="34"/>
    </row>
    <row r="569" spans="9:9" x14ac:dyDescent="0.2">
      <c r="I569" s="34"/>
    </row>
    <row r="570" spans="9:9" x14ac:dyDescent="0.2">
      <c r="I570" s="34"/>
    </row>
    <row r="571" spans="9:9" x14ac:dyDescent="0.2">
      <c r="I571" s="34"/>
    </row>
    <row r="572" spans="9:9" x14ac:dyDescent="0.2">
      <c r="I572" s="34"/>
    </row>
    <row r="573" spans="9:9" x14ac:dyDescent="0.2">
      <c r="I573" s="34"/>
    </row>
    <row r="574" spans="9:9" x14ac:dyDescent="0.2">
      <c r="I574" s="34"/>
    </row>
    <row r="575" spans="9:9" x14ac:dyDescent="0.2">
      <c r="I575" s="34"/>
    </row>
    <row r="576" spans="9:9" x14ac:dyDescent="0.2">
      <c r="I576" s="34"/>
    </row>
    <row r="577" spans="3:9" x14ac:dyDescent="0.2">
      <c r="I577" s="34"/>
    </row>
    <row r="580" spans="3:9" x14ac:dyDescent="0.2">
      <c r="C580" s="185" t="s">
        <v>38</v>
      </c>
    </row>
    <row r="587" spans="3:9" x14ac:dyDescent="0.2">
      <c r="I587" s="34"/>
    </row>
    <row r="588" spans="3:9" x14ac:dyDescent="0.2">
      <c r="I588" s="34"/>
    </row>
    <row r="589" spans="3:9" x14ac:dyDescent="0.2">
      <c r="I589" s="34"/>
    </row>
    <row r="590" spans="3:9" x14ac:dyDescent="0.2">
      <c r="I590" s="34"/>
    </row>
    <row r="591" spans="3:9" x14ac:dyDescent="0.2">
      <c r="I591" s="34"/>
    </row>
    <row r="594" spans="3:5" x14ac:dyDescent="0.2">
      <c r="C594" s="185" t="s">
        <v>83</v>
      </c>
    </row>
    <row r="603" spans="3:5" x14ac:dyDescent="0.2">
      <c r="E603" s="185" t="s">
        <v>238</v>
      </c>
    </row>
  </sheetData>
  <sheetProtection selectLockedCells="1" selectUnlockedCells="1"/>
  <mergeCells count="18">
    <mergeCell ref="A1:J1"/>
    <mergeCell ref="A2:J2"/>
    <mergeCell ref="A3:J3"/>
    <mergeCell ref="A4:J4"/>
    <mergeCell ref="A5:J5"/>
    <mergeCell ref="H56:J56"/>
    <mergeCell ref="A6:J6"/>
    <mergeCell ref="A7:B9"/>
    <mergeCell ref="C7:C9"/>
    <mergeCell ref="D7:E7"/>
    <mergeCell ref="F7:F9"/>
    <mergeCell ref="G7:G9"/>
    <mergeCell ref="H7:I7"/>
    <mergeCell ref="J7:J9"/>
    <mergeCell ref="D8:D9"/>
    <mergeCell ref="E8:E9"/>
    <mergeCell ref="H8:H9"/>
    <mergeCell ref="I8:I9"/>
  </mergeCells>
  <pageMargins left="0.44027777777777799" right="0.22986111111111099" top="0.25972222222222202" bottom="0.3" header="0.51180555555555496" footer="0.51180555555555496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POR ALMACEN</vt:lpstr>
      <vt:lpstr>TOTAL</vt:lpstr>
      <vt:lpstr>'POR ALMACEN'!Área_de_impresión</vt:lpstr>
      <vt:lpstr>TOTAL!Área_de_impresión</vt:lpstr>
      <vt:lpstr>'POR ALMACEN'!Títulos_a_imprimir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Embarques</dc:creator>
  <dc:description/>
  <cp:lastModifiedBy>Jesus Damian Santiago Lopez</cp:lastModifiedBy>
  <cp:revision>109</cp:revision>
  <cp:lastPrinted>2025-08-12T21:30:03Z</cp:lastPrinted>
  <dcterms:created xsi:type="dcterms:W3CDTF">2010-06-11T17:00:44Z</dcterms:created>
  <dcterms:modified xsi:type="dcterms:W3CDTF">2026-02-17T15:22:03Z</dcterms:modified>
  <dc:language>es-MX</dc:language>
</cp:coreProperties>
</file>