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2026\DICONSA\GUIAS\03-MARZO-2026\"/>
    </mc:Choice>
  </mc:AlternateContent>
  <xr:revisionPtr revIDLastSave="0" documentId="13_ncr:1_{83C60E5E-21A0-4366-9BD9-6155766018C7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POR ALMACEN" sheetId="3" r:id="rId1"/>
    <sheet name="TOTAL" sheetId="4" r:id="rId2"/>
  </sheets>
  <definedNames>
    <definedName name="_xlnm._FilterDatabase" localSheetId="0" hidden="1">'POR ALMACEN'!$A$12:$Q$531</definedName>
    <definedName name="AA">#REF!</definedName>
    <definedName name="AAA">#REF!</definedName>
    <definedName name="ACTUAL">#REF!</definedName>
    <definedName name="AL">#REF!</definedName>
    <definedName name="ALAN">#REF!</definedName>
    <definedName name="ALEX">#REF!</definedName>
    <definedName name="ALEXA">#REF!</definedName>
    <definedName name="ALLAN">#REF!</definedName>
    <definedName name="ALMA">#REF!</definedName>
    <definedName name="AMA">#REF!</definedName>
    <definedName name="AMB">#REF!</definedName>
    <definedName name="AMBAR">#REF!</definedName>
    <definedName name="AMBRE">#REF!</definedName>
    <definedName name="ANA">#REF!</definedName>
    <definedName name="AP">#REF!</definedName>
    <definedName name="_xlnm.Print_Area" localSheetId="0">'POR ALMACEN'!$A$322:$R$363</definedName>
    <definedName name="_xlnm.Print_Area" localSheetId="1">TOTAL!$A$1:$J$51</definedName>
    <definedName name="AX">#REF!</definedName>
    <definedName name="AXA">#REF!</definedName>
    <definedName name="AXE">#REF!</definedName>
    <definedName name="BA">#REF!</definedName>
    <definedName name="BASE">#REF!</definedName>
    <definedName name="BB">#REF!</definedName>
    <definedName name="BEN">#REF!</definedName>
    <definedName name="BENEF">#REF!</definedName>
    <definedName name="CASA">#REF!</definedName>
    <definedName name="CAT">#REF!</definedName>
    <definedName name="CATA">#REF!</definedName>
    <definedName name="CC">#REF!</definedName>
    <definedName name="color">#REF!</definedName>
    <definedName name="DA">#REF!</definedName>
    <definedName name="DAM">#REF!</definedName>
    <definedName name="DAMO">#REF!</definedName>
    <definedName name="DAT">#REF!</definedName>
    <definedName name="DATA">#REF!</definedName>
    <definedName name="DATAS">#REF!</definedName>
    <definedName name="DATIS">#REF!</definedName>
    <definedName name="DATOS" localSheetId="0">#REF!</definedName>
    <definedName name="DATOS">#REF!</definedName>
    <definedName name="DATOS1">#REF!</definedName>
    <definedName name="DD">#REF!</definedName>
    <definedName name="DEY">#REF!</definedName>
    <definedName name="DICE">#REF!</definedName>
    <definedName name="DUAL">#REF!</definedName>
    <definedName name="EDI">#REF!</definedName>
    <definedName name="FAM">#REF!</definedName>
    <definedName name="HERI">#REF!</definedName>
    <definedName name="HOLA">#REF!</definedName>
    <definedName name="HOLAS">#REF!</definedName>
    <definedName name="HOLIS">#REF!</definedName>
    <definedName name="INF">#REF!</definedName>
    <definedName name="LALO">#REF!</definedName>
    <definedName name="LECHE">#REF!</definedName>
    <definedName name="LECHERIA">#REF!</definedName>
    <definedName name="libreta">#REF!</definedName>
    <definedName name="MAMA">#REF!</definedName>
    <definedName name="MAR">#REF!</definedName>
    <definedName name="MARBE">#REF!</definedName>
    <definedName name="MARBELLA">#REF!</definedName>
    <definedName name="MARIO">#REF!</definedName>
    <definedName name="MARTE">#REF!</definedName>
    <definedName name="MARY">#REF!</definedName>
    <definedName name="MAY">#REF!</definedName>
    <definedName name="MEN">#REF!</definedName>
    <definedName name="MORA">#REF!</definedName>
    <definedName name="MORALES">#REF!</definedName>
    <definedName name="NOVIEMBRE">#REF!</definedName>
    <definedName name="OCT">#REF!</definedName>
    <definedName name="PADRO">#REF!</definedName>
    <definedName name="PADRON">#REF!</definedName>
    <definedName name="PEDRO">#REF!</definedName>
    <definedName name="PER">#REF!</definedName>
    <definedName name="PERSONA">#REF!</definedName>
    <definedName name="RAU">#REF!</definedName>
    <definedName name="RAUL">#REF!</definedName>
    <definedName name="RAUS">#REF!</definedName>
    <definedName name="RUTA">#REF!</definedName>
    <definedName name="SANDRA">#REF!</definedName>
    <definedName name="TAB">#REF!</definedName>
    <definedName name="TATA">#REF!</definedName>
    <definedName name="_xlnm.Print_Titles" localSheetId="0">'POR ALMACEN'!$1:$10</definedName>
    <definedName name="VASE">#REF!</definedName>
    <definedName name="XL">#REF!</definedName>
    <definedName name="YOYO">#REF!</definedName>
    <definedName name="YOYO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4" l="1"/>
  <c r="C540" i="3" l="1"/>
  <c r="D540" i="3"/>
  <c r="F79" i="3"/>
  <c r="N79" i="3" s="1"/>
  <c r="O79" i="3" s="1"/>
  <c r="F78" i="3"/>
  <c r="N78" i="3" s="1"/>
  <c r="O78" i="3" s="1"/>
  <c r="F428" i="3"/>
  <c r="N428" i="3" s="1"/>
  <c r="F477" i="3"/>
  <c r="N477" i="3" s="1"/>
  <c r="N52" i="4"/>
  <c r="Q477" i="3"/>
  <c r="Q428" i="3"/>
  <c r="Q79" i="3"/>
  <c r="Q78" i="3"/>
  <c r="E540" i="3" l="1"/>
  <c r="Q230" i="3"/>
  <c r="F230" i="3"/>
  <c r="N230" i="3" s="1"/>
  <c r="Q164" i="3"/>
  <c r="F164" i="3"/>
  <c r="Q47" i="3"/>
  <c r="F47" i="3"/>
  <c r="N47" i="3" s="1"/>
  <c r="O47" i="3" s="1"/>
  <c r="Q316" i="3"/>
  <c r="F316" i="3"/>
  <c r="N316" i="3" s="1"/>
  <c r="Q440" i="3" l="1"/>
  <c r="F440" i="3"/>
  <c r="N440" i="3" s="1"/>
  <c r="O440" i="3" s="1"/>
  <c r="Q508" i="3"/>
  <c r="F508" i="3"/>
  <c r="N508" i="3" s="1"/>
  <c r="F495" i="3"/>
  <c r="F496" i="3"/>
  <c r="F507" i="3"/>
  <c r="F14" i="3"/>
  <c r="F426" i="3"/>
  <c r="F427" i="3"/>
  <c r="F429" i="3"/>
  <c r="E37" i="3"/>
  <c r="F35" i="3"/>
  <c r="F34" i="3"/>
  <c r="F33" i="3"/>
  <c r="F32" i="3"/>
  <c r="F491" i="3"/>
  <c r="F492" i="3"/>
  <c r="F493" i="3"/>
  <c r="F494" i="3"/>
  <c r="F509" i="3"/>
  <c r="I62" i="3"/>
  <c r="J62" i="3"/>
  <c r="F82" i="3"/>
  <c r="N82" i="3" s="1"/>
  <c r="O82" i="3" s="1"/>
  <c r="Q82" i="3"/>
  <c r="Q188" i="3" l="1"/>
  <c r="F188" i="3"/>
  <c r="N188" i="3" s="1"/>
  <c r="Q233" i="3"/>
  <c r="F233" i="3"/>
  <c r="N233" i="3" s="1"/>
  <c r="Q130" i="3"/>
  <c r="F130" i="3"/>
  <c r="N130" i="3" s="1"/>
  <c r="Q354" i="3"/>
  <c r="F354" i="3"/>
  <c r="N354" i="3" s="1"/>
  <c r="Q59" i="3"/>
  <c r="F59" i="3"/>
  <c r="N59" i="3" s="1"/>
  <c r="O59" i="3" s="1"/>
  <c r="Q81" i="3"/>
  <c r="F81" i="3"/>
  <c r="N81" i="3" s="1"/>
  <c r="O81" i="3" s="1"/>
  <c r="Q315" i="3" l="1"/>
  <c r="F315" i="3"/>
  <c r="N315" i="3" s="1"/>
  <c r="Q187" i="3" l="1"/>
  <c r="F187" i="3"/>
  <c r="N187" i="3" s="1"/>
  <c r="Q80" i="3" l="1"/>
  <c r="F80" i="3"/>
  <c r="N80" i="3" s="1"/>
  <c r="O80" i="3" s="1"/>
  <c r="Q258" i="3"/>
  <c r="F258" i="3"/>
  <c r="N258" i="3" s="1"/>
  <c r="N35" i="3"/>
  <c r="O35" i="3" s="1"/>
  <c r="N34" i="3"/>
  <c r="O34" i="3" s="1"/>
  <c r="F117" i="3"/>
  <c r="N117" i="3" s="1"/>
  <c r="O117" i="3" s="1"/>
  <c r="F443" i="3"/>
  <c r="N443" i="3" s="1"/>
  <c r="O443" i="3" s="1"/>
  <c r="F198" i="3"/>
  <c r="N198" i="3" s="1"/>
  <c r="F199" i="3"/>
  <c r="N199" i="3" s="1"/>
  <c r="Q443" i="3"/>
  <c r="Q34" i="3"/>
  <c r="Q35" i="3"/>
  <c r="Q198" i="3"/>
  <c r="Q199" i="3"/>
  <c r="Q117" i="3"/>
  <c r="Q49" i="3" l="1"/>
  <c r="F49" i="3"/>
  <c r="N49" i="3" s="1"/>
  <c r="O49" i="3" s="1"/>
  <c r="Q231" i="3" l="1"/>
  <c r="F231" i="3"/>
  <c r="N231" i="3" s="1"/>
  <c r="F362" i="3" l="1"/>
  <c r="F361" i="3"/>
  <c r="F360" i="3"/>
  <c r="F359" i="3"/>
  <c r="F358" i="3"/>
  <c r="F357" i="3"/>
  <c r="F356" i="3"/>
  <c r="F355" i="3"/>
  <c r="F353" i="3"/>
  <c r="F352" i="3"/>
  <c r="F441" i="3" l="1"/>
  <c r="N441" i="3" s="1"/>
  <c r="O441" i="3" s="1"/>
  <c r="F202" i="3" l="1"/>
  <c r="N202" i="3" s="1"/>
  <c r="Q441" i="3"/>
  <c r="F204" i="3"/>
  <c r="N204" i="3" s="1"/>
  <c r="F203" i="3"/>
  <c r="N203" i="3" s="1"/>
  <c r="F180" i="3"/>
  <c r="N180" i="3" s="1"/>
  <c r="Q183" i="3"/>
  <c r="F183" i="3"/>
  <c r="N183" i="3" s="1"/>
  <c r="F185" i="3"/>
  <c r="N185" i="3" s="1"/>
  <c r="Q185" i="3"/>
  <c r="Q180" i="3"/>
  <c r="C96" i="3"/>
  <c r="N96" i="3"/>
  <c r="M96" i="3"/>
  <c r="L96" i="3"/>
  <c r="K96" i="3"/>
  <c r="J96" i="3"/>
  <c r="I96" i="3"/>
  <c r="H96" i="3"/>
  <c r="G96" i="3"/>
  <c r="F96" i="3"/>
  <c r="O96" i="3"/>
  <c r="P96" i="3"/>
  <c r="Q94" i="3"/>
  <c r="Q93" i="3"/>
  <c r="Q204" i="3"/>
  <c r="Q203" i="3"/>
  <c r="S202" i="3"/>
  <c r="Q202" i="3"/>
  <c r="D96" i="3" l="1"/>
  <c r="E96" i="3"/>
  <c r="Q480" i="3"/>
  <c r="F480" i="3"/>
  <c r="N480" i="3" s="1"/>
  <c r="O480" i="3" s="1"/>
  <c r="F58" i="3" l="1"/>
  <c r="N58" i="3" s="1"/>
  <c r="O58" i="3" s="1"/>
  <c r="Q58" i="3"/>
  <c r="F289" i="3" l="1"/>
  <c r="N289" i="3" s="1"/>
  <c r="Q289" i="3"/>
  <c r="Q186" i="3"/>
  <c r="Q272" i="3"/>
  <c r="F318" i="3" l="1"/>
  <c r="N318" i="3" s="1"/>
  <c r="F519" i="3"/>
  <c r="N519" i="3" s="1"/>
  <c r="Q229" i="3"/>
  <c r="F229" i="3"/>
  <c r="N229" i="3" s="1"/>
  <c r="Q228" i="3"/>
  <c r="F228" i="3"/>
  <c r="N228" i="3" s="1"/>
  <c r="F186" i="3"/>
  <c r="N186" i="3" s="1"/>
  <c r="Q519" i="3"/>
  <c r="Q318" i="3"/>
  <c r="Q429" i="3" l="1"/>
  <c r="N429" i="3"/>
  <c r="Q227" i="3"/>
  <c r="F227" i="3"/>
  <c r="N227" i="3" s="1"/>
  <c r="Q226" i="3"/>
  <c r="F226" i="3"/>
  <c r="N226" i="3" s="1"/>
  <c r="Q518" i="3" l="1"/>
  <c r="F518" i="3"/>
  <c r="N518" i="3" s="1"/>
  <c r="Q225" i="3" l="1"/>
  <c r="F225" i="3"/>
  <c r="N225" i="3" s="1"/>
  <c r="Q224" i="3"/>
  <c r="F224" i="3"/>
  <c r="N224" i="3" s="1"/>
  <c r="Q218" i="3"/>
  <c r="F218" i="3"/>
  <c r="N218" i="3" s="1"/>
  <c r="Q214" i="3"/>
  <c r="F214" i="3"/>
  <c r="N214" i="3" s="1"/>
  <c r="S204" i="3"/>
  <c r="Q201" i="3"/>
  <c r="F201" i="3"/>
  <c r="N201" i="3" s="1"/>
  <c r="Q357" i="3"/>
  <c r="N357" i="3"/>
  <c r="Q200" i="3" l="1"/>
  <c r="F200" i="3"/>
  <c r="N200" i="3" s="1"/>
  <c r="Q288" i="3"/>
  <c r="F288" i="3"/>
  <c r="N288" i="3" s="1"/>
  <c r="Q116" i="3" l="1"/>
  <c r="F116" i="3"/>
  <c r="N116" i="3" s="1"/>
  <c r="O116" i="3" s="1"/>
  <c r="Q475" i="3" l="1"/>
  <c r="F475" i="3"/>
  <c r="N475" i="3" s="1"/>
  <c r="Q332" i="3"/>
  <c r="F332" i="3"/>
  <c r="N332" i="3" s="1"/>
  <c r="Q46" i="3"/>
  <c r="F46" i="3"/>
  <c r="N46" i="3" s="1"/>
  <c r="O46" i="3" s="1"/>
  <c r="Q249" i="3"/>
  <c r="F249" i="3"/>
  <c r="N249" i="3" s="1"/>
  <c r="Q83" i="3" l="1"/>
  <c r="F83" i="3"/>
  <c r="N83" i="3" s="1"/>
  <c r="O83" i="3" s="1"/>
  <c r="Q33" i="3"/>
  <c r="N33" i="3"/>
  <c r="O33" i="3" s="1"/>
  <c r="Q215" i="3"/>
  <c r="F215" i="3"/>
  <c r="N215" i="3" s="1"/>
  <c r="Q222" i="3"/>
  <c r="F222" i="3"/>
  <c r="N222" i="3" s="1"/>
  <c r="Q221" i="3"/>
  <c r="F221" i="3"/>
  <c r="N221" i="3" s="1"/>
  <c r="Q220" i="3"/>
  <c r="F220" i="3"/>
  <c r="N220" i="3" s="1"/>
  <c r="Q317" i="3" l="1"/>
  <c r="F317" i="3"/>
  <c r="N317" i="3" s="1"/>
  <c r="Q314" i="3" l="1"/>
  <c r="F314" i="3"/>
  <c r="N314" i="3" s="1"/>
  <c r="Q374" i="3" l="1"/>
  <c r="F374" i="3"/>
  <c r="N374" i="3" s="1"/>
  <c r="Q110" i="3"/>
  <c r="F110" i="3"/>
  <c r="N110" i="3" s="1"/>
  <c r="Q109" i="3"/>
  <c r="F109" i="3"/>
  <c r="N109" i="3" s="1"/>
  <c r="Q223" i="3"/>
  <c r="F223" i="3"/>
  <c r="N223" i="3" s="1"/>
  <c r="Q334" i="3"/>
  <c r="F334" i="3"/>
  <c r="N334" i="3" s="1"/>
  <c r="F255" i="3" l="1"/>
  <c r="F254" i="3"/>
  <c r="F253" i="3"/>
  <c r="Q476" i="3" l="1"/>
  <c r="F476" i="3"/>
  <c r="N476" i="3" s="1"/>
  <c r="Q459" i="3" l="1"/>
  <c r="F459" i="3"/>
  <c r="N459" i="3" s="1"/>
  <c r="O459" i="3" s="1"/>
  <c r="Q184" i="3" l="1"/>
  <c r="F184" i="3"/>
  <c r="N184" i="3" s="1"/>
  <c r="Q181" i="3"/>
  <c r="F181" i="3"/>
  <c r="N181" i="3" s="1"/>
  <c r="Q167" i="3"/>
  <c r="F167" i="3"/>
  <c r="N167" i="3" s="1"/>
  <c r="Q254" i="3"/>
  <c r="N254" i="3"/>
  <c r="Q253" i="3"/>
  <c r="N253" i="3"/>
  <c r="Q416" i="3"/>
  <c r="F416" i="3"/>
  <c r="N416" i="3" s="1"/>
  <c r="C206" i="3" l="1"/>
  <c r="Q56" i="3" l="1"/>
  <c r="F56" i="3"/>
  <c r="N56" i="3" s="1"/>
  <c r="O56" i="3" s="1"/>
  <c r="Q45" i="3"/>
  <c r="F45" i="3"/>
  <c r="N45" i="3" s="1"/>
  <c r="O45" i="3" s="1"/>
  <c r="Q388" i="3"/>
  <c r="F388" i="3"/>
  <c r="N388" i="3" s="1"/>
  <c r="Q353" i="3" l="1"/>
  <c r="N353" i="3"/>
  <c r="Q430" i="3" l="1"/>
  <c r="N430" i="3"/>
  <c r="S301" i="3" l="1"/>
  <c r="Q115" i="3" l="1"/>
  <c r="F115" i="3"/>
  <c r="N115" i="3" s="1"/>
  <c r="O115" i="3" s="1"/>
  <c r="Q114" i="3"/>
  <c r="F114" i="3"/>
  <c r="N114" i="3" s="1"/>
  <c r="O114" i="3" s="1"/>
  <c r="Q530" i="3" l="1"/>
  <c r="F530" i="3"/>
  <c r="D206" i="3" l="1"/>
  <c r="E206" i="3"/>
  <c r="M206" i="3"/>
  <c r="L206" i="3"/>
  <c r="K206" i="3"/>
  <c r="J206" i="3"/>
  <c r="I206" i="3"/>
  <c r="H206" i="3"/>
  <c r="G206" i="3"/>
  <c r="O206" i="3"/>
  <c r="P206" i="3"/>
  <c r="Q447" i="3" l="1"/>
  <c r="F447" i="3"/>
  <c r="N447" i="3" s="1"/>
  <c r="O447" i="3" s="1"/>
  <c r="Q182" i="3"/>
  <c r="F182" i="3"/>
  <c r="N182" i="3" s="1"/>
  <c r="Q232" i="3" l="1"/>
  <c r="F232" i="3"/>
  <c r="N232" i="3" s="1"/>
  <c r="Q356" i="3" l="1"/>
  <c r="N356" i="3"/>
  <c r="Q32" i="3" l="1"/>
  <c r="N32" i="3"/>
  <c r="O32" i="3" s="1"/>
  <c r="Q189" i="3" l="1"/>
  <c r="F189" i="3"/>
  <c r="N189" i="3" s="1"/>
  <c r="Q287" i="3"/>
  <c r="F287" i="3"/>
  <c r="N287" i="3" s="1"/>
  <c r="O391" i="3" l="1"/>
  <c r="L391" i="3"/>
  <c r="J391" i="3"/>
  <c r="I391" i="3"/>
  <c r="H391" i="3"/>
  <c r="G391" i="3"/>
  <c r="K391" i="3"/>
  <c r="Q299" i="3"/>
  <c r="Q298" i="3"/>
  <c r="Q297" i="3"/>
  <c r="Q296" i="3"/>
  <c r="Q295" i="3"/>
  <c r="Q294" i="3"/>
  <c r="Q293" i="3"/>
  <c r="Q292" i="3"/>
  <c r="Q291" i="3"/>
  <c r="Q290" i="3"/>
  <c r="Q286" i="3"/>
  <c r="Q285" i="3"/>
  <c r="Q284" i="3"/>
  <c r="Q283" i="3"/>
  <c r="Q282" i="3"/>
  <c r="Q281" i="3"/>
  <c r="Q280" i="3"/>
  <c r="Q279" i="3"/>
  <c r="Q278" i="3"/>
  <c r="Q277" i="3"/>
  <c r="Q276" i="3"/>
  <c r="Q275" i="3"/>
  <c r="Q274" i="3"/>
  <c r="Q273" i="3"/>
  <c r="F531" i="3" l="1"/>
  <c r="F529" i="3"/>
  <c r="F528" i="3"/>
  <c r="F497" i="3"/>
  <c r="F481" i="3"/>
  <c r="F479" i="3"/>
  <c r="F478" i="3"/>
  <c r="F474" i="3"/>
  <c r="F473" i="3"/>
  <c r="F472" i="3"/>
  <c r="F471" i="3"/>
  <c r="F462" i="3"/>
  <c r="F461" i="3"/>
  <c r="F460" i="3"/>
  <c r="F458" i="3"/>
  <c r="F449" i="3"/>
  <c r="F448" i="3"/>
  <c r="F446" i="3"/>
  <c r="F445" i="3"/>
  <c r="F444" i="3"/>
  <c r="F442" i="3"/>
  <c r="F439" i="3"/>
  <c r="F417" i="3"/>
  <c r="F415" i="3"/>
  <c r="F414" i="3"/>
  <c r="F413" i="3"/>
  <c r="F412" i="3"/>
  <c r="F403" i="3"/>
  <c r="F402" i="3"/>
  <c r="F401" i="3"/>
  <c r="F400" i="3"/>
  <c r="F389" i="3"/>
  <c r="F387" i="3"/>
  <c r="F386" i="3"/>
  <c r="F377" i="3"/>
  <c r="F376" i="3"/>
  <c r="F375" i="3"/>
  <c r="F373" i="3"/>
  <c r="F335" i="3"/>
  <c r="F333" i="3"/>
  <c r="F331" i="3"/>
  <c r="F330" i="3"/>
  <c r="F329" i="3"/>
  <c r="F319" i="3"/>
  <c r="F313" i="3"/>
  <c r="F312" i="3"/>
  <c r="F311" i="3"/>
  <c r="F310" i="3"/>
  <c r="F309" i="3"/>
  <c r="F299" i="3"/>
  <c r="F298" i="3"/>
  <c r="F297" i="3"/>
  <c r="F296" i="3"/>
  <c r="F295" i="3"/>
  <c r="F294" i="3"/>
  <c r="F293" i="3"/>
  <c r="F292" i="3"/>
  <c r="F291" i="3"/>
  <c r="F290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59" i="3"/>
  <c r="F257" i="3"/>
  <c r="F256" i="3"/>
  <c r="F252" i="3"/>
  <c r="F251" i="3"/>
  <c r="F250" i="3"/>
  <c r="F248" i="3"/>
  <c r="F247" i="3"/>
  <c r="F246" i="3"/>
  <c r="F245" i="3"/>
  <c r="F234" i="3"/>
  <c r="F219" i="3"/>
  <c r="F217" i="3"/>
  <c r="F216" i="3"/>
  <c r="F213" i="3"/>
  <c r="F206" i="3"/>
  <c r="F179" i="3"/>
  <c r="F168" i="3"/>
  <c r="F166" i="3"/>
  <c r="F165" i="3"/>
  <c r="F163" i="3"/>
  <c r="F162" i="3"/>
  <c r="F161" i="3"/>
  <c r="F160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1" i="3"/>
  <c r="F129" i="3"/>
  <c r="F120" i="3"/>
  <c r="F119" i="3"/>
  <c r="F118" i="3"/>
  <c r="F113" i="3"/>
  <c r="F112" i="3"/>
  <c r="F111" i="3"/>
  <c r="F108" i="3"/>
  <c r="F107" i="3"/>
  <c r="F106" i="3"/>
  <c r="F105" i="3"/>
  <c r="F104" i="3"/>
  <c r="F103" i="3"/>
  <c r="F77" i="3"/>
  <c r="F76" i="3"/>
  <c r="F75" i="3"/>
  <c r="F74" i="3"/>
  <c r="F73" i="3"/>
  <c r="F72" i="3"/>
  <c r="F71" i="3"/>
  <c r="F70" i="3"/>
  <c r="F69" i="3"/>
  <c r="F60" i="3"/>
  <c r="F57" i="3"/>
  <c r="F55" i="3"/>
  <c r="F54" i="3"/>
  <c r="F53" i="3"/>
  <c r="F52" i="3"/>
  <c r="F51" i="3"/>
  <c r="F50" i="3"/>
  <c r="F48" i="3"/>
  <c r="F44" i="3"/>
  <c r="F31" i="3"/>
  <c r="F30" i="3"/>
  <c r="F20" i="3"/>
  <c r="F19" i="3"/>
  <c r="F18" i="3"/>
  <c r="F17" i="3"/>
  <c r="F16" i="3"/>
  <c r="F15" i="3"/>
  <c r="F37" i="3" l="1"/>
  <c r="Q333" i="3"/>
  <c r="N333" i="3"/>
  <c r="Q259" i="3"/>
  <c r="N259" i="3"/>
  <c r="E391" i="3" l="1"/>
  <c r="D391" i="3"/>
  <c r="C391" i="3"/>
  <c r="P391" i="3" l="1"/>
  <c r="Q71" i="3"/>
  <c r="N71" i="3"/>
  <c r="O71" i="3" s="1"/>
  <c r="Q389" i="3"/>
  <c r="Q387" i="3"/>
  <c r="N389" i="3"/>
  <c r="N387" i="3"/>
  <c r="F391" i="3" l="1"/>
  <c r="Q444" i="3" l="1"/>
  <c r="N444" i="3"/>
  <c r="O444" i="3" s="1"/>
  <c r="G50" i="4"/>
  <c r="A50" i="4"/>
  <c r="H32" i="4"/>
  <c r="I32" i="4" s="1"/>
  <c r="C32" i="4"/>
  <c r="A4" i="4"/>
  <c r="P533" i="3"/>
  <c r="O533" i="3"/>
  <c r="M533" i="3"/>
  <c r="L533" i="3"/>
  <c r="K533" i="3"/>
  <c r="J533" i="3"/>
  <c r="I533" i="3"/>
  <c r="H533" i="3"/>
  <c r="G533" i="3"/>
  <c r="E533" i="3"/>
  <c r="E48" i="4" s="1"/>
  <c r="D533" i="3"/>
  <c r="D48" i="4" s="1"/>
  <c r="C533" i="3"/>
  <c r="C48" i="4" s="1"/>
  <c r="Q531" i="3"/>
  <c r="Q529" i="3"/>
  <c r="Q528" i="3"/>
  <c r="Q521" i="3"/>
  <c r="Q523" i="3" s="1"/>
  <c r="P521" i="3"/>
  <c r="O521" i="3"/>
  <c r="N521" i="3"/>
  <c r="M521" i="3"/>
  <c r="L521" i="3"/>
  <c r="K521" i="3"/>
  <c r="J521" i="3"/>
  <c r="I521" i="3"/>
  <c r="H521" i="3"/>
  <c r="G521" i="3"/>
  <c r="F521" i="3"/>
  <c r="E521" i="3"/>
  <c r="D521" i="3"/>
  <c r="D47" i="4" s="1"/>
  <c r="C521" i="3"/>
  <c r="C47" i="4" s="1"/>
  <c r="P511" i="3"/>
  <c r="H46" i="4" s="1"/>
  <c r="I46" i="4" s="1"/>
  <c r="O511" i="3"/>
  <c r="M511" i="3"/>
  <c r="L511" i="3"/>
  <c r="K511" i="3"/>
  <c r="J511" i="3"/>
  <c r="I511" i="3"/>
  <c r="H511" i="3"/>
  <c r="G511" i="3"/>
  <c r="E511" i="3"/>
  <c r="E46" i="4" s="1"/>
  <c r="D511" i="3"/>
  <c r="C511" i="3"/>
  <c r="C46" i="4" s="1"/>
  <c r="Q509" i="3"/>
  <c r="N509" i="3"/>
  <c r="Q507" i="3"/>
  <c r="N507" i="3"/>
  <c r="F511" i="3"/>
  <c r="P499" i="3"/>
  <c r="O499" i="3"/>
  <c r="M499" i="3"/>
  <c r="L499" i="3"/>
  <c r="K499" i="3"/>
  <c r="J499" i="3"/>
  <c r="I499" i="3"/>
  <c r="H499" i="3"/>
  <c r="G499" i="3"/>
  <c r="E499" i="3"/>
  <c r="E45" i="4" s="1"/>
  <c r="D499" i="3"/>
  <c r="D45" i="4" s="1"/>
  <c r="C499" i="3"/>
  <c r="C45" i="4" s="1"/>
  <c r="Q497" i="3"/>
  <c r="N497" i="3"/>
  <c r="Q496" i="3"/>
  <c r="N496" i="3"/>
  <c r="Q495" i="3"/>
  <c r="N495" i="3"/>
  <c r="Q494" i="3"/>
  <c r="N494" i="3"/>
  <c r="Q493" i="3"/>
  <c r="N493" i="3"/>
  <c r="Q492" i="3"/>
  <c r="N492" i="3"/>
  <c r="Q491" i="3"/>
  <c r="P483" i="3"/>
  <c r="H44" i="4" s="1"/>
  <c r="I44" i="4" s="1"/>
  <c r="M483" i="3"/>
  <c r="L483" i="3"/>
  <c r="K483" i="3"/>
  <c r="J483" i="3"/>
  <c r="I483" i="3"/>
  <c r="H483" i="3"/>
  <c r="G483" i="3"/>
  <c r="E483" i="3"/>
  <c r="D483" i="3"/>
  <c r="C483" i="3"/>
  <c r="C44" i="4" s="1"/>
  <c r="Q481" i="3"/>
  <c r="N481" i="3"/>
  <c r="O481" i="3" s="1"/>
  <c r="Q479" i="3"/>
  <c r="N479" i="3"/>
  <c r="O479" i="3" s="1"/>
  <c r="Q478" i="3"/>
  <c r="N478" i="3"/>
  <c r="O478" i="3" s="1"/>
  <c r="Q474" i="3"/>
  <c r="N474" i="3"/>
  <c r="Q473" i="3"/>
  <c r="N473" i="3"/>
  <c r="Q472" i="3"/>
  <c r="N472" i="3"/>
  <c r="Q471" i="3"/>
  <c r="N471" i="3"/>
  <c r="P464" i="3"/>
  <c r="M464" i="3"/>
  <c r="L464" i="3"/>
  <c r="K464" i="3"/>
  <c r="J464" i="3"/>
  <c r="I464" i="3"/>
  <c r="H464" i="3"/>
  <c r="G464" i="3"/>
  <c r="E464" i="3"/>
  <c r="E43" i="4" s="1"/>
  <c r="D464" i="3"/>
  <c r="D43" i="4" s="1"/>
  <c r="C464" i="3"/>
  <c r="C43" i="4" s="1"/>
  <c r="Q462" i="3"/>
  <c r="N462" i="3"/>
  <c r="O462" i="3" s="1"/>
  <c r="Q461" i="3"/>
  <c r="N461" i="3"/>
  <c r="O461" i="3" s="1"/>
  <c r="Q460" i="3"/>
  <c r="N460" i="3"/>
  <c r="O460" i="3" s="1"/>
  <c r="Q458" i="3"/>
  <c r="N458" i="3"/>
  <c r="P451" i="3"/>
  <c r="M451" i="3"/>
  <c r="L451" i="3"/>
  <c r="K451" i="3"/>
  <c r="J451" i="3"/>
  <c r="I451" i="3"/>
  <c r="H451" i="3"/>
  <c r="G451" i="3"/>
  <c r="E451" i="3"/>
  <c r="D451" i="3"/>
  <c r="C451" i="3"/>
  <c r="C42" i="4" s="1"/>
  <c r="Q449" i="3"/>
  <c r="N449" i="3"/>
  <c r="Q448" i="3"/>
  <c r="N448" i="3"/>
  <c r="Q446" i="3"/>
  <c r="N446" i="3"/>
  <c r="O446" i="3" s="1"/>
  <c r="Q445" i="3"/>
  <c r="N445" i="3"/>
  <c r="O445" i="3" s="1"/>
  <c r="Q442" i="3"/>
  <c r="N442" i="3"/>
  <c r="O442" i="3" s="1"/>
  <c r="Q439" i="3"/>
  <c r="F451" i="3"/>
  <c r="P432" i="3"/>
  <c r="O432" i="3"/>
  <c r="M432" i="3"/>
  <c r="L432" i="3"/>
  <c r="K432" i="3"/>
  <c r="J432" i="3"/>
  <c r="I432" i="3"/>
  <c r="H432" i="3"/>
  <c r="G432" i="3"/>
  <c r="E432" i="3"/>
  <c r="E41" i="4" s="1"/>
  <c r="D432" i="3"/>
  <c r="D41" i="4" s="1"/>
  <c r="C432" i="3"/>
  <c r="C41" i="4" s="1"/>
  <c r="Q426" i="3"/>
  <c r="N426" i="3"/>
  <c r="Q427" i="3"/>
  <c r="N427" i="3"/>
  <c r="P419" i="3"/>
  <c r="O419" i="3"/>
  <c r="M419" i="3"/>
  <c r="L419" i="3"/>
  <c r="K419" i="3"/>
  <c r="J419" i="3"/>
  <c r="I419" i="3"/>
  <c r="H419" i="3"/>
  <c r="G419" i="3"/>
  <c r="E419" i="3"/>
  <c r="D419" i="3"/>
  <c r="C419" i="3"/>
  <c r="C40" i="4" s="1"/>
  <c r="Q417" i="3"/>
  <c r="N417" i="3"/>
  <c r="Q415" i="3"/>
  <c r="N415" i="3"/>
  <c r="Q414" i="3"/>
  <c r="Q413" i="3"/>
  <c r="N413" i="3"/>
  <c r="Q412" i="3"/>
  <c r="N412" i="3"/>
  <c r="P405" i="3"/>
  <c r="M405" i="3"/>
  <c r="L405" i="3"/>
  <c r="K405" i="3"/>
  <c r="J405" i="3"/>
  <c r="I405" i="3"/>
  <c r="H405" i="3"/>
  <c r="G405" i="3"/>
  <c r="E405" i="3"/>
  <c r="D405" i="3"/>
  <c r="C405" i="3"/>
  <c r="C39" i="4" s="1"/>
  <c r="Q403" i="3"/>
  <c r="N403" i="3"/>
  <c r="Q402" i="3"/>
  <c r="N402" i="3"/>
  <c r="Q401" i="3"/>
  <c r="N401" i="3"/>
  <c r="O401" i="3" s="1"/>
  <c r="Q400" i="3"/>
  <c r="N400" i="3"/>
  <c r="O400" i="3" s="1"/>
  <c r="M391" i="3"/>
  <c r="C38" i="4"/>
  <c r="Q386" i="3"/>
  <c r="N386" i="3"/>
  <c r="N391" i="3" s="1"/>
  <c r="P379" i="3"/>
  <c r="O379" i="3"/>
  <c r="M379" i="3"/>
  <c r="L379" i="3"/>
  <c r="K379" i="3"/>
  <c r="J379" i="3"/>
  <c r="I379" i="3"/>
  <c r="H379" i="3"/>
  <c r="G379" i="3"/>
  <c r="E379" i="3"/>
  <c r="E37" i="4" s="1"/>
  <c r="D379" i="3"/>
  <c r="D37" i="4" s="1"/>
  <c r="C379" i="3"/>
  <c r="C37" i="4" s="1"/>
  <c r="Q377" i="3"/>
  <c r="N377" i="3"/>
  <c r="Q376" i="3"/>
  <c r="Q375" i="3"/>
  <c r="N375" i="3"/>
  <c r="Q373" i="3"/>
  <c r="N373" i="3"/>
  <c r="P364" i="3"/>
  <c r="O364" i="3"/>
  <c r="M364" i="3"/>
  <c r="L364" i="3"/>
  <c r="K364" i="3"/>
  <c r="J364" i="3"/>
  <c r="I364" i="3"/>
  <c r="H364" i="3"/>
  <c r="G364" i="3"/>
  <c r="E364" i="3"/>
  <c r="D364" i="3"/>
  <c r="C364" i="3"/>
  <c r="C33" i="4" s="1"/>
  <c r="Q362" i="3"/>
  <c r="N362" i="3"/>
  <c r="Q361" i="3"/>
  <c r="N361" i="3"/>
  <c r="Q360" i="3"/>
  <c r="N360" i="3"/>
  <c r="Q359" i="3"/>
  <c r="N359" i="3"/>
  <c r="Q358" i="3"/>
  <c r="N358" i="3"/>
  <c r="Q355" i="3"/>
  <c r="N355" i="3"/>
  <c r="Q352" i="3"/>
  <c r="N352" i="3"/>
  <c r="Q345" i="3"/>
  <c r="Q347" i="3" s="1"/>
  <c r="O345" i="3"/>
  <c r="N345" i="3"/>
  <c r="M345" i="3"/>
  <c r="L345" i="3"/>
  <c r="K345" i="3"/>
  <c r="J345" i="3"/>
  <c r="I345" i="3"/>
  <c r="H345" i="3"/>
  <c r="G345" i="3"/>
  <c r="F345" i="3"/>
  <c r="E345" i="3"/>
  <c r="D345" i="3"/>
  <c r="P337" i="3"/>
  <c r="O337" i="3"/>
  <c r="M337" i="3"/>
  <c r="L337" i="3"/>
  <c r="K337" i="3"/>
  <c r="J337" i="3"/>
  <c r="I337" i="3"/>
  <c r="H337" i="3"/>
  <c r="G337" i="3"/>
  <c r="E337" i="3"/>
  <c r="D337" i="3"/>
  <c r="C337" i="3"/>
  <c r="C31" i="4" s="1"/>
  <c r="Q335" i="3"/>
  <c r="N335" i="3"/>
  <c r="Q331" i="3"/>
  <c r="N331" i="3"/>
  <c r="Q330" i="3"/>
  <c r="N330" i="3"/>
  <c r="Q329" i="3"/>
  <c r="N329" i="3"/>
  <c r="P321" i="3"/>
  <c r="O321" i="3"/>
  <c r="M321" i="3"/>
  <c r="L321" i="3"/>
  <c r="K321" i="3"/>
  <c r="J321" i="3"/>
  <c r="I321" i="3"/>
  <c r="H321" i="3"/>
  <c r="G321" i="3"/>
  <c r="E321" i="3"/>
  <c r="D321" i="3"/>
  <c r="C321" i="3"/>
  <c r="C30" i="4" s="1"/>
  <c r="Q319" i="3"/>
  <c r="N319" i="3"/>
  <c r="Q313" i="3"/>
  <c r="N313" i="3"/>
  <c r="Q312" i="3"/>
  <c r="N312" i="3"/>
  <c r="Q311" i="3"/>
  <c r="Q310" i="3"/>
  <c r="N310" i="3"/>
  <c r="Q309" i="3"/>
  <c r="N309" i="3"/>
  <c r="P301" i="3"/>
  <c r="O301" i="3"/>
  <c r="M301" i="3"/>
  <c r="L301" i="3"/>
  <c r="K301" i="3"/>
  <c r="J301" i="3"/>
  <c r="I301" i="3"/>
  <c r="H301" i="3"/>
  <c r="G301" i="3"/>
  <c r="E301" i="3"/>
  <c r="E29" i="4" s="1"/>
  <c r="D301" i="3"/>
  <c r="C301" i="3"/>
  <c r="C29" i="4" s="1"/>
  <c r="N299" i="3"/>
  <c r="N298" i="3"/>
  <c r="N297" i="3"/>
  <c r="N296" i="3"/>
  <c r="N295" i="3"/>
  <c r="N294" i="3"/>
  <c r="N293" i="3"/>
  <c r="N292" i="3"/>
  <c r="N291" i="3"/>
  <c r="N290" i="3"/>
  <c r="N286" i="3"/>
  <c r="N285" i="3"/>
  <c r="N284" i="3"/>
  <c r="N283" i="3"/>
  <c r="N282" i="3"/>
  <c r="N281" i="3"/>
  <c r="N279" i="3"/>
  <c r="N278" i="3"/>
  <c r="N277" i="3"/>
  <c r="N276" i="3"/>
  <c r="N275" i="3"/>
  <c r="N274" i="3"/>
  <c r="N273" i="3"/>
  <c r="N272" i="3"/>
  <c r="Q271" i="3"/>
  <c r="Q301" i="3" s="1"/>
  <c r="T301" i="3" s="1"/>
  <c r="N271" i="3"/>
  <c r="P261" i="3"/>
  <c r="H28" i="4" s="1"/>
  <c r="I28" i="4" s="1"/>
  <c r="O261" i="3"/>
  <c r="M261" i="3"/>
  <c r="L261" i="3"/>
  <c r="K261" i="3"/>
  <c r="J261" i="3"/>
  <c r="I261" i="3"/>
  <c r="H261" i="3"/>
  <c r="G261" i="3"/>
  <c r="E261" i="3"/>
  <c r="E28" i="4" s="1"/>
  <c r="D261" i="3"/>
  <c r="D28" i="4" s="1"/>
  <c r="C261" i="3"/>
  <c r="Q257" i="3"/>
  <c r="N257" i="3"/>
  <c r="Q256" i="3"/>
  <c r="N256" i="3"/>
  <c r="Q255" i="3"/>
  <c r="N255" i="3"/>
  <c r="Q252" i="3"/>
  <c r="N252" i="3"/>
  <c r="Q251" i="3"/>
  <c r="N251" i="3"/>
  <c r="Q250" i="3"/>
  <c r="N250" i="3"/>
  <c r="Q248" i="3"/>
  <c r="N248" i="3"/>
  <c r="Q247" i="3"/>
  <c r="N247" i="3"/>
  <c r="Q246" i="3"/>
  <c r="N246" i="3"/>
  <c r="Q245" i="3"/>
  <c r="P236" i="3"/>
  <c r="H27" i="4" s="1"/>
  <c r="I27" i="4" s="1"/>
  <c r="O236" i="3"/>
  <c r="M236" i="3"/>
  <c r="L236" i="3"/>
  <c r="K236" i="3"/>
  <c r="J236" i="3"/>
  <c r="I236" i="3"/>
  <c r="H236" i="3"/>
  <c r="G236" i="3"/>
  <c r="E236" i="3"/>
  <c r="D236" i="3"/>
  <c r="C236" i="3"/>
  <c r="C27" i="4" s="1"/>
  <c r="Q234" i="3"/>
  <c r="N234" i="3"/>
  <c r="Q219" i="3"/>
  <c r="N219" i="3"/>
  <c r="Q217" i="3"/>
  <c r="N217" i="3"/>
  <c r="Q216" i="3"/>
  <c r="N216" i="3"/>
  <c r="Q213" i="3"/>
  <c r="H26" i="4"/>
  <c r="I26" i="4" s="1"/>
  <c r="E26" i="4"/>
  <c r="D26" i="4"/>
  <c r="C26" i="4"/>
  <c r="Q206" i="3"/>
  <c r="P191" i="3"/>
  <c r="H25" i="4" s="1"/>
  <c r="I25" i="4" s="1"/>
  <c r="O191" i="3"/>
  <c r="M191" i="3"/>
  <c r="L191" i="3"/>
  <c r="K191" i="3"/>
  <c r="J191" i="3"/>
  <c r="I191" i="3"/>
  <c r="H191" i="3"/>
  <c r="G191" i="3"/>
  <c r="E191" i="3"/>
  <c r="D191" i="3"/>
  <c r="C191" i="3"/>
  <c r="C25" i="4" s="1"/>
  <c r="Q179" i="3"/>
  <c r="N179" i="3"/>
  <c r="P170" i="3"/>
  <c r="H24" i="4" s="1"/>
  <c r="I24" i="4" s="1"/>
  <c r="M170" i="3"/>
  <c r="L170" i="3"/>
  <c r="K170" i="3"/>
  <c r="J170" i="3"/>
  <c r="I170" i="3"/>
  <c r="H170" i="3"/>
  <c r="G170" i="3"/>
  <c r="E170" i="3"/>
  <c r="E24" i="4" s="1"/>
  <c r="D170" i="3"/>
  <c r="D24" i="4" s="1"/>
  <c r="C170" i="3"/>
  <c r="C24" i="4" s="1"/>
  <c r="Q168" i="3"/>
  <c r="N168" i="3"/>
  <c r="Q166" i="3"/>
  <c r="N166" i="3"/>
  <c r="Q165" i="3"/>
  <c r="N165" i="3"/>
  <c r="Q163" i="3"/>
  <c r="Q162" i="3"/>
  <c r="N162" i="3"/>
  <c r="Q161" i="3"/>
  <c r="N161" i="3"/>
  <c r="O161" i="3" s="1"/>
  <c r="Q160" i="3"/>
  <c r="P153" i="3"/>
  <c r="H20" i="4" s="1"/>
  <c r="I20" i="4" s="1"/>
  <c r="O153" i="3"/>
  <c r="M153" i="3"/>
  <c r="L153" i="3"/>
  <c r="K153" i="3"/>
  <c r="J153" i="3"/>
  <c r="I153" i="3"/>
  <c r="H153" i="3"/>
  <c r="G153" i="3"/>
  <c r="E153" i="3"/>
  <c r="D153" i="3"/>
  <c r="D20" i="4" s="1"/>
  <c r="C153" i="3"/>
  <c r="C20" i="4" s="1"/>
  <c r="Q151" i="3"/>
  <c r="N151" i="3"/>
  <c r="Q150" i="3"/>
  <c r="N150" i="3"/>
  <c r="Q149" i="3"/>
  <c r="N149" i="3"/>
  <c r="Q148" i="3"/>
  <c r="N148" i="3"/>
  <c r="Q147" i="3"/>
  <c r="N147" i="3"/>
  <c r="Q146" i="3"/>
  <c r="N146" i="3"/>
  <c r="Q145" i="3"/>
  <c r="N145" i="3"/>
  <c r="Q144" i="3"/>
  <c r="N144" i="3"/>
  <c r="Q143" i="3"/>
  <c r="N143" i="3"/>
  <c r="Q142" i="3"/>
  <c r="N142" i="3"/>
  <c r="Q141" i="3"/>
  <c r="N141" i="3"/>
  <c r="Q140" i="3"/>
  <c r="N140" i="3"/>
  <c r="P133" i="3"/>
  <c r="H19" i="4" s="1"/>
  <c r="I19" i="4" s="1"/>
  <c r="O133" i="3"/>
  <c r="M133" i="3"/>
  <c r="L133" i="3"/>
  <c r="K133" i="3"/>
  <c r="J133" i="3"/>
  <c r="I133" i="3"/>
  <c r="H133" i="3"/>
  <c r="G133" i="3"/>
  <c r="E133" i="3"/>
  <c r="E19" i="4" s="1"/>
  <c r="D133" i="3"/>
  <c r="D19" i="4" s="1"/>
  <c r="C133" i="3"/>
  <c r="C19" i="4" s="1"/>
  <c r="Q131" i="3"/>
  <c r="N131" i="3"/>
  <c r="Q129" i="3"/>
  <c r="N129" i="3"/>
  <c r="F133" i="3"/>
  <c r="AD125" i="3"/>
  <c r="P122" i="3"/>
  <c r="M122" i="3"/>
  <c r="L122" i="3"/>
  <c r="K122" i="3"/>
  <c r="J122" i="3"/>
  <c r="I122" i="3"/>
  <c r="H122" i="3"/>
  <c r="G122" i="3"/>
  <c r="E122" i="3"/>
  <c r="D122" i="3"/>
  <c r="C122" i="3"/>
  <c r="C18" i="4" s="1"/>
  <c r="Q120" i="3"/>
  <c r="N120" i="3"/>
  <c r="Q119" i="3"/>
  <c r="N119" i="3"/>
  <c r="O119" i="3" s="1"/>
  <c r="Q118" i="3"/>
  <c r="N118" i="3"/>
  <c r="Q113" i="3"/>
  <c r="N113" i="3"/>
  <c r="O113" i="3" s="1"/>
  <c r="Q112" i="3"/>
  <c r="N112" i="3"/>
  <c r="O112" i="3" s="1"/>
  <c r="Q111" i="3"/>
  <c r="N111" i="3"/>
  <c r="Q108" i="3"/>
  <c r="N108" i="3"/>
  <c r="Q107" i="3"/>
  <c r="N107" i="3"/>
  <c r="O107" i="3" s="1"/>
  <c r="Q106" i="3"/>
  <c r="N106" i="3"/>
  <c r="O106" i="3" s="1"/>
  <c r="Q105" i="3"/>
  <c r="N105" i="3"/>
  <c r="O105" i="3" s="1"/>
  <c r="Q104" i="3"/>
  <c r="N104" i="3"/>
  <c r="O104" i="3" s="1"/>
  <c r="Q103" i="3"/>
  <c r="N103" i="3"/>
  <c r="O103" i="3" s="1"/>
  <c r="H17" i="4"/>
  <c r="I17" i="4" s="1"/>
  <c r="E17" i="4"/>
  <c r="D17" i="4"/>
  <c r="C17" i="4"/>
  <c r="Q92" i="3"/>
  <c r="P85" i="3"/>
  <c r="M85" i="3"/>
  <c r="L85" i="3"/>
  <c r="K85" i="3"/>
  <c r="J85" i="3"/>
  <c r="I85" i="3"/>
  <c r="H85" i="3"/>
  <c r="G85" i="3"/>
  <c r="E85" i="3"/>
  <c r="D85" i="3"/>
  <c r="D16" i="4" s="1"/>
  <c r="C85" i="3"/>
  <c r="C16" i="4" s="1"/>
  <c r="Q77" i="3"/>
  <c r="N77" i="3"/>
  <c r="O77" i="3" s="1"/>
  <c r="Q76" i="3"/>
  <c r="N76" i="3"/>
  <c r="O76" i="3" s="1"/>
  <c r="Q75" i="3"/>
  <c r="N75" i="3"/>
  <c r="O75" i="3" s="1"/>
  <c r="Q74" i="3"/>
  <c r="N74" i="3"/>
  <c r="O74" i="3" s="1"/>
  <c r="Q73" i="3"/>
  <c r="N73" i="3"/>
  <c r="O73" i="3" s="1"/>
  <c r="Q72" i="3"/>
  <c r="N72" i="3"/>
  <c r="O72" i="3" s="1"/>
  <c r="Q70" i="3"/>
  <c r="N70" i="3"/>
  <c r="O70" i="3" s="1"/>
  <c r="Q69" i="3"/>
  <c r="N69" i="3"/>
  <c r="P62" i="3"/>
  <c r="H15" i="4" s="1"/>
  <c r="I15" i="4" s="1"/>
  <c r="M62" i="3"/>
  <c r="L62" i="3"/>
  <c r="K62" i="3"/>
  <c r="H62" i="3"/>
  <c r="G62" i="3"/>
  <c r="E62" i="3"/>
  <c r="D62" i="3"/>
  <c r="C62" i="3"/>
  <c r="C15" i="4" s="1"/>
  <c r="Q60" i="3"/>
  <c r="N60" i="3"/>
  <c r="O60" i="3" s="1"/>
  <c r="Q57" i="3"/>
  <c r="N57" i="3"/>
  <c r="O57" i="3" s="1"/>
  <c r="Q55" i="3"/>
  <c r="N55" i="3"/>
  <c r="O55" i="3" s="1"/>
  <c r="Q54" i="3"/>
  <c r="N54" i="3"/>
  <c r="O54" i="3" s="1"/>
  <c r="Q53" i="3"/>
  <c r="N53" i="3"/>
  <c r="O53" i="3" s="1"/>
  <c r="Q52" i="3"/>
  <c r="N52" i="3"/>
  <c r="O52" i="3" s="1"/>
  <c r="Q51" i="3"/>
  <c r="N51" i="3"/>
  <c r="O51" i="3" s="1"/>
  <c r="Q50" i="3"/>
  <c r="N50" i="3"/>
  <c r="O50" i="3" s="1"/>
  <c r="Q48" i="3"/>
  <c r="N48" i="3"/>
  <c r="O48" i="3" s="1"/>
  <c r="Q44" i="3"/>
  <c r="N44" i="3"/>
  <c r="P37" i="3"/>
  <c r="M37" i="3"/>
  <c r="L37" i="3"/>
  <c r="K37" i="3"/>
  <c r="J37" i="3"/>
  <c r="I37" i="3"/>
  <c r="H37" i="3"/>
  <c r="G37" i="3"/>
  <c r="D37" i="3"/>
  <c r="D14" i="4" s="1"/>
  <c r="C37" i="3"/>
  <c r="C14" i="4" s="1"/>
  <c r="Q31" i="3"/>
  <c r="N31" i="3"/>
  <c r="O31" i="3" s="1"/>
  <c r="Q30" i="3"/>
  <c r="P22" i="3"/>
  <c r="H13" i="4" s="1"/>
  <c r="M22" i="3"/>
  <c r="L22" i="3"/>
  <c r="K22" i="3"/>
  <c r="J22" i="3"/>
  <c r="I22" i="3"/>
  <c r="H22" i="3"/>
  <c r="G22" i="3"/>
  <c r="E22" i="3"/>
  <c r="D22" i="3"/>
  <c r="C22" i="3"/>
  <c r="Q20" i="3"/>
  <c r="O20" i="3"/>
  <c r="Q19" i="3"/>
  <c r="O19" i="3"/>
  <c r="Q18" i="3"/>
  <c r="O18" i="3"/>
  <c r="Q17" i="3"/>
  <c r="O17" i="3"/>
  <c r="Q16" i="3"/>
  <c r="N16" i="3"/>
  <c r="O16" i="3" s="1"/>
  <c r="Q15" i="3"/>
  <c r="Q14" i="3"/>
  <c r="O14" i="3"/>
  <c r="Q96" i="3" l="1"/>
  <c r="Q98" i="3" s="1"/>
  <c r="C28" i="4"/>
  <c r="C538" i="3"/>
  <c r="C542" i="3" s="1"/>
  <c r="D538" i="3"/>
  <c r="D542" i="3" s="1"/>
  <c r="E538" i="3"/>
  <c r="E542" i="3" s="1"/>
  <c r="Q391" i="3"/>
  <c r="Q393" i="3" s="1"/>
  <c r="Q208" i="3"/>
  <c r="D31" i="4"/>
  <c r="F153" i="3"/>
  <c r="F261" i="3"/>
  <c r="F28" i="4" s="1"/>
  <c r="Q37" i="3"/>
  <c r="Q39" i="3" s="1"/>
  <c r="E47" i="4"/>
  <c r="F26" i="4"/>
  <c r="N245" i="3"/>
  <c r="N261" i="3" s="1"/>
  <c r="Q379" i="3"/>
  <c r="Q381" i="3" s="1"/>
  <c r="N439" i="3"/>
  <c r="E14" i="4"/>
  <c r="F47" i="4"/>
  <c r="E16" i="4"/>
  <c r="H47" i="4"/>
  <c r="I47" i="4" s="1"/>
  <c r="Q451" i="3"/>
  <c r="Q453" i="3" s="1"/>
  <c r="F499" i="3"/>
  <c r="Q511" i="3"/>
  <c r="Q513" i="3" s="1"/>
  <c r="D18" i="4"/>
  <c r="F22" i="3"/>
  <c r="Q261" i="3"/>
  <c r="Q265" i="3" s="1"/>
  <c r="F379" i="3"/>
  <c r="F37" i="4" s="1"/>
  <c r="N491" i="3"/>
  <c r="N499" i="3" s="1"/>
  <c r="Q533" i="3"/>
  <c r="Q535" i="3" s="1"/>
  <c r="E18" i="4"/>
  <c r="N376" i="3"/>
  <c r="N379" i="3" s="1"/>
  <c r="F533" i="3"/>
  <c r="F48" i="4" s="1"/>
  <c r="E20" i="4"/>
  <c r="H48" i="4"/>
  <c r="I48" i="4" s="1"/>
  <c r="F191" i="3"/>
  <c r="F236" i="3"/>
  <c r="F364" i="3"/>
  <c r="F405" i="3"/>
  <c r="F432" i="3"/>
  <c r="F41" i="4" s="1"/>
  <c r="N528" i="3"/>
  <c r="N533" i="3" s="1"/>
  <c r="F122" i="3"/>
  <c r="F18" i="4" s="1"/>
  <c r="F170" i="3"/>
  <c r="F24" i="4" s="1"/>
  <c r="N191" i="3"/>
  <c r="N213" i="3"/>
  <c r="N236" i="3" s="1"/>
  <c r="N432" i="3"/>
  <c r="D25" i="4"/>
  <c r="N160" i="3"/>
  <c r="N170" i="3" s="1"/>
  <c r="F301" i="3"/>
  <c r="F321" i="3"/>
  <c r="Q364" i="3"/>
  <c r="Q366" i="3" s="1"/>
  <c r="F464" i="3"/>
  <c r="F43" i="4" s="1"/>
  <c r="H43" i="4"/>
  <c r="I43" i="4" s="1"/>
  <c r="N311" i="3"/>
  <c r="N321" i="3" s="1"/>
  <c r="N464" i="3"/>
  <c r="D27" i="4"/>
  <c r="F337" i="3"/>
  <c r="F31" i="4" s="1"/>
  <c r="F419" i="3"/>
  <c r="Q464" i="3"/>
  <c r="Q466" i="3" s="1"/>
  <c r="N337" i="3"/>
  <c r="N414" i="3"/>
  <c r="N419" i="3" s="1"/>
  <c r="F483" i="3"/>
  <c r="D29" i="4"/>
  <c r="Q62" i="3"/>
  <c r="Q64" i="3" s="1"/>
  <c r="Q405" i="3"/>
  <c r="Q407" i="3" s="1"/>
  <c r="H39" i="4"/>
  <c r="I39" i="4" s="1"/>
  <c r="H45" i="4"/>
  <c r="I45" i="4" s="1"/>
  <c r="Q499" i="3"/>
  <c r="Q502" i="3" s="1"/>
  <c r="Q483" i="3"/>
  <c r="Q486" i="3" s="1"/>
  <c r="Q432" i="3"/>
  <c r="Q434" i="3" s="1"/>
  <c r="H41" i="4"/>
  <c r="I41" i="4" s="1"/>
  <c r="Q419" i="3"/>
  <c r="Q421" i="3" s="1"/>
  <c r="H37" i="4"/>
  <c r="I37" i="4" s="1"/>
  <c r="Q337" i="3"/>
  <c r="Q339" i="3" s="1"/>
  <c r="Q321" i="3"/>
  <c r="Q324" i="3" s="1"/>
  <c r="Q236" i="3"/>
  <c r="Q239" i="3" s="1"/>
  <c r="Q191" i="3"/>
  <c r="Q193" i="3" s="1"/>
  <c r="Q170" i="3"/>
  <c r="Q172" i="3" s="1"/>
  <c r="Q153" i="3"/>
  <c r="Q155" i="3" s="1"/>
  <c r="Q133" i="3"/>
  <c r="Q135" i="3" s="1"/>
  <c r="Q122" i="3"/>
  <c r="Q124" i="3" s="1"/>
  <c r="Q126" i="3" s="1"/>
  <c r="Q85" i="3"/>
  <c r="Q87" i="3" s="1"/>
  <c r="Q22" i="3"/>
  <c r="Q24" i="3" s="1"/>
  <c r="I13" i="4"/>
  <c r="F17" i="4"/>
  <c r="F19" i="4"/>
  <c r="N133" i="3"/>
  <c r="O122" i="3"/>
  <c r="N85" i="3"/>
  <c r="O69" i="3"/>
  <c r="O85" i="3" s="1"/>
  <c r="N122" i="3"/>
  <c r="N62" i="3"/>
  <c r="O44" i="3"/>
  <c r="O62" i="3" s="1"/>
  <c r="N153" i="3"/>
  <c r="O483" i="3"/>
  <c r="N364" i="3"/>
  <c r="N483" i="3"/>
  <c r="N405" i="3"/>
  <c r="O402" i="3"/>
  <c r="O405" i="3" s="1"/>
  <c r="F38" i="4"/>
  <c r="F46" i="4"/>
  <c r="N15" i="3"/>
  <c r="N30" i="3"/>
  <c r="N206" i="3"/>
  <c r="N280" i="3"/>
  <c r="N301" i="3" s="1"/>
  <c r="O458" i="3"/>
  <c r="O464" i="3" s="1"/>
  <c r="N511" i="3"/>
  <c r="E25" i="4"/>
  <c r="E27" i="4"/>
  <c r="E31" i="4"/>
  <c r="E33" i="4"/>
  <c r="D38" i="4"/>
  <c r="D40" i="4"/>
  <c r="D42" i="4"/>
  <c r="D44" i="4"/>
  <c r="D46" i="4"/>
  <c r="D33" i="4"/>
  <c r="H14" i="4"/>
  <c r="I14" i="4" s="1"/>
  <c r="H16" i="4"/>
  <c r="I16" i="4" s="1"/>
  <c r="H18" i="4"/>
  <c r="I18" i="4" s="1"/>
  <c r="E38" i="4"/>
  <c r="E40" i="4"/>
  <c r="E42" i="4"/>
  <c r="E44" i="4"/>
  <c r="F62" i="3"/>
  <c r="F85" i="3"/>
  <c r="H29" i="4"/>
  <c r="I29" i="4" s="1"/>
  <c r="H31" i="4"/>
  <c r="I31" i="4" s="1"/>
  <c r="H33" i="4"/>
  <c r="I33" i="4" s="1"/>
  <c r="F42" i="4"/>
  <c r="C13" i="4"/>
  <c r="H38" i="4"/>
  <c r="I38" i="4" s="1"/>
  <c r="H40" i="4"/>
  <c r="I40" i="4" s="1"/>
  <c r="H42" i="4"/>
  <c r="I42" i="4" s="1"/>
  <c r="D13" i="4"/>
  <c r="D15" i="4"/>
  <c r="E13" i="4"/>
  <c r="E15" i="4"/>
  <c r="D30" i="4"/>
  <c r="D32" i="4"/>
  <c r="E30" i="4"/>
  <c r="E32" i="4"/>
  <c r="D39" i="4"/>
  <c r="F32" i="4"/>
  <c r="E39" i="4"/>
  <c r="H30" i="4"/>
  <c r="I30" i="4" s="1"/>
  <c r="J22" i="4" l="1"/>
  <c r="J35" i="4"/>
  <c r="Q304" i="3"/>
  <c r="F538" i="3"/>
  <c r="F27" i="4"/>
  <c r="F13" i="4"/>
  <c r="O160" i="3"/>
  <c r="O170" i="3" s="1"/>
  <c r="F14" i="4"/>
  <c r="F44" i="4"/>
  <c r="F25" i="4"/>
  <c r="F45" i="4"/>
  <c r="F40" i="4"/>
  <c r="F39" i="4"/>
  <c r="F30" i="4"/>
  <c r="F20" i="4"/>
  <c r="F33" i="4"/>
  <c r="F29" i="4"/>
  <c r="N451" i="3"/>
  <c r="O439" i="3"/>
  <c r="O451" i="3" s="1"/>
  <c r="F16" i="4"/>
  <c r="C50" i="4"/>
  <c r="D50" i="4"/>
  <c r="N22" i="3"/>
  <c r="O15" i="3"/>
  <c r="O22" i="3" s="1"/>
  <c r="H50" i="4"/>
  <c r="F15" i="4"/>
  <c r="N37" i="3"/>
  <c r="O30" i="3"/>
  <c r="O37" i="3" s="1"/>
  <c r="E50" i="4"/>
  <c r="J50" i="4" l="1"/>
  <c r="F50" i="4"/>
  <c r="L52" i="4"/>
  <c r="P52" i="4" s="1"/>
</calcChain>
</file>

<file path=xl/sharedStrings.xml><?xml version="1.0" encoding="utf-8"?>
<sst xmlns="http://schemas.openxmlformats.org/spreadsheetml/2006/main" count="487" uniqueCount="398">
  <si>
    <t xml:space="preserve"> </t>
  </si>
  <si>
    <t xml:space="preserve">SAN JUAN COYULA                                             </t>
  </si>
  <si>
    <t>GERENCIA ESTATAL OAXACA</t>
  </si>
  <si>
    <t>DEPARTAMENTO DE DISTRIBUCION Y TRANSPORTACION</t>
  </si>
  <si>
    <t>LECHERÍA</t>
  </si>
  <si>
    <t>TIENDA</t>
  </si>
  <si>
    <t>PADRÓN</t>
  </si>
  <si>
    <t>DOT.</t>
  </si>
  <si>
    <t>Envio</t>
  </si>
  <si>
    <t>EXIST.</t>
  </si>
  <si>
    <t>EXISTENCIA</t>
  </si>
  <si>
    <t>Envio Program.</t>
  </si>
  <si>
    <t>EXIST.ESTIMADA</t>
  </si>
  <si>
    <t>%  AJUSTE</t>
  </si>
  <si>
    <t>SOBRANTE</t>
  </si>
  <si>
    <t>CAJAS</t>
  </si>
  <si>
    <t>GUIA DIST.</t>
  </si>
  <si>
    <t>NÚM.</t>
  </si>
  <si>
    <t>No.</t>
  </si>
  <si>
    <t>L O C A L I D A D</t>
  </si>
  <si>
    <t>FAM.</t>
  </si>
  <si>
    <t>BENEF.</t>
  </si>
  <si>
    <t>MEN.</t>
  </si>
  <si>
    <t>EN</t>
  </si>
  <si>
    <t>CAJ.</t>
  </si>
  <si>
    <t>SOB.</t>
  </si>
  <si>
    <t>INICIO</t>
  </si>
  <si>
    <t>DOT. TEORICA</t>
  </si>
  <si>
    <t>ESTIM. P/</t>
  </si>
  <si>
    <t>SOLIC. X</t>
  </si>
  <si>
    <t>TEORICA</t>
  </si>
  <si>
    <t>ALMACEN</t>
  </si>
  <si>
    <t>%</t>
  </si>
  <si>
    <t>SUPERV.</t>
  </si>
  <si>
    <t>ALMACEN RURAL : CHALCATONGO</t>
  </si>
  <si>
    <t xml:space="preserve">SAN ANDRÉS CABECERA NUEVA                              </t>
  </si>
  <si>
    <t>SAN ESTEBAN ATATLAHUCA</t>
  </si>
  <si>
    <t>SAN MIGUEL EL GRANDE</t>
  </si>
  <si>
    <t xml:space="preserve">SAN PEDRO MOLINOS                                      </t>
  </si>
  <si>
    <t>SANTA CATARINA TICUA</t>
  </si>
  <si>
    <t>SANTO DOMINGO IXCATLAN</t>
  </si>
  <si>
    <t>T O T A L</t>
  </si>
  <si>
    <t>OBSERVACIONES:</t>
  </si>
  <si>
    <t>TOTAL A RECIBIR EN ALMACEN:</t>
  </si>
  <si>
    <t>ALMACEN RURAL : COIXTLAHUACA</t>
  </si>
  <si>
    <t>TEPELMEME VILLA DE MORELOS</t>
  </si>
  <si>
    <t>SANTA MARIA NATIVITAS</t>
  </si>
  <si>
    <t xml:space="preserve">OBSERVACIONES: </t>
  </si>
  <si>
    <t>ALMACEN RURAL : CONSTANCIA DEL ROSARIO</t>
  </si>
  <si>
    <t>ALMACEN RURAL : HUAJOLOTITLAN</t>
  </si>
  <si>
    <t>COSOLTEPEC</t>
  </si>
  <si>
    <t>EL MOLINO HUAJUAPAN</t>
  </si>
  <si>
    <t>SANTIAGO CHAZUMBA</t>
  </si>
  <si>
    <t xml:space="preserve">SANTIAGO MILTEPEC </t>
  </si>
  <si>
    <t>SAN JOSE AYUQUILA</t>
  </si>
  <si>
    <t>SAN MARCOS ARTEAGA</t>
  </si>
  <si>
    <t>ALMACEN RURAL : TACACHE DE MINA</t>
  </si>
  <si>
    <t xml:space="preserve">MARISCALA DE JUÁREZ                                    </t>
  </si>
  <si>
    <t>ALMACEN RURAL : TLAXIACO</t>
  </si>
  <si>
    <t>HEROICA CIUDAD DE TLAXIACO</t>
  </si>
  <si>
    <t>BARRIO SAN PEDRO, TLAXIACO</t>
  </si>
  <si>
    <t>BARRIO SAN DIEGO, TLAXIACO</t>
  </si>
  <si>
    <t>SANTIAGO NUNDICHE</t>
  </si>
  <si>
    <t>SANTIAGO YOLOMECATL</t>
  </si>
  <si>
    <t>SANTO TOMAS OCOTEPEC</t>
  </si>
  <si>
    <t>ALMACEN RURAL : TECOMAXTLAHUACA</t>
  </si>
  <si>
    <t xml:space="preserve">SANTIAGO JUXTLAHUACA                                   </t>
  </si>
  <si>
    <t>STO. DGO. TONALA</t>
  </si>
  <si>
    <t>ALMACEN RURAL : YANHUITLAN</t>
  </si>
  <si>
    <t>SAN ANDRES LAGUNAS</t>
  </si>
  <si>
    <t>SAN FCO. JALTEPETONGO</t>
  </si>
  <si>
    <t>SAN JUAN SAYULTEPEC</t>
  </si>
  <si>
    <t>SAN JUAN TEPOSCOLULA</t>
  </si>
  <si>
    <t>SAN MATEO ETLATONGO</t>
  </si>
  <si>
    <t>SAN PEDRO TEOZACOALCO</t>
  </si>
  <si>
    <t>SAN PEDRO Y SAN PABLO TEPOSCOLULA</t>
  </si>
  <si>
    <t>SAN VICENTE NUÑU</t>
  </si>
  <si>
    <t>SANTA INES DE ZARAGOZA</t>
  </si>
  <si>
    <t>ALMACEN RURAL : MORRO MAZATAN</t>
  </si>
  <si>
    <t>SANTO DOMINGO TEHUANTEPEC</t>
  </si>
  <si>
    <t>SN BLAS ATEMPA</t>
  </si>
  <si>
    <t xml:space="preserve">SANTIAGO ASTATA </t>
  </si>
  <si>
    <t>RANCHO EL LLANO</t>
  </si>
  <si>
    <t>SAN PEDRO HUAMELULA</t>
  </si>
  <si>
    <t>SAN PEDRO HUILOTEPEC</t>
  </si>
  <si>
    <t>MORRO MAZATAN</t>
  </si>
  <si>
    <t>::</t>
  </si>
  <si>
    <t>ALMACEN RURAL : PALOMARES</t>
  </si>
  <si>
    <t>PALOMARES</t>
  </si>
  <si>
    <t>ALMACEN RURAL : SANTIAGO LAOLLAGA</t>
  </si>
  <si>
    <t>SAN BLAS ATEMPA</t>
  </si>
  <si>
    <t>ALMACEN RURAL : SANTIAGO NILTEPEC</t>
  </si>
  <si>
    <t>ASUNCION IXTALTEPEC</t>
  </si>
  <si>
    <t>EL HUAMUL</t>
  </si>
  <si>
    <t>SANTIAGO NILTEPEC</t>
  </si>
  <si>
    <t xml:space="preserve">SANTO DOMINGO ZANATEPEC                                </t>
  </si>
  <si>
    <t>ALMACEN RURAL : EL TOMATAL</t>
  </si>
  <si>
    <t>COL. LINDAVISTA RIO GRANDE</t>
  </si>
  <si>
    <t>RIO GRANDE O PIEDRA PARADA</t>
  </si>
  <si>
    <t>ALMACEN RURAL : SAN ANDRES HUAXPALTEPEC</t>
  </si>
  <si>
    <t>SAN AGUSTIN CHAYUCO</t>
  </si>
  <si>
    <t>YUCUTACO</t>
  </si>
  <si>
    <t>SAN ANDRES HUAXPALTEPEC</t>
  </si>
  <si>
    <t>SAN JOSE DEL PROGRESO</t>
  </si>
  <si>
    <t>STA.MA. HUAZOLOTITLAN</t>
  </si>
  <si>
    <t>STA. ROSA DE LIMA</t>
  </si>
  <si>
    <t>COL GUADALUPE; STGO. JAMILTEPEC</t>
  </si>
  <si>
    <t>SAN PEDRO AMUZGOS</t>
  </si>
  <si>
    <t>SAN JUAN CACAHUATEPEC</t>
  </si>
  <si>
    <t>SAN JOSE ESTANCIA GRANDE</t>
  </si>
  <si>
    <t>SAN ANTONIO OCOTLAN</t>
  </si>
  <si>
    <t>VILLA DE TUTUTEPEC DE M. OCAMPO</t>
  </si>
  <si>
    <t>SANTA MARIA ACATEPEC</t>
  </si>
  <si>
    <t>STA CRUZ TUTUTEPEC</t>
  </si>
  <si>
    <t>SAN FRANCISCO DE ARRIBA</t>
  </si>
  <si>
    <t>LA LUZ</t>
  </si>
  <si>
    <t>COSTATITLAN</t>
  </si>
  <si>
    <t>SANTA MARIA CORTIJO</t>
  </si>
  <si>
    <t>PASO DE JIOTE</t>
  </si>
  <si>
    <t>JOSE MARIA MORELOS</t>
  </si>
  <si>
    <t>SANTIAGO LLANO GRANDE</t>
  </si>
  <si>
    <t>RANCHO NUEVO, SANTIAGO LLANO GRANDE</t>
  </si>
  <si>
    <t>PINOTEPA NACIONAL</t>
  </si>
  <si>
    <t>CERRO LA ESPERANZA</t>
  </si>
  <si>
    <t>MANCUERNAS PINOTEPA NAL.</t>
  </si>
  <si>
    <t>ALMACEN RURAL : SANTA  MARIA  HUATULCO</t>
  </si>
  <si>
    <t>STA. MA. HUATULCO</t>
  </si>
  <si>
    <t>SAN JOSE CHACALAPA</t>
  </si>
  <si>
    <t>SAN PEDRO CAFETITLAN</t>
  </si>
  <si>
    <t>SAN ISIDRO APANGO</t>
  </si>
  <si>
    <t>ROQUE SAN PEDRO POCHUTLA</t>
  </si>
  <si>
    <t>PUEBLO VIEJO</t>
  </si>
  <si>
    <t>ALMACEN RURAL : LA REFORMA YAUTEPEC</t>
  </si>
  <si>
    <t>MAGDALENA TEQUISISTLAN</t>
  </si>
  <si>
    <t>SAN JOSE</t>
  </si>
  <si>
    <t>NEJAPA DE MADERO</t>
  </si>
  <si>
    <t>ALMACEN RURAL : LOS IDEALES</t>
  </si>
  <si>
    <t>ALMACEN RURAL : PUEBLO NUEVO, TUX.</t>
  </si>
  <si>
    <t>JOLIETTE</t>
  </si>
  <si>
    <t>SAN JUAN BTA. VALLE NAL.</t>
  </si>
  <si>
    <t>ZACATE COLORADO</t>
  </si>
  <si>
    <t>EL CEDRAL</t>
  </si>
  <si>
    <t>EL CARMEN</t>
  </si>
  <si>
    <t>SANTA MARIA JACATEPEC</t>
  </si>
  <si>
    <t>ALMACEN RURAL : VALLES CENTRALES</t>
  </si>
  <si>
    <t>AYOQUEZCO DE ALDAMA</t>
  </si>
  <si>
    <t>SANTA CRUZ MIXTEPEC</t>
  </si>
  <si>
    <t>SANTIAGO TENANGO</t>
  </si>
  <si>
    <t>ALMACEN RURAL : SAN ANDRES HIDALGO</t>
  </si>
  <si>
    <t>RIO SANTIAGO HUAUTLA</t>
  </si>
  <si>
    <t>ALMACEN RURAL : SAN JOSE DEL CHILAR</t>
  </si>
  <si>
    <t>SAN PEDRO CHICOZAPOTE</t>
  </si>
  <si>
    <t>SAN JUAN BAUTISTA CUICATLAN</t>
  </si>
  <si>
    <t>VALERIO TRUJANO/TOMELLÍN</t>
  </si>
  <si>
    <t>ALMACEN RURAL : TEOTITLAN DE FLORES MAGON</t>
  </si>
  <si>
    <t>XOCHITONALCO</t>
  </si>
  <si>
    <t>SAN JUAN DE LOS CUES</t>
  </si>
  <si>
    <t>SAN JERONIMO TECOATL</t>
  </si>
  <si>
    <t>SAN MATEO YOLOXOCHITLAN</t>
  </si>
  <si>
    <t>TEOTITLAN DE FLORES MAGON</t>
  </si>
  <si>
    <t>ALMACEN RURAL : AYUTLA MIXES</t>
  </si>
  <si>
    <t>STA MARIA TLAHUITOLTEPEC</t>
  </si>
  <si>
    <t>TAMAZULAPAM DEL ESPIRITU SANTO</t>
  </si>
  <si>
    <t>ALMACEN RURAL: IXTLAN DE JUAREZ</t>
  </si>
  <si>
    <t>IXTLAN DE JUAREZ</t>
  </si>
  <si>
    <t>SAN MIGUEL AMATLÁN</t>
  </si>
  <si>
    <t>SANTIAGO LA XOPA</t>
  </si>
  <si>
    <t>TANETZE DE ZARAGOZA</t>
  </si>
  <si>
    <t>ALMACEN RURAL : MAGDALENA OCOTLAN</t>
  </si>
  <si>
    <t>MONTE DEL TORO</t>
  </si>
  <si>
    <t>SAN PEDRO APOSTOL</t>
  </si>
  <si>
    <t>YAXE</t>
  </si>
  <si>
    <t>ALMACEN RURAL : SANTO TOMAS TAMAZULAPAN</t>
  </si>
  <si>
    <t>GUIXE</t>
  </si>
  <si>
    <t>SANTA CATARINA ROATINA</t>
  </si>
  <si>
    <t>BRAMADEROS</t>
  </si>
  <si>
    <t>LA PILA</t>
  </si>
  <si>
    <t>MIAHUATLAN DE PORFIRIO DIAZ</t>
  </si>
  <si>
    <t>STO.TOMAS TAMAZULAPAN</t>
  </si>
  <si>
    <t>SANTA ANA MIAHUATLAN</t>
  </si>
  <si>
    <t>ALMACEN RURAL : SAN PEDRO JUCHATENGO</t>
  </si>
  <si>
    <t>STA. CATARINA JUQUILA</t>
  </si>
  <si>
    <t>SN. GABRIEL MIXTEPEC</t>
  </si>
  <si>
    <t>SN. PEDRO JUCHATENGO</t>
  </si>
  <si>
    <t>SAN ANDRES COPALA</t>
  </si>
  <si>
    <t>EL CAMALOTE</t>
  </si>
  <si>
    <t>BARRIO LA ASUNCION, SANTA CATARINA JUQUILA</t>
  </si>
  <si>
    <t>SAN NICOLAS, SANTA CATARINA JUQUILA</t>
  </si>
  <si>
    <t>TOTAL A RECIBIR EN ALMACÉN:</t>
  </si>
  <si>
    <t>ALMACEN RURAL : SANTA MARIA LACHIXIO</t>
  </si>
  <si>
    <t>SAN FERNANDO DE MATAMOROS</t>
  </si>
  <si>
    <t>SAN MIGUEL PIEDRAS</t>
  </si>
  <si>
    <t>ALMACEN RURAL : MATATLAN</t>
  </si>
  <si>
    <t>ALMACEN RURAL : CUAJIMOLOYAS</t>
  </si>
  <si>
    <t>SAN ILDEFONSO VILLA ALTA</t>
  </si>
  <si>
    <t>SAN CRISTOBAL LACHIRIOAG</t>
  </si>
  <si>
    <t>CUAJIMOLOYAS</t>
  </si>
  <si>
    <t>DEPARTAMENTO DE DISTRIBUCIÓN Y TRANSPORTACIÓN</t>
  </si>
  <si>
    <t>ALMACEN DICONSA</t>
  </si>
  <si>
    <t>NUMERO DE  TIENDAS</t>
  </si>
  <si>
    <t>DOTACION MENSUAL TEOR.</t>
  </si>
  <si>
    <t>SOBRANTE EN ALMACEN RURAL</t>
  </si>
  <si>
    <t xml:space="preserve"> * REQUERIMIENTO *</t>
  </si>
  <si>
    <t>TOTALES POR SUCURSALES RURALES</t>
  </si>
  <si>
    <t>CAJAS A ENVIAR A ALMC. RURAL</t>
  </si>
  <si>
    <t>SUCURSAL HUAJUAPAN</t>
  </si>
  <si>
    <t xml:space="preserve">  CHALCATONGO</t>
  </si>
  <si>
    <t xml:space="preserve">  COIXTLAHUACA</t>
  </si>
  <si>
    <t xml:space="preserve">  CONSTANCIA DEL ROSARIO</t>
  </si>
  <si>
    <t xml:space="preserve">  HUAJOLOTITLAN</t>
  </si>
  <si>
    <t xml:space="preserve">  TACACHE DE MINA</t>
  </si>
  <si>
    <t xml:space="preserve">  TLAXIACO</t>
  </si>
  <si>
    <t xml:space="preserve">  TECOMAXTLAHUACA</t>
  </si>
  <si>
    <t xml:space="preserve">  YANHUITLAN</t>
  </si>
  <si>
    <t>SUCURSAL  ISTMO-COSTA</t>
  </si>
  <si>
    <t xml:space="preserve">  MORRO MAZATAN</t>
  </si>
  <si>
    <t xml:space="preserve">  PALOMARES</t>
  </si>
  <si>
    <t xml:space="preserve">  SANTIAGO LAOLLAGA</t>
  </si>
  <si>
    <t xml:space="preserve">  SANTIAGO NILTEPEC</t>
  </si>
  <si>
    <t xml:space="preserve">  EL TOMATAL</t>
  </si>
  <si>
    <t xml:space="preserve">  HUAXPALTEPEC</t>
  </si>
  <si>
    <t xml:space="preserve">  SANTA MARIA HUATULCO</t>
  </si>
  <si>
    <t xml:space="preserve">  LA REFORMA YAUTEPEC</t>
  </si>
  <si>
    <t xml:space="preserve">  LOS IDEALES</t>
  </si>
  <si>
    <t xml:space="preserve">  PUEBLO NUEVO</t>
  </si>
  <si>
    <t>SUCURSAL V. CENTRAL</t>
  </si>
  <si>
    <t>VALLES CENTRALES</t>
  </si>
  <si>
    <t>SAN ANDRES HIDALGO</t>
  </si>
  <si>
    <t>SAN JOSE DEL CHILAR</t>
  </si>
  <si>
    <t>AYUTLA MIXES</t>
  </si>
  <si>
    <t>MAGDALENA OCOTLAN</t>
  </si>
  <si>
    <t>SANTO TOMAS TAMAZULAPAN</t>
  </si>
  <si>
    <t>SAN PEDRO JUCHATENGO</t>
  </si>
  <si>
    <t>SANTA MARIA LACHIXIO</t>
  </si>
  <si>
    <t>MATATLAN</t>
  </si>
  <si>
    <t xml:space="preserve">ALMACENES TOTALES </t>
  </si>
  <si>
    <t>CAPULALPAM DE MENDEZ</t>
  </si>
  <si>
    <t>SANTA MARIA JALTIANGUIS</t>
  </si>
  <si>
    <t>EL CARRIZAL</t>
  </si>
  <si>
    <t>PATIO IGLESIA</t>
  </si>
  <si>
    <t>SAN FRANCISCO DEL MAR</t>
  </si>
  <si>
    <t>SANTA MARIA ECATEPEC</t>
  </si>
  <si>
    <t>SAN MIGUEL TEQUIXTEPEC</t>
  </si>
  <si>
    <t>EL PASO DE LAS MARAVILLAS</t>
  </si>
  <si>
    <t>SANTA ANA TUTUTEPEC</t>
  </si>
  <si>
    <t>SANTA CRUZ YODOCONO</t>
  </si>
  <si>
    <t>SANTA MARIA CHACHOAPAM</t>
  </si>
  <si>
    <t>HEROICA VILLA TEZOATLAN DE SEGURA Y LUNA, CUNA DE LA INDEPEN</t>
  </si>
  <si>
    <t xml:space="preserve">GUADALUPE NUEVO TENOCHTITLAN </t>
  </si>
  <si>
    <t xml:space="preserve">SAN PEDRO MIXTEPEC DISTRITO 22 </t>
  </si>
  <si>
    <t xml:space="preserve">SAN PEDRO Y SAN PABLO TEQUIXTEPEC </t>
  </si>
  <si>
    <t xml:space="preserve">SANTA MARIA JALAPA DEL MARQUES </t>
  </si>
  <si>
    <t xml:space="preserve">SANTIAGO AMATE COLORADO </t>
  </si>
  <si>
    <t xml:space="preserve">LA REFORMA </t>
  </si>
  <si>
    <t xml:space="preserve">BARRIO SAN SEBASTIAN </t>
  </si>
  <si>
    <t xml:space="preserve">BRISAS DE ZICATELA </t>
  </si>
  <si>
    <t xml:space="preserve">PUTLA VILLA DE GUERRERO </t>
  </si>
  <si>
    <t xml:space="preserve">LOS OCOTES </t>
  </si>
  <si>
    <t xml:space="preserve">BAJOS DE CHILA </t>
  </si>
  <si>
    <t xml:space="preserve">SANTA CATARINA TAYATA </t>
  </si>
  <si>
    <t xml:space="preserve">SANTA MARIA ZACATEPEC </t>
  </si>
  <si>
    <t xml:space="preserve">VILLA TALEA DE CASTRO </t>
  </si>
  <si>
    <t xml:space="preserve">SAN JUAN ACHIUTLA </t>
  </si>
  <si>
    <t xml:space="preserve">LA MINA </t>
  </si>
  <si>
    <t xml:space="preserve">SAN MARTIN HUAMELULPAM </t>
  </si>
  <si>
    <t xml:space="preserve">SAN PEDRO MARTIR YUCUXACO </t>
  </si>
  <si>
    <t xml:space="preserve">PUERTO ESCONDIDO </t>
  </si>
  <si>
    <t xml:space="preserve">SAN PEDRO POCHUTLA </t>
  </si>
  <si>
    <t xml:space="preserve">SAN SEBASTIAN NICANANDUTA </t>
  </si>
  <si>
    <t xml:space="preserve">EL TOMATAL </t>
  </si>
  <si>
    <t xml:space="preserve">VENTANILLA </t>
  </si>
  <si>
    <t xml:space="preserve">VALDEFLORES SEGUNDA SECCION </t>
  </si>
  <si>
    <t xml:space="preserve">ZOCOTEACA DE LEON </t>
  </si>
  <si>
    <t xml:space="preserve">SANTA MARIA IPALAPA </t>
  </si>
  <si>
    <t xml:space="preserve">SANTA MARIA EL RINCON </t>
  </si>
  <si>
    <t xml:space="preserve">SAN JUAN CABEZA DEL RIO </t>
  </si>
  <si>
    <t xml:space="preserve">SANTIAGO LLANO GRANDE </t>
  </si>
  <si>
    <t xml:space="preserve">COLLANTES </t>
  </si>
  <si>
    <t>CHALCATONGO DE HIDALGO</t>
  </si>
  <si>
    <t>VILLA DE TAMAZULAPAN DEL PROGRESO</t>
  </si>
  <si>
    <t>COL. BUENA VISTA, HUAJUAPAN</t>
  </si>
  <si>
    <t>YUTANDUCHI DE GUERRERO</t>
  </si>
  <si>
    <t>RINCON DE TLAPACOYAN</t>
  </si>
  <si>
    <t>SANTA URSULA</t>
  </si>
  <si>
    <t>SANTIAGO COMALTEPEC</t>
  </si>
  <si>
    <t>SANTA MARIA TEMAXCALAPA</t>
  </si>
  <si>
    <t>EL CAPULIN</t>
  </si>
  <si>
    <t>TEE UJIA PROGRESO</t>
  </si>
  <si>
    <t>EL ZACATAL</t>
  </si>
  <si>
    <t>SAN PEDRO COMITANCILLO</t>
  </si>
  <si>
    <t>UNION HIDALGO</t>
  </si>
  <si>
    <t>SANTA MARIA YACOCHI</t>
  </si>
  <si>
    <t>SAN PEDRO SINIYUVI</t>
  </si>
  <si>
    <t>REYES LLANO GRANDE</t>
  </si>
  <si>
    <t>AYOTZINTEPEC</t>
  </si>
  <si>
    <t>SAN PEDRO COATLAN</t>
  </si>
  <si>
    <t>RIO GRANDE</t>
  </si>
  <si>
    <t>OCOTAL</t>
  </si>
  <si>
    <t>SAN JUAN LACHIXILA</t>
  </si>
  <si>
    <t>SANTIAGO JOCOTEPEC</t>
  </si>
  <si>
    <t>SAN MARCOS ZACATEPEC</t>
  </si>
  <si>
    <t>LA REFORMA SAN MATEO</t>
  </si>
  <si>
    <t>SANTA CRUZ NEXILA</t>
  </si>
  <si>
    <t>SANTA CRUZ BAMBA Y GARRAPATERO</t>
  </si>
  <si>
    <t>SANTA CRUZ NUNDACO</t>
  </si>
  <si>
    <t>SAN ISIDRO VISTA HERMOSA</t>
  </si>
  <si>
    <t>SAN FELIPE TEJALAPA</t>
  </si>
  <si>
    <t>SAN MIGUEL CHIMALAPA</t>
  </si>
  <si>
    <t>LLANO GRANDE</t>
  </si>
  <si>
    <t>BARRIO NUEVO TOLTEPEC</t>
  </si>
  <si>
    <t>CUAJINICUIL</t>
  </si>
  <si>
    <t>SAN FRANCISCO IXHUATAN 20 DE NOVIEMBRE</t>
  </si>
  <si>
    <t>SAN FRANCISCO IXHUATAN</t>
  </si>
  <si>
    <t>LAS PALMAS</t>
  </si>
  <si>
    <t>LA VENTA</t>
  </si>
  <si>
    <t>TLACOTEPEC PLUMAS</t>
  </si>
  <si>
    <t>SAN ANDRES YUTATIIO</t>
  </si>
  <si>
    <t>SAN ANDRES CHICAHUAXTLA</t>
  </si>
  <si>
    <t>CAMPO DE AVIACION , TLAXIACO</t>
  </si>
  <si>
    <t>SAN JUAN LAJARCIA</t>
  </si>
  <si>
    <t>EL GUAYABO TEPEHUAJE</t>
  </si>
  <si>
    <t>SAN MIGUEL (COLONIA)</t>
  </si>
  <si>
    <t>CERRO HERMOSO</t>
  </si>
  <si>
    <t>MAGDALENA TLACOTEPEC</t>
  </si>
  <si>
    <t>SANTA MARIA GUELACE</t>
  </si>
  <si>
    <t>LAZARO CARDENAS</t>
  </si>
  <si>
    <t>SAN DIONICIO DEL MAR</t>
  </si>
  <si>
    <t>LAS ANONAS</t>
  </si>
  <si>
    <t>EL PORVENIR</t>
  </si>
  <si>
    <t>LOS LIMONES</t>
  </si>
  <si>
    <t>LAS CONCHAS</t>
  </si>
  <si>
    <t>LEYES DE REFORMA</t>
  </si>
  <si>
    <t>SANTA CRUZ</t>
  </si>
  <si>
    <t>EL CRUCE HUATULCO</t>
  </si>
  <si>
    <t>SANTIAGO MATATLAN</t>
  </si>
  <si>
    <t>CHACALAPA VILLA DE TUTUTEPEC</t>
  </si>
  <si>
    <t>SAN ANTONIO</t>
  </si>
  <si>
    <t>BENITO JUAREZ (EL TREBOL)</t>
  </si>
  <si>
    <t>PLAN DE SAN LUIS</t>
  </si>
  <si>
    <t>EL RASTROJO</t>
  </si>
  <si>
    <t>SAN PEDRO ATOYAC</t>
  </si>
  <si>
    <t>SAN NICOLAS HIDALGO</t>
  </si>
  <si>
    <t>SANTIAGO LAOLLAGA</t>
  </si>
  <si>
    <t>SANTO DOMINGO CHIHUITAN</t>
  </si>
  <si>
    <t>SAN MIGUEL SUCHIXTEPEC</t>
  </si>
  <si>
    <t>ESTACION SARABIA</t>
  </si>
  <si>
    <t>ALMOLOYA DE GUTIERREZ</t>
  </si>
  <si>
    <t xml:space="preserve">COLONIA CUAUHTEMOC                                          </t>
  </si>
  <si>
    <t>SANTO DOMINGO YOJOVI</t>
  </si>
  <si>
    <t>LA TRINIDAD VISTA HERMOSA</t>
  </si>
  <si>
    <t>ESTANZUELA GRANDE</t>
  </si>
  <si>
    <t>LA BLANCA</t>
  </si>
  <si>
    <t>OJO DE AGUA, TLAXIACO</t>
  </si>
  <si>
    <t>SANTA MARIA COLOTEPEC</t>
  </si>
  <si>
    <t>SAN JUAN ATEPEC</t>
  </si>
  <si>
    <t>SAN MARTIN DEL RIO</t>
  </si>
  <si>
    <t xml:space="preserve">     LECHE PARA EL BIENESTAR, S.A. DE C.V.</t>
  </si>
  <si>
    <t>LECHERIAS INCORPORADAS AL CONVENIO LECHE PARA EL BIENESTAR-ALIMENTACION PARA EL BIENESTAR 6.50 X LITRO</t>
  </si>
  <si>
    <t>LECHERIAS INCORPORADAS AL CONVENIO LECHE PARA EL BIENESTAR-ALIMENTACION PARA EL BIENESTAR Precio $6.50 Lt. COD:1360</t>
  </si>
  <si>
    <t>GENERAL FELIPE ANGELES</t>
  </si>
  <si>
    <t>LOS NARANJOS ESQUIPULAS</t>
  </si>
  <si>
    <t>SANTA MARIA TINDU</t>
  </si>
  <si>
    <t>LAZARO CARDENAS COPALA</t>
  </si>
  <si>
    <t>SAN JOSE MANO MARQUES</t>
  </si>
  <si>
    <t>YOSOYUXI COPALA</t>
  </si>
  <si>
    <t>GUADALUPE DE CISNEROS</t>
  </si>
  <si>
    <t>ENERO</t>
  </si>
  <si>
    <t>RIO PACHINE</t>
  </si>
  <si>
    <t>YERBA SANTA</t>
  </si>
  <si>
    <t>RIO MINAS TEOZACUALC</t>
  </si>
  <si>
    <t>SANTA CRUZ YAGAVILA</t>
  </si>
  <si>
    <t>FEBRERO</t>
  </si>
  <si>
    <t>SAN MIGUEL FIGUEROA</t>
  </si>
  <si>
    <r>
      <t>REQUERIMIENTO DE LECHE EN POLVO CORRESPONDIENTE AL MES DE</t>
    </r>
    <r>
      <rPr>
        <b/>
        <sz val="9"/>
        <rFont val="Arial"/>
        <family val="2"/>
        <charset val="1"/>
      </rPr>
      <t xml:space="preserve"> MARZO DEL 2026.</t>
    </r>
  </si>
  <si>
    <t>MARZO</t>
  </si>
  <si>
    <t>PADRON DE BENEFICIARIOS. AL CIERRE DE ENERO 2026</t>
  </si>
  <si>
    <r>
      <t xml:space="preserve">OBSERVACIONES: </t>
    </r>
    <r>
      <rPr>
        <sz val="8"/>
        <rFont val="Arial"/>
        <family val="2"/>
      </rPr>
      <t>DE LAS CAJAS DE LECHE QUE SE ENCUENTRAN EN EL ALMACEN ENVIAR: 7 CAJAS PARA EL P.V. 2004110900</t>
    </r>
  </si>
  <si>
    <r>
      <t xml:space="preserve">OBSERVACIONES: </t>
    </r>
    <r>
      <rPr>
        <sz val="8"/>
        <rFont val="Arial"/>
        <family val="2"/>
      </rPr>
      <t>DE LAS CAJAS DE LECHE QUE SE ENCUENTRAN EN EL ALMACEN ENVIAR: 11 CAJAS PARA EL P.V. 2017710300</t>
    </r>
  </si>
  <si>
    <r>
      <t xml:space="preserve">OBSERVACIONES: </t>
    </r>
    <r>
      <rPr>
        <sz val="8"/>
        <rFont val="Arial"/>
        <family val="2"/>
      </rPr>
      <t>DE LAS CAJAS DE LECHE QUE SE ENCUENTRAN EN EL ALMACEN ENVIAR: 45 CAJAS PARA EL P.V. 2012032600</t>
    </r>
  </si>
  <si>
    <r>
      <t>OBSERVACIONES:</t>
    </r>
    <r>
      <rPr>
        <sz val="8"/>
        <rFont val="Arial"/>
        <family val="2"/>
      </rPr>
      <t xml:space="preserve"> DE LAS CAJAS DE LECHE QUE SE ENCUENTRAN EN EL ALMACEN ENVIAR: 70 CAJAS PARA EL P.V. 2012018000, 45 CAJAS PARA EL P.V. 2012018200</t>
    </r>
  </si>
  <si>
    <r>
      <t xml:space="preserve">OBSERVACIONES: </t>
    </r>
    <r>
      <rPr>
        <sz val="8"/>
        <rFont val="Arial"/>
        <family val="2"/>
      </rPr>
      <t xml:space="preserve">DE LAS CAJAS DE LECHE QUE SE ENCUENTRAN EN EL ALMACEN ENVIAR: 25 CAJAS PARA EL P.V. 2001010500, 20 CAJAS PARA EL P.V. 2019811500 </t>
    </r>
  </si>
  <si>
    <r>
      <t xml:space="preserve">OBSERVACIONES: </t>
    </r>
    <r>
      <rPr>
        <sz val="8"/>
        <rFont val="Arial"/>
        <family val="2"/>
      </rPr>
      <t>DE LAS CAJAS DE LECHE QUE SE ENCUENTRAN EN EL ALMACEN ENVIAR: 14 CAJAS PARA EL P.V. 2000510300</t>
    </r>
  </si>
  <si>
    <t>SANTA MARIA CAMOTLAN</t>
  </si>
  <si>
    <t>SANTO DOMINGO TIANGUISTENGO</t>
  </si>
  <si>
    <r>
      <t xml:space="preserve">OBSERVACIONES: </t>
    </r>
    <r>
      <rPr>
        <sz val="8"/>
        <rFont val="Arial"/>
        <family val="2"/>
      </rPr>
      <t>DE LAS CAJAS DE LECHE QUE SE ENCUENTRAN EN EL ALMACEN ENVIAR: 05 CAJAS PARA EL P.V. 2039710500</t>
    </r>
  </si>
  <si>
    <r>
      <t xml:space="preserve">OBSERVACIONES: </t>
    </r>
    <r>
      <rPr>
        <sz val="8"/>
        <rFont val="Arial"/>
        <family val="2"/>
      </rPr>
      <t>DE LAS CAJAS DE LECHE QUE SE ENCUENTRAN EN EL ALMACEN ENVIAR: 24 CAJAS PARA EL P.V. 2012043800</t>
    </r>
  </si>
  <si>
    <r>
      <t xml:space="preserve">OBSERVACIONES: </t>
    </r>
    <r>
      <rPr>
        <sz val="8"/>
        <rFont val="Arial"/>
        <family val="2"/>
      </rPr>
      <t>DE LAS CAJAS DE LECHE QUE SE ENCUENTRAN EN EL ALMACEN ENVIAR: 03 CAJAS PARA EL P.V. 2014410300</t>
    </r>
  </si>
  <si>
    <r>
      <t xml:space="preserve">OBSERVACIONES: </t>
    </r>
    <r>
      <rPr>
        <sz val="8"/>
        <rFont val="Arial"/>
        <family val="2"/>
      </rPr>
      <t>DE LAS CAJAS DE LECHE QUE SE ENCUENTRAN EN EL ALMACEN ENVIAR: 18 CAJAS PARA EL P.V. 2012045800</t>
    </r>
  </si>
  <si>
    <r>
      <t xml:space="preserve">OBSERVACIONES: </t>
    </r>
    <r>
      <rPr>
        <sz val="8"/>
        <rFont val="Arial"/>
        <family val="2"/>
      </rPr>
      <t>DE LAS CAJAS DE LECHE QUE SE ENCUENTRAN EN EL ALMACEN ENVIAR: 15 CAJAS PARA EL P.V. 2011007300, 15 CAJAS PARA EL P.V. 2037810200</t>
    </r>
  </si>
  <si>
    <t>10 CAJAS PARA EL P.V. 2035810100</t>
  </si>
  <si>
    <r>
      <t xml:space="preserve">OBSERVACIONES: </t>
    </r>
    <r>
      <rPr>
        <sz val="8"/>
        <rFont val="Arial"/>
        <family val="2"/>
      </rPr>
      <t>DE LAS CAJAS DE LECHE QUE SE ENCUENTRAN EN EL ALMACEN ENVIAR: 3 CAJAS PARA EL P.V. 2027410200</t>
    </r>
  </si>
  <si>
    <r>
      <t xml:space="preserve">OBSERVACIONES: </t>
    </r>
    <r>
      <rPr>
        <sz val="8"/>
        <rFont val="Arial"/>
        <family val="2"/>
      </rPr>
      <t>DE LAS CAJAS DE LECHE QUE SE ENCUENTRAN EN EL ALMACEN ENVIAR: 3 CAJAS PARA EL P.V. 2026210200</t>
    </r>
  </si>
  <si>
    <r>
      <t xml:space="preserve">OBSERVACIONES: </t>
    </r>
    <r>
      <rPr>
        <sz val="8"/>
        <rFont val="Arial"/>
        <family val="2"/>
      </rPr>
      <t>DE LAS CAJAS DE LECHE QUE SE ENCUENTRAN EN EL ALMACEN ENVIAR: 84 CAJAS PARA EL P.V. 2011015100</t>
    </r>
  </si>
  <si>
    <t>ASUNCION ATOYAQUILLO</t>
  </si>
  <si>
    <t>TIERRA BLANCA</t>
  </si>
  <si>
    <t>PESQUERIA RANCHO SALINAS</t>
  </si>
  <si>
    <t>SAN PEDRO AYACAXTEPEC</t>
  </si>
  <si>
    <t>AGUA DE 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</si>
</sst>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69" x14ac:knownFonts="1">
    <font>
      <sz val="10"/>
      <name val="Arial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8"/>
      <name val="Arial"/>
      <family val="2"/>
      <charset val="1"/>
    </font>
    <font>
      <sz val="8"/>
      <color rgb="FF000000"/>
      <name val="Arial"/>
      <family val="2"/>
      <charset val="1"/>
    </font>
    <font>
      <b/>
      <sz val="8"/>
      <name val="Arial"/>
      <family val="2"/>
      <charset val="1"/>
    </font>
    <font>
      <b/>
      <sz val="16"/>
      <name val="Arial"/>
      <family val="2"/>
      <charset val="1"/>
    </font>
    <font>
      <sz val="12"/>
      <name val="Arial"/>
      <family val="2"/>
      <charset val="1"/>
    </font>
    <font>
      <b/>
      <sz val="10"/>
      <name val="Arial"/>
      <family val="2"/>
      <charset val="1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sz val="8"/>
      <name val="Britannic Bold"/>
      <family val="2"/>
      <charset val="1"/>
    </font>
    <font>
      <b/>
      <sz val="8"/>
      <name val="Britannic Bold"/>
      <family val="2"/>
      <charset val="1"/>
    </font>
    <font>
      <b/>
      <sz val="8"/>
      <name val="Times New Roman"/>
      <family val="1"/>
      <charset val="1"/>
    </font>
    <font>
      <b/>
      <sz val="8"/>
      <color rgb="FFFF0000"/>
      <name val="Arial"/>
      <family val="2"/>
      <charset val="1"/>
    </font>
    <font>
      <b/>
      <sz val="7"/>
      <name val="Arial"/>
      <family val="2"/>
      <charset val="1"/>
    </font>
    <font>
      <sz val="8"/>
      <name val="MS Sans Serif"/>
      <family val="2"/>
      <charset val="1"/>
    </font>
    <font>
      <sz val="8"/>
      <color rgb="FFFF0000"/>
      <name val="Arial"/>
      <family val="2"/>
      <charset val="1"/>
    </font>
    <font>
      <sz val="8"/>
      <name val="Arial"/>
      <family val="2"/>
    </font>
    <font>
      <sz val="8"/>
      <name val="Arial Rounded MT Bold"/>
      <family val="2"/>
      <charset val="1"/>
    </font>
    <font>
      <b/>
      <sz val="6"/>
      <name val="Arial"/>
      <family val="2"/>
      <charset val="1"/>
    </font>
    <font>
      <b/>
      <sz val="8"/>
      <name val="Arial Rounded MT Bold"/>
      <family val="2"/>
      <charset val="1"/>
    </font>
    <font>
      <sz val="7"/>
      <name val="Arial"/>
      <family val="2"/>
      <charset val="1"/>
    </font>
    <font>
      <sz val="16"/>
      <name val="Arial"/>
      <family val="2"/>
      <charset val="1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D7E4BD"/>
        <bgColor rgb="FFCCCCFF"/>
      </patternFill>
    </fill>
    <fill>
      <patternFill patternType="solid">
        <fgColor rgb="FFFFC000"/>
        <bgColor rgb="FFFF9900"/>
      </patternFill>
    </fill>
    <fill>
      <patternFill patternType="solid">
        <fgColor rgb="FFFF99FF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47">
    <xf numFmtId="0" fontId="0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38">
    <xf numFmtId="0" fontId="0" fillId="0" borderId="0" xfId="0"/>
    <xf numFmtId="164" fontId="47" fillId="0" borderId="1" xfId="0" applyNumberFormat="1" applyFont="1" applyBorder="1" applyProtection="1">
      <protection locked="0"/>
    </xf>
    <xf numFmtId="164" fontId="47" fillId="0" borderId="1" xfId="0" applyNumberFormat="1" applyFont="1" applyBorder="1" applyAlignment="1" applyProtection="1">
      <alignment horizontal="right"/>
      <protection locked="0"/>
    </xf>
    <xf numFmtId="164" fontId="47" fillId="2" borderId="1" xfId="0" applyNumberFormat="1" applyFont="1" applyFill="1" applyBorder="1" applyProtection="1">
      <protection locked="0"/>
    </xf>
    <xf numFmtId="164" fontId="48" fillId="0" borderId="1" xfId="0" applyNumberFormat="1" applyFont="1" applyBorder="1" applyProtection="1">
      <protection locked="0"/>
    </xf>
    <xf numFmtId="1" fontId="47" fillId="2" borderId="0" xfId="0" applyNumberFormat="1" applyFont="1" applyFill="1"/>
    <xf numFmtId="0" fontId="47" fillId="2" borderId="0" xfId="0" applyFont="1" applyFill="1"/>
    <xf numFmtId="164" fontId="47" fillId="2" borderId="0" xfId="0" applyNumberFormat="1" applyFont="1" applyFill="1"/>
    <xf numFmtId="3" fontId="47" fillId="2" borderId="0" xfId="0" applyNumberFormat="1" applyFont="1" applyFill="1"/>
    <xf numFmtId="3" fontId="49" fillId="2" borderId="0" xfId="0" applyNumberFormat="1" applyFont="1" applyFill="1"/>
    <xf numFmtId="3" fontId="47" fillId="0" borderId="0" xfId="0" applyNumberFormat="1" applyFont="1"/>
    <xf numFmtId="1" fontId="55" fillId="2" borderId="0" xfId="0" applyNumberFormat="1" applyFont="1" applyFill="1"/>
    <xf numFmtId="0" fontId="55" fillId="2" borderId="0" xfId="0" applyFont="1" applyFill="1"/>
    <xf numFmtId="3" fontId="55" fillId="2" borderId="0" xfId="0" applyNumberFormat="1" applyFont="1" applyFill="1"/>
    <xf numFmtId="3" fontId="56" fillId="2" borderId="0" xfId="0" applyNumberFormat="1" applyFont="1" applyFill="1"/>
    <xf numFmtId="164" fontId="47" fillId="2" borderId="3" xfId="0" applyNumberFormat="1" applyFont="1" applyFill="1" applyBorder="1" applyAlignment="1">
      <alignment horizontal="center"/>
    </xf>
    <xf numFmtId="1" fontId="47" fillId="2" borderId="3" xfId="0" applyNumberFormat="1" applyFont="1" applyFill="1" applyBorder="1" applyAlignment="1">
      <alignment horizontal="center"/>
    </xf>
    <xf numFmtId="0" fontId="47" fillId="2" borderId="3" xfId="0" applyFont="1" applyFill="1" applyBorder="1" applyAlignment="1">
      <alignment horizontal="center"/>
    </xf>
    <xf numFmtId="3" fontId="47" fillId="2" borderId="4" xfId="0" applyNumberFormat="1" applyFont="1" applyFill="1" applyBorder="1" applyAlignment="1">
      <alignment horizontal="center"/>
    </xf>
    <xf numFmtId="3" fontId="47" fillId="2" borderId="3" xfId="0" applyNumberFormat="1" applyFont="1" applyFill="1" applyBorder="1" applyAlignment="1">
      <alignment horizontal="center"/>
    </xf>
    <xf numFmtId="3" fontId="47" fillId="2" borderId="5" xfId="0" applyNumberFormat="1" applyFont="1" applyFill="1" applyBorder="1" applyAlignment="1">
      <alignment horizontal="center"/>
    </xf>
    <xf numFmtId="3" fontId="47" fillId="0" borderId="3" xfId="0" applyNumberFormat="1" applyFont="1" applyBorder="1" applyAlignment="1">
      <alignment horizontal="center"/>
    </xf>
    <xf numFmtId="3" fontId="49" fillId="2" borderId="3" xfId="0" applyNumberFormat="1" applyFont="1" applyFill="1" applyBorder="1" applyAlignment="1">
      <alignment horizontal="center"/>
    </xf>
    <xf numFmtId="164" fontId="47" fillId="2" borderId="6" xfId="0" applyNumberFormat="1" applyFont="1" applyFill="1" applyBorder="1" applyAlignment="1">
      <alignment horizontal="center"/>
    </xf>
    <xf numFmtId="1" fontId="47" fillId="2" borderId="6" xfId="0" applyNumberFormat="1" applyFont="1" applyFill="1" applyBorder="1" applyAlignment="1">
      <alignment horizontal="center"/>
    </xf>
    <xf numFmtId="0" fontId="47" fillId="2" borderId="6" xfId="0" applyFont="1" applyFill="1" applyBorder="1" applyAlignment="1">
      <alignment horizontal="center"/>
    </xf>
    <xf numFmtId="3" fontId="47" fillId="2" borderId="6" xfId="0" applyNumberFormat="1" applyFont="1" applyFill="1" applyBorder="1" applyAlignment="1">
      <alignment horizontal="center"/>
    </xf>
    <xf numFmtId="3" fontId="54" fillId="3" borderId="6" xfId="0" applyNumberFormat="1" applyFont="1" applyFill="1" applyBorder="1" applyAlignment="1">
      <alignment horizontal="center"/>
    </xf>
    <xf numFmtId="3" fontId="47" fillId="2" borderId="7" xfId="0" applyNumberFormat="1" applyFont="1" applyFill="1" applyBorder="1" applyAlignment="1">
      <alignment horizontal="center"/>
    </xf>
    <xf numFmtId="3" fontId="47" fillId="3" borderId="6" xfId="0" applyNumberFormat="1" applyFont="1" applyFill="1" applyBorder="1" applyAlignment="1">
      <alignment horizontal="center"/>
    </xf>
    <xf numFmtId="3" fontId="54" fillId="4" borderId="6" xfId="0" applyNumberFormat="1" applyFont="1" applyFill="1" applyBorder="1" applyAlignment="1">
      <alignment horizontal="center"/>
    </xf>
    <xf numFmtId="164" fontId="47" fillId="2" borderId="7" xfId="0" applyNumberFormat="1" applyFont="1" applyFill="1" applyBorder="1" applyAlignment="1">
      <alignment horizontal="center"/>
    </xf>
    <xf numFmtId="1" fontId="47" fillId="2" borderId="7" xfId="0" applyNumberFormat="1" applyFont="1" applyFill="1" applyBorder="1" applyAlignment="1">
      <alignment horizontal="center"/>
    </xf>
    <xf numFmtId="0" fontId="47" fillId="2" borderId="7" xfId="0" applyFont="1" applyFill="1" applyBorder="1" applyAlignment="1">
      <alignment horizontal="center"/>
    </xf>
    <xf numFmtId="3" fontId="47" fillId="2" borderId="8" xfId="0" applyNumberFormat="1" applyFont="1" applyFill="1" applyBorder="1" applyAlignment="1">
      <alignment horizontal="center"/>
    </xf>
    <xf numFmtId="3" fontId="47" fillId="2" borderId="2" xfId="0" applyNumberFormat="1" applyFont="1" applyFill="1" applyBorder="1" applyAlignment="1">
      <alignment horizontal="center"/>
    </xf>
    <xf numFmtId="3" fontId="49" fillId="2" borderId="7" xfId="0" applyNumberFormat="1" applyFont="1" applyFill="1" applyBorder="1" applyAlignment="1">
      <alignment horizontal="center"/>
    </xf>
    <xf numFmtId="3" fontId="49" fillId="0" borderId="7" xfId="0" applyNumberFormat="1" applyFont="1" applyBorder="1" applyAlignment="1">
      <alignment horizontal="center"/>
    </xf>
    <xf numFmtId="3" fontId="47" fillId="3" borderId="7" xfId="0" applyNumberFormat="1" applyFont="1" applyFill="1" applyBorder="1" applyAlignment="1">
      <alignment horizontal="center"/>
    </xf>
    <xf numFmtId="3" fontId="49" fillId="4" borderId="7" xfId="0" applyNumberFormat="1" applyFont="1" applyFill="1" applyBorder="1" applyAlignment="1">
      <alignment horizontal="center"/>
    </xf>
    <xf numFmtId="1" fontId="57" fillId="5" borderId="0" xfId="0" applyNumberFormat="1" applyFont="1" applyFill="1"/>
    <xf numFmtId="0" fontId="47" fillId="5" borderId="0" xfId="0" applyFont="1" applyFill="1"/>
    <xf numFmtId="3" fontId="47" fillId="2" borderId="2" xfId="0" applyNumberFormat="1" applyFont="1" applyFill="1" applyBorder="1"/>
    <xf numFmtId="164" fontId="47" fillId="2" borderId="5" xfId="0" applyNumberFormat="1" applyFont="1" applyFill="1" applyBorder="1" applyProtection="1">
      <protection locked="0"/>
    </xf>
    <xf numFmtId="1" fontId="47" fillId="2" borderId="9" xfId="0" applyNumberFormat="1" applyFont="1" applyFill="1" applyBorder="1" applyProtection="1">
      <protection locked="0"/>
    </xf>
    <xf numFmtId="0" fontId="47" fillId="2" borderId="9" xfId="0" applyFont="1" applyFill="1" applyBorder="1" applyProtection="1">
      <protection locked="0"/>
    </xf>
    <xf numFmtId="3" fontId="47" fillId="2" borderId="0" xfId="0" applyNumberFormat="1" applyFont="1" applyFill="1" applyProtection="1">
      <protection locked="0"/>
    </xf>
    <xf numFmtId="3" fontId="49" fillId="2" borderId="9" xfId="0" applyNumberFormat="1" applyFont="1" applyFill="1" applyBorder="1"/>
    <xf numFmtId="3" fontId="47" fillId="2" borderId="9" xfId="0" applyNumberFormat="1" applyFont="1" applyFill="1" applyBorder="1" applyProtection="1">
      <protection locked="0"/>
    </xf>
    <xf numFmtId="3" fontId="47" fillId="2" borderId="9" xfId="0" applyNumberFormat="1" applyFont="1" applyFill="1" applyBorder="1"/>
    <xf numFmtId="3" fontId="47" fillId="0" borderId="9" xfId="0" applyNumberFormat="1" applyFont="1" applyBorder="1" applyProtection="1">
      <protection locked="0"/>
    </xf>
    <xf numFmtId="3" fontId="47" fillId="2" borderId="10" xfId="0" applyNumberFormat="1" applyFont="1" applyFill="1" applyBorder="1"/>
    <xf numFmtId="1" fontId="47" fillId="0" borderId="0" xfId="0" applyNumberFormat="1" applyFont="1" applyProtection="1">
      <protection locked="0"/>
    </xf>
    <xf numFmtId="0" fontId="47" fillId="0" borderId="0" xfId="0" applyFont="1"/>
    <xf numFmtId="3" fontId="47" fillId="0" borderId="0" xfId="0" applyNumberFormat="1" applyFont="1" applyAlignment="1" applyProtection="1">
      <alignment horizontal="right"/>
      <protection locked="0"/>
    </xf>
    <xf numFmtId="3" fontId="47" fillId="0" borderId="0" xfId="0" applyNumberFormat="1" applyFont="1" applyAlignment="1">
      <alignment horizontal="right"/>
    </xf>
    <xf numFmtId="3" fontId="49" fillId="0" borderId="11" xfId="0" applyNumberFormat="1" applyFont="1" applyBorder="1" applyAlignment="1">
      <alignment horizontal="right"/>
    </xf>
    <xf numFmtId="0" fontId="47" fillId="0" borderId="0" xfId="0" applyFont="1" applyProtection="1">
      <protection locked="0"/>
    </xf>
    <xf numFmtId="164" fontId="48" fillId="0" borderId="12" xfId="0" applyNumberFormat="1" applyFont="1" applyBorder="1" applyProtection="1">
      <protection locked="0"/>
    </xf>
    <xf numFmtId="1" fontId="47" fillId="0" borderId="2" xfId="0" applyNumberFormat="1" applyFont="1" applyBorder="1" applyProtection="1">
      <protection locked="0"/>
    </xf>
    <xf numFmtId="0" fontId="47" fillId="0" borderId="2" xfId="0" applyFont="1" applyBorder="1" applyProtection="1">
      <protection locked="0"/>
    </xf>
    <xf numFmtId="3" fontId="47" fillId="0" borderId="2" xfId="0" applyNumberFormat="1" applyFont="1" applyBorder="1"/>
    <xf numFmtId="3" fontId="47" fillId="0" borderId="2" xfId="0" applyNumberFormat="1" applyFont="1" applyBorder="1" applyAlignment="1" applyProtection="1">
      <alignment horizontal="right"/>
      <protection locked="0"/>
    </xf>
    <xf numFmtId="3" fontId="47" fillId="0" borderId="2" xfId="0" applyNumberFormat="1" applyFont="1" applyBorder="1" applyAlignment="1">
      <alignment horizontal="right"/>
    </xf>
    <xf numFmtId="3" fontId="49" fillId="0" borderId="8" xfId="0" applyNumberFormat="1" applyFont="1" applyBorder="1" applyAlignment="1">
      <alignment horizontal="right"/>
    </xf>
    <xf numFmtId="3" fontId="47" fillId="2" borderId="9" xfId="0" applyNumberFormat="1" applyFont="1" applyFill="1" applyBorder="1" applyAlignment="1" applyProtection="1">
      <alignment horizontal="right"/>
      <protection locked="0"/>
    </xf>
    <xf numFmtId="164" fontId="49" fillId="0" borderId="5" xfId="0" applyNumberFormat="1" applyFont="1" applyBorder="1" applyAlignment="1" applyProtection="1">
      <alignment vertical="top"/>
      <protection locked="0"/>
    </xf>
    <xf numFmtId="1" fontId="49" fillId="0" borderId="9" xfId="0" applyNumberFormat="1" applyFont="1" applyBorder="1" applyProtection="1">
      <protection locked="0"/>
    </xf>
    <xf numFmtId="0" fontId="49" fillId="0" borderId="9" xfId="0" applyFont="1" applyBorder="1" applyProtection="1">
      <protection locked="0"/>
    </xf>
    <xf numFmtId="3" fontId="49" fillId="0" borderId="9" xfId="0" applyNumberFormat="1" applyFont="1" applyBorder="1" applyProtection="1">
      <protection locked="0"/>
    </xf>
    <xf numFmtId="3" fontId="49" fillId="0" borderId="9" xfId="0" applyNumberFormat="1" applyFont="1" applyBorder="1"/>
    <xf numFmtId="3" fontId="58" fillId="0" borderId="13" xfId="0" applyNumberFormat="1" applyFont="1" applyBorder="1" applyProtection="1">
      <protection locked="0"/>
    </xf>
    <xf numFmtId="3" fontId="49" fillId="0" borderId="13" xfId="0" applyNumberFormat="1" applyFont="1" applyBorder="1"/>
    <xf numFmtId="3" fontId="49" fillId="0" borderId="14" xfId="0" applyNumberFormat="1" applyFont="1" applyBorder="1" applyProtection="1">
      <protection locked="0"/>
    </xf>
    <xf numFmtId="3" fontId="49" fillId="0" borderId="14" xfId="0" applyNumberFormat="1" applyFont="1" applyBorder="1"/>
    <xf numFmtId="164" fontId="47" fillId="0" borderId="12" xfId="0" applyNumberFormat="1" applyFont="1" applyBorder="1" applyProtection="1">
      <protection locked="0"/>
    </xf>
    <xf numFmtId="1" fontId="49" fillId="0" borderId="2" xfId="0" applyNumberFormat="1" applyFont="1" applyBorder="1" applyProtection="1">
      <protection locked="0"/>
    </xf>
    <xf numFmtId="0" fontId="49" fillId="0" borderId="2" xfId="0" applyFont="1" applyBorder="1" applyProtection="1">
      <protection locked="0"/>
    </xf>
    <xf numFmtId="3" fontId="49" fillId="0" borderId="2" xfId="0" applyNumberFormat="1" applyFont="1" applyBorder="1" applyProtection="1">
      <protection locked="0"/>
    </xf>
    <xf numFmtId="3" fontId="49" fillId="0" borderId="2" xfId="0" applyNumberFormat="1" applyFont="1" applyBorder="1"/>
    <xf numFmtId="3" fontId="49" fillId="0" borderId="8" xfId="0" applyNumberFormat="1" applyFont="1" applyBorder="1"/>
    <xf numFmtId="3" fontId="49" fillId="0" borderId="0" xfId="0" applyNumberFormat="1" applyFont="1" applyAlignment="1" applyProtection="1">
      <alignment horizontal="left"/>
      <protection locked="0"/>
    </xf>
    <xf numFmtId="3" fontId="49" fillId="0" borderId="0" xfId="0" applyNumberFormat="1" applyFont="1" applyAlignment="1">
      <alignment horizontal="left"/>
    </xf>
    <xf numFmtId="3" fontId="54" fillId="0" borderId="0" xfId="0" applyNumberFormat="1" applyFont="1" applyAlignment="1" applyProtection="1">
      <alignment horizontal="right"/>
      <protection locked="0"/>
    </xf>
    <xf numFmtId="3" fontId="54" fillId="0" borderId="0" xfId="0" applyNumberFormat="1" applyFont="1"/>
    <xf numFmtId="164" fontId="59" fillId="2" borderId="0" xfId="0" applyNumberFormat="1" applyFont="1" applyFill="1" applyAlignment="1" applyProtection="1">
      <alignment horizontal="left"/>
      <protection locked="0"/>
    </xf>
    <xf numFmtId="1" fontId="49" fillId="2" borderId="0" xfId="0" applyNumberFormat="1" applyFont="1" applyFill="1" applyAlignment="1" applyProtection="1">
      <alignment horizontal="left"/>
      <protection locked="0"/>
    </xf>
    <xf numFmtId="0" fontId="49" fillId="2" borderId="0" xfId="0" applyFont="1" applyFill="1" applyAlignment="1" applyProtection="1">
      <alignment horizontal="left"/>
      <protection locked="0"/>
    </xf>
    <xf numFmtId="3" fontId="49" fillId="2" borderId="0" xfId="0" applyNumberFormat="1" applyFont="1" applyFill="1" applyAlignment="1" applyProtection="1">
      <alignment horizontal="left"/>
      <protection locked="0"/>
    </xf>
    <xf numFmtId="3" fontId="49" fillId="2" borderId="0" xfId="0" applyNumberFormat="1" applyFont="1" applyFill="1" applyAlignment="1">
      <alignment horizontal="left"/>
    </xf>
    <xf numFmtId="164" fontId="47" fillId="2" borderId="0" xfId="0" applyNumberFormat="1" applyFont="1" applyFill="1" applyProtection="1">
      <protection locked="0"/>
    </xf>
    <xf numFmtId="1" fontId="57" fillId="5" borderId="0" xfId="0" applyNumberFormat="1" applyFont="1" applyFill="1" applyProtection="1">
      <protection locked="0"/>
    </xf>
    <xf numFmtId="0" fontId="47" fillId="5" borderId="0" xfId="0" applyFont="1" applyFill="1" applyProtection="1">
      <protection locked="0"/>
    </xf>
    <xf numFmtId="3" fontId="47" fillId="2" borderId="0" xfId="0" applyNumberFormat="1" applyFont="1" applyFill="1" applyAlignment="1" applyProtection="1">
      <alignment horizontal="center"/>
      <protection locked="0"/>
    </xf>
    <xf numFmtId="3" fontId="47" fillId="0" borderId="0" xfId="0" applyNumberFormat="1" applyFont="1" applyProtection="1">
      <protection locked="0"/>
    </xf>
    <xf numFmtId="1" fontId="47" fillId="2" borderId="0" xfId="0" applyNumberFormat="1" applyFont="1" applyFill="1" applyProtection="1">
      <protection locked="0"/>
    </xf>
    <xf numFmtId="0" fontId="47" fillId="2" borderId="0" xfId="0" applyFont="1" applyFill="1" applyProtection="1">
      <protection locked="0"/>
    </xf>
    <xf numFmtId="3" fontId="47" fillId="2" borderId="2" xfId="0" applyNumberFormat="1" applyFont="1" applyFill="1" applyBorder="1" applyProtection="1">
      <protection locked="0"/>
    </xf>
    <xf numFmtId="3" fontId="60" fillId="2" borderId="0" xfId="0" applyNumberFormat="1" applyFont="1" applyFill="1" applyProtection="1">
      <protection locked="0"/>
    </xf>
    <xf numFmtId="3" fontId="60" fillId="2" borderId="0" xfId="0" applyNumberFormat="1" applyFont="1" applyFill="1"/>
    <xf numFmtId="3" fontId="47" fillId="2" borderId="9" xfId="0" applyNumberFormat="1" applyFont="1" applyFill="1" applyBorder="1" applyAlignment="1" applyProtection="1">
      <alignment horizontal="center"/>
      <protection locked="0"/>
    </xf>
    <xf numFmtId="164" fontId="47" fillId="2" borderId="12" xfId="0" applyNumberFormat="1" applyFont="1" applyFill="1" applyBorder="1" applyProtection="1">
      <protection locked="0"/>
    </xf>
    <xf numFmtId="1" fontId="47" fillId="2" borderId="2" xfId="0" applyNumberFormat="1" applyFont="1" applyFill="1" applyBorder="1" applyProtection="1">
      <protection locked="0"/>
    </xf>
    <xf numFmtId="0" fontId="47" fillId="2" borderId="2" xfId="0" applyFont="1" applyFill="1" applyBorder="1" applyProtection="1">
      <protection locked="0"/>
    </xf>
    <xf numFmtId="3" fontId="47" fillId="2" borderId="2" xfId="0" applyNumberFormat="1" applyFont="1" applyFill="1" applyBorder="1" applyAlignment="1" applyProtection="1">
      <alignment horizontal="right"/>
      <protection locked="0"/>
    </xf>
    <xf numFmtId="3" fontId="49" fillId="2" borderId="0" xfId="0" applyNumberFormat="1" applyFont="1" applyFill="1" applyAlignment="1">
      <alignment horizontal="right"/>
    </xf>
    <xf numFmtId="3" fontId="47" fillId="2" borderId="0" xfId="0" applyNumberFormat="1" applyFont="1" applyFill="1" applyAlignment="1">
      <alignment horizontal="right"/>
    </xf>
    <xf numFmtId="3" fontId="47" fillId="2" borderId="2" xfId="0" applyNumberFormat="1" applyFont="1" applyFill="1" applyBorder="1" applyAlignment="1">
      <alignment horizontal="right"/>
    </xf>
    <xf numFmtId="3" fontId="49" fillId="2" borderId="11" xfId="0" applyNumberFormat="1" applyFont="1" applyFill="1" applyBorder="1" applyAlignment="1">
      <alignment horizontal="right"/>
    </xf>
    <xf numFmtId="164" fontId="47" fillId="2" borderId="15" xfId="0" applyNumberFormat="1" applyFont="1" applyFill="1" applyBorder="1" applyProtection="1">
      <protection locked="0"/>
    </xf>
    <xf numFmtId="1" fontId="47" fillId="2" borderId="13" xfId="0" applyNumberFormat="1" applyFont="1" applyFill="1" applyBorder="1" applyProtection="1">
      <protection locked="0"/>
    </xf>
    <xf numFmtId="0" fontId="47" fillId="2" borderId="13" xfId="0" applyFont="1" applyFill="1" applyBorder="1" applyProtection="1">
      <protection locked="0"/>
    </xf>
    <xf numFmtId="3" fontId="47" fillId="2" borderId="13" xfId="0" applyNumberFormat="1" applyFont="1" applyFill="1" applyBorder="1" applyAlignment="1" applyProtection="1">
      <alignment horizontal="right"/>
      <protection locked="0"/>
    </xf>
    <xf numFmtId="3" fontId="49" fillId="2" borderId="13" xfId="0" applyNumberFormat="1" applyFont="1" applyFill="1" applyBorder="1" applyAlignment="1">
      <alignment horizontal="right"/>
    </xf>
    <xf numFmtId="3" fontId="49" fillId="0" borderId="13" xfId="0" applyNumberFormat="1" applyFont="1" applyBorder="1" applyProtection="1">
      <protection locked="0"/>
    </xf>
    <xf numFmtId="3" fontId="49" fillId="0" borderId="4" xfId="0" applyNumberFormat="1" applyFont="1" applyBorder="1"/>
    <xf numFmtId="164" fontId="49" fillId="2" borderId="12" xfId="0" applyNumberFormat="1" applyFont="1" applyFill="1" applyBorder="1" applyProtection="1">
      <protection locked="0"/>
    </xf>
    <xf numFmtId="1" fontId="49" fillId="2" borderId="2" xfId="0" applyNumberFormat="1" applyFont="1" applyFill="1" applyBorder="1" applyProtection="1">
      <protection locked="0"/>
    </xf>
    <xf numFmtId="0" fontId="49" fillId="2" borderId="2" xfId="0" applyFont="1" applyFill="1" applyBorder="1" applyProtection="1">
      <protection locked="0"/>
    </xf>
    <xf numFmtId="3" fontId="49" fillId="2" borderId="2" xfId="0" applyNumberFormat="1" applyFont="1" applyFill="1" applyBorder="1" applyProtection="1">
      <protection locked="0"/>
    </xf>
    <xf numFmtId="3" fontId="49" fillId="2" borderId="2" xfId="0" applyNumberFormat="1" applyFont="1" applyFill="1" applyBorder="1"/>
    <xf numFmtId="3" fontId="49" fillId="2" borderId="8" xfId="0" applyNumberFormat="1" applyFont="1" applyFill="1" applyBorder="1"/>
    <xf numFmtId="3" fontId="54" fillId="2" borderId="0" xfId="0" applyNumberFormat="1" applyFont="1" applyFill="1"/>
    <xf numFmtId="164" fontId="49" fillId="2" borderId="0" xfId="0" applyNumberFormat="1" applyFont="1" applyFill="1" applyAlignment="1" applyProtection="1">
      <alignment horizontal="left"/>
      <protection locked="0"/>
    </xf>
    <xf numFmtId="3" fontId="47" fillId="5" borderId="0" xfId="0" applyNumberFormat="1" applyFont="1" applyFill="1" applyProtection="1">
      <protection locked="0"/>
    </xf>
    <xf numFmtId="3" fontId="60" fillId="2" borderId="9" xfId="0" applyNumberFormat="1" applyFont="1" applyFill="1" applyBorder="1" applyProtection="1">
      <protection locked="0"/>
    </xf>
    <xf numFmtId="3" fontId="60" fillId="2" borderId="10" xfId="0" applyNumberFormat="1" applyFont="1" applyFill="1" applyBorder="1"/>
    <xf numFmtId="3" fontId="47" fillId="0" borderId="0" xfId="0" applyNumberFormat="1" applyFont="1" applyAlignment="1" applyProtection="1">
      <alignment horizontal="center"/>
      <protection locked="0"/>
    </xf>
    <xf numFmtId="0" fontId="49" fillId="2" borderId="11" xfId="0" applyFont="1" applyFill="1" applyBorder="1" applyProtection="1">
      <protection locked="0"/>
    </xf>
    <xf numFmtId="3" fontId="49" fillId="2" borderId="11" xfId="0" applyNumberFormat="1" applyFont="1" applyFill="1" applyBorder="1"/>
    <xf numFmtId="0" fontId="49" fillId="2" borderId="8" xfId="0" applyFont="1" applyFill="1" applyBorder="1" applyProtection="1">
      <protection locked="0"/>
    </xf>
    <xf numFmtId="3" fontId="47" fillId="2" borderId="13" xfId="0" applyNumberFormat="1" applyFont="1" applyFill="1" applyBorder="1" applyProtection="1">
      <protection locked="0"/>
    </xf>
    <xf numFmtId="3" fontId="49" fillId="2" borderId="13" xfId="0" applyNumberFormat="1" applyFont="1" applyFill="1" applyBorder="1"/>
    <xf numFmtId="164" fontId="49" fillId="0" borderId="5" xfId="0" applyNumberFormat="1" applyFont="1" applyBorder="1" applyProtection="1">
      <protection locked="0"/>
    </xf>
    <xf numFmtId="0" fontId="49" fillId="2" borderId="9" xfId="0" applyFont="1" applyFill="1" applyBorder="1" applyAlignment="1" applyProtection="1">
      <alignment wrapText="1"/>
      <protection locked="0"/>
    </xf>
    <xf numFmtId="0" fontId="49" fillId="2" borderId="13" xfId="0" applyFont="1" applyFill="1" applyBorder="1" applyAlignment="1" applyProtection="1">
      <alignment wrapText="1"/>
      <protection locked="0"/>
    </xf>
    <xf numFmtId="0" fontId="49" fillId="2" borderId="14" xfId="0" applyFont="1" applyFill="1" applyBorder="1" applyAlignment="1" applyProtection="1">
      <alignment wrapText="1"/>
      <protection locked="0"/>
    </xf>
    <xf numFmtId="3" fontId="49" fillId="2" borderId="4" xfId="0" applyNumberFormat="1" applyFont="1" applyFill="1" applyBorder="1"/>
    <xf numFmtId="164" fontId="47" fillId="2" borderId="0" xfId="0" applyNumberFormat="1" applyFont="1" applyFill="1" applyAlignment="1" applyProtection="1">
      <alignment horizontal="left"/>
      <protection locked="0"/>
    </xf>
    <xf numFmtId="3" fontId="49" fillId="0" borderId="0" xfId="0" applyNumberFormat="1" applyFont="1"/>
    <xf numFmtId="164" fontId="47" fillId="0" borderId="5" xfId="0" applyNumberFormat="1" applyFont="1" applyBorder="1" applyProtection="1">
      <protection locked="0"/>
    </xf>
    <xf numFmtId="1" fontId="47" fillId="0" borderId="9" xfId="0" applyNumberFormat="1" applyFont="1" applyBorder="1" applyProtection="1">
      <protection locked="0"/>
    </xf>
    <xf numFmtId="0" fontId="47" fillId="0" borderId="9" xfId="0" applyFont="1" applyBorder="1" applyProtection="1">
      <protection locked="0"/>
    </xf>
    <xf numFmtId="3" fontId="49" fillId="0" borderId="11" xfId="0" applyNumberFormat="1" applyFont="1" applyBorder="1"/>
    <xf numFmtId="3" fontId="47" fillId="2" borderId="8" xfId="0" applyNumberFormat="1" applyFont="1" applyFill="1" applyBorder="1"/>
    <xf numFmtId="3" fontId="47" fillId="0" borderId="11" xfId="0" applyNumberFormat="1" applyFont="1" applyBorder="1"/>
    <xf numFmtId="3" fontId="47" fillId="2" borderId="2" xfId="0" applyNumberFormat="1" applyFont="1" applyFill="1" applyBorder="1" applyAlignment="1" applyProtection="1">
      <alignment horizontal="center"/>
      <protection locked="0"/>
    </xf>
    <xf numFmtId="0" fontId="49" fillId="5" borderId="0" xfId="0" applyFont="1" applyFill="1" applyProtection="1">
      <protection locked="0"/>
    </xf>
    <xf numFmtId="3" fontId="47" fillId="0" borderId="2" xfId="0" applyNumberFormat="1" applyFont="1" applyBorder="1" applyProtection="1">
      <protection locked="0"/>
    </xf>
    <xf numFmtId="3" fontId="49" fillId="2" borderId="9" xfId="0" applyNumberFormat="1" applyFont="1" applyFill="1" applyBorder="1" applyProtection="1">
      <protection locked="0"/>
    </xf>
    <xf numFmtId="3" fontId="49" fillId="2" borderId="13" xfId="0" applyNumberFormat="1" applyFont="1" applyFill="1" applyBorder="1" applyProtection="1">
      <protection locked="0"/>
    </xf>
    <xf numFmtId="1" fontId="57" fillId="2" borderId="0" xfId="0" applyNumberFormat="1" applyFont="1" applyFill="1" applyProtection="1">
      <protection locked="0"/>
    </xf>
    <xf numFmtId="1" fontId="57" fillId="0" borderId="9" xfId="0" applyNumberFormat="1" applyFont="1" applyBorder="1" applyProtection="1">
      <protection locked="0"/>
    </xf>
    <xf numFmtId="164" fontId="59" fillId="2" borderId="12" xfId="0" applyNumberFormat="1" applyFont="1" applyFill="1" applyBorder="1" applyProtection="1">
      <protection locked="0"/>
    </xf>
    <xf numFmtId="1" fontId="59" fillId="2" borderId="2" xfId="0" applyNumberFormat="1" applyFont="1" applyFill="1" applyBorder="1" applyProtection="1">
      <protection locked="0"/>
    </xf>
    <xf numFmtId="0" fontId="59" fillId="2" borderId="2" xfId="0" applyFont="1" applyFill="1" applyBorder="1" applyProtection="1">
      <protection locked="0"/>
    </xf>
    <xf numFmtId="3" fontId="59" fillId="2" borderId="2" xfId="0" applyNumberFormat="1" applyFont="1" applyFill="1" applyBorder="1" applyProtection="1">
      <protection locked="0"/>
    </xf>
    <xf numFmtId="3" fontId="59" fillId="2" borderId="2" xfId="0" applyNumberFormat="1" applyFont="1" applyFill="1" applyBorder="1"/>
    <xf numFmtId="3" fontId="59" fillId="2" borderId="8" xfId="0" applyNumberFormat="1" applyFont="1" applyFill="1" applyBorder="1"/>
    <xf numFmtId="0" fontId="61" fillId="5" borderId="0" xfId="0" applyFont="1" applyFill="1" applyProtection="1">
      <protection locked="0"/>
    </xf>
    <xf numFmtId="164" fontId="49" fillId="0" borderId="5" xfId="0" applyNumberFormat="1" applyFont="1" applyBorder="1" applyAlignment="1" applyProtection="1">
      <alignment horizontal="left" vertical="top"/>
      <protection locked="0"/>
    </xf>
    <xf numFmtId="0" fontId="49" fillId="0" borderId="9" xfId="0" applyFont="1" applyBorder="1" applyAlignment="1" applyProtection="1">
      <alignment wrapText="1"/>
      <protection locked="0"/>
    </xf>
    <xf numFmtId="0" fontId="49" fillId="0" borderId="13" xfId="0" applyFont="1" applyBorder="1" applyAlignment="1" applyProtection="1">
      <alignment wrapText="1"/>
      <protection locked="0"/>
    </xf>
    <xf numFmtId="0" fontId="58" fillId="0" borderId="13" xfId="0" applyFont="1" applyBorder="1" applyAlignment="1" applyProtection="1">
      <alignment wrapText="1"/>
      <protection locked="0"/>
    </xf>
    <xf numFmtId="0" fontId="58" fillId="0" borderId="14" xfId="0" applyFont="1" applyBorder="1" applyAlignment="1" applyProtection="1">
      <alignment wrapText="1"/>
      <protection locked="0"/>
    </xf>
    <xf numFmtId="164" fontId="49" fillId="2" borderId="5" xfId="0" applyNumberFormat="1" applyFont="1" applyFill="1" applyBorder="1" applyAlignment="1" applyProtection="1">
      <alignment horizontal="left" vertical="center"/>
      <protection locked="0"/>
    </xf>
    <xf numFmtId="164" fontId="47" fillId="2" borderId="9" xfId="0" applyNumberFormat="1" applyFont="1" applyFill="1" applyBorder="1" applyAlignment="1" applyProtection="1">
      <alignment wrapText="1"/>
      <protection locked="0"/>
    </xf>
    <xf numFmtId="164" fontId="47" fillId="2" borderId="13" xfId="0" applyNumberFormat="1" applyFont="1" applyFill="1" applyBorder="1" applyAlignment="1" applyProtection="1">
      <alignment wrapText="1"/>
      <protection locked="0"/>
    </xf>
    <xf numFmtId="164" fontId="47" fillId="2" borderId="14" xfId="0" applyNumberFormat="1" applyFont="1" applyFill="1" applyBorder="1" applyAlignment="1" applyProtection="1">
      <alignment wrapText="1"/>
      <protection locked="0"/>
    </xf>
    <xf numFmtId="164" fontId="49" fillId="2" borderId="5" xfId="0" applyNumberFormat="1" applyFont="1" applyFill="1" applyBorder="1" applyAlignment="1" applyProtection="1">
      <alignment vertical="top"/>
      <protection locked="0"/>
    </xf>
    <xf numFmtId="164" fontId="49" fillId="2" borderId="9" xfId="0" applyNumberFormat="1" applyFont="1" applyFill="1" applyBorder="1" applyAlignment="1" applyProtection="1">
      <alignment vertical="top"/>
      <protection locked="0"/>
    </xf>
    <xf numFmtId="164" fontId="49" fillId="2" borderId="13" xfId="0" applyNumberFormat="1" applyFont="1" applyFill="1" applyBorder="1" applyAlignment="1" applyProtection="1">
      <alignment vertical="top"/>
      <protection locked="0"/>
    </xf>
    <xf numFmtId="164" fontId="49" fillId="2" borderId="14" xfId="0" applyNumberFormat="1" applyFont="1" applyFill="1" applyBorder="1" applyAlignment="1" applyProtection="1">
      <alignment vertical="top"/>
      <protection locked="0"/>
    </xf>
    <xf numFmtId="164" fontId="62" fillId="0" borderId="12" xfId="0" applyNumberFormat="1" applyFont="1" applyBorder="1" applyProtection="1">
      <protection locked="0"/>
    </xf>
    <xf numFmtId="3" fontId="49" fillId="2" borderId="0" xfId="0" applyNumberFormat="1" applyFont="1" applyFill="1" applyProtection="1">
      <protection locked="0"/>
    </xf>
    <xf numFmtId="0" fontId="59" fillId="0" borderId="9" xfId="0" applyFont="1" applyBorder="1" applyProtection="1">
      <protection locked="0"/>
    </xf>
    <xf numFmtId="1" fontId="49" fillId="0" borderId="0" xfId="0" applyNumberFormat="1" applyFont="1" applyProtection="1">
      <protection locked="0"/>
    </xf>
    <xf numFmtId="0" fontId="49" fillId="0" borderId="0" xfId="0" applyFont="1" applyProtection="1">
      <protection locked="0"/>
    </xf>
    <xf numFmtId="3" fontId="49" fillId="0" borderId="0" xfId="0" applyNumberFormat="1" applyFont="1" applyProtection="1">
      <protection locked="0"/>
    </xf>
    <xf numFmtId="1" fontId="47" fillId="0" borderId="0" xfId="0" applyNumberFormat="1" applyFont="1" applyAlignment="1" applyProtection="1">
      <alignment horizontal="right"/>
      <protection locked="0"/>
    </xf>
    <xf numFmtId="0" fontId="47" fillId="0" borderId="0" xfId="0" applyFont="1" applyAlignment="1" applyProtection="1">
      <alignment horizontal="left"/>
      <protection locked="0"/>
    </xf>
    <xf numFmtId="1" fontId="47" fillId="0" borderId="0" xfId="0" applyNumberFormat="1" applyFont="1"/>
    <xf numFmtId="164" fontId="49" fillId="0" borderId="9" xfId="0" applyNumberFormat="1" applyFont="1" applyBorder="1" applyAlignment="1" applyProtection="1">
      <alignment vertical="top"/>
      <protection locked="0"/>
    </xf>
    <xf numFmtId="164" fontId="49" fillId="0" borderId="10" xfId="0" applyNumberFormat="1" applyFont="1" applyBorder="1" applyAlignment="1" applyProtection="1">
      <alignment vertical="top"/>
      <protection locked="0"/>
    </xf>
    <xf numFmtId="164" fontId="49" fillId="0" borderId="14" xfId="0" applyNumberFormat="1" applyFont="1" applyBorder="1" applyAlignment="1" applyProtection="1">
      <alignment vertical="top" wrapText="1"/>
      <protection locked="0"/>
    </xf>
    <xf numFmtId="164" fontId="62" fillId="0" borderId="1" xfId="0" applyNumberFormat="1" applyFont="1" applyBorder="1" applyAlignment="1" applyProtection="1">
      <alignment vertical="top"/>
      <protection locked="0"/>
    </xf>
    <xf numFmtId="164" fontId="49" fillId="0" borderId="0" xfId="0" applyNumberFormat="1" applyFont="1" applyAlignment="1" applyProtection="1">
      <alignment vertical="top"/>
      <protection locked="0"/>
    </xf>
    <xf numFmtId="164" fontId="49" fillId="0" borderId="11" xfId="0" applyNumberFormat="1" applyFont="1" applyBorder="1" applyAlignment="1" applyProtection="1">
      <alignment vertical="top"/>
      <protection locked="0"/>
    </xf>
    <xf numFmtId="0" fontId="0" fillId="0" borderId="2" xfId="0" applyBorder="1"/>
    <xf numFmtId="164" fontId="49" fillId="0" borderId="8" xfId="0" applyNumberFormat="1" applyFont="1" applyBorder="1" applyAlignment="1" applyProtection="1">
      <alignment horizontal="left" vertical="top"/>
      <protection locked="0"/>
    </xf>
    <xf numFmtId="164" fontId="49" fillId="0" borderId="0" xfId="0" applyNumberFormat="1" applyFont="1" applyAlignment="1" applyProtection="1">
      <alignment wrapText="1"/>
      <protection locked="0"/>
    </xf>
    <xf numFmtId="3" fontId="49" fillId="0" borderId="10" xfId="0" applyNumberFormat="1" applyFont="1" applyBorder="1"/>
    <xf numFmtId="0" fontId="59" fillId="0" borderId="0" xfId="0" applyFont="1" applyProtection="1">
      <protection locked="0"/>
    </xf>
    <xf numFmtId="0" fontId="47" fillId="0" borderId="8" xfId="0" applyFont="1" applyBorder="1"/>
    <xf numFmtId="3" fontId="49" fillId="0" borderId="5" xfId="0" applyNumberFormat="1" applyFont="1" applyBorder="1"/>
    <xf numFmtId="3" fontId="49" fillId="0" borderId="9" xfId="0" applyNumberFormat="1" applyFont="1" applyBorder="1" applyAlignment="1">
      <alignment horizontal="left"/>
    </xf>
    <xf numFmtId="3" fontId="54" fillId="0" borderId="9" xfId="0" applyNumberFormat="1" applyFont="1" applyBorder="1" applyAlignment="1" applyProtection="1">
      <alignment horizontal="right"/>
      <protection locked="0"/>
    </xf>
    <xf numFmtId="3" fontId="54" fillId="0" borderId="9" xfId="0" applyNumberFormat="1" applyFont="1" applyBorder="1"/>
    <xf numFmtId="3" fontId="63" fillId="2" borderId="0" xfId="0" applyNumberFormat="1" applyFont="1" applyFill="1" applyProtection="1">
      <protection locked="0"/>
    </xf>
    <xf numFmtId="3" fontId="63" fillId="2" borderId="0" xfId="0" applyNumberFormat="1" applyFont="1" applyFill="1"/>
    <xf numFmtId="3" fontId="63" fillId="2" borderId="10" xfId="0" applyNumberFormat="1" applyFont="1" applyFill="1" applyBorder="1"/>
    <xf numFmtId="164" fontId="49" fillId="0" borderId="13" xfId="0" applyNumberFormat="1" applyFont="1" applyBorder="1" applyAlignment="1" applyProtection="1">
      <alignment vertical="top"/>
      <protection locked="0"/>
    </xf>
    <xf numFmtId="164" fontId="49" fillId="0" borderId="14" xfId="0" applyNumberFormat="1" applyFont="1" applyBorder="1" applyAlignment="1" applyProtection="1">
      <alignment vertical="top"/>
      <protection locked="0"/>
    </xf>
    <xf numFmtId="164" fontId="49" fillId="0" borderId="12" xfId="0" applyNumberFormat="1" applyFont="1" applyBorder="1" applyProtection="1">
      <protection locked="0"/>
    </xf>
    <xf numFmtId="1" fontId="57" fillId="0" borderId="0" xfId="0" applyNumberFormat="1" applyFont="1" applyProtection="1">
      <protection locked="0"/>
    </xf>
    <xf numFmtId="164" fontId="49" fillId="0" borderId="12" xfId="0" applyNumberFormat="1" applyFont="1" applyBorder="1"/>
    <xf numFmtId="1" fontId="49" fillId="0" borderId="2" xfId="0" applyNumberFormat="1" applyFont="1" applyBorder="1"/>
    <xf numFmtId="0" fontId="49" fillId="0" borderId="2" xfId="0" applyFont="1" applyBorder="1"/>
    <xf numFmtId="164" fontId="62" fillId="0" borderId="1" xfId="0" applyNumberFormat="1" applyFont="1" applyBorder="1" applyProtection="1">
      <protection locked="0"/>
    </xf>
    <xf numFmtId="1" fontId="59" fillId="0" borderId="0" xfId="0" applyNumberFormat="1" applyFont="1" applyProtection="1">
      <protection locked="0"/>
    </xf>
    <xf numFmtId="3" fontId="59" fillId="0" borderId="0" xfId="0" applyNumberFormat="1" applyFont="1" applyProtection="1">
      <protection locked="0"/>
    </xf>
    <xf numFmtId="3" fontId="59" fillId="0" borderId="0" xfId="0" applyNumberFormat="1" applyFont="1"/>
    <xf numFmtId="3" fontId="59" fillId="0" borderId="11" xfId="0" applyNumberFormat="1" applyFont="1" applyBorder="1"/>
    <xf numFmtId="1" fontId="59" fillId="0" borderId="2" xfId="0" applyNumberFormat="1" applyFont="1" applyBorder="1" applyProtection="1">
      <protection locked="0"/>
    </xf>
    <xf numFmtId="0" fontId="59" fillId="0" borderId="2" xfId="0" applyFont="1" applyBorder="1" applyProtection="1">
      <protection locked="0"/>
    </xf>
    <xf numFmtId="3" fontId="59" fillId="0" borderId="2" xfId="0" applyNumberFormat="1" applyFont="1" applyBorder="1" applyProtection="1">
      <protection locked="0"/>
    </xf>
    <xf numFmtId="3" fontId="59" fillId="0" borderId="2" xfId="0" applyNumberFormat="1" applyFont="1" applyBorder="1"/>
    <xf numFmtId="3" fontId="59" fillId="0" borderId="8" xfId="0" applyNumberFormat="1" applyFont="1" applyBorder="1"/>
    <xf numFmtId="164" fontId="64" fillId="2" borderId="0" xfId="0" applyNumberFormat="1" applyFont="1" applyFill="1" applyAlignment="1" applyProtection="1">
      <alignment horizontal="left"/>
      <protection locked="0"/>
    </xf>
    <xf numFmtId="164" fontId="49" fillId="2" borderId="5" xfId="0" applyNumberFormat="1" applyFont="1" applyFill="1" applyBorder="1" applyProtection="1">
      <protection locked="0"/>
    </xf>
    <xf numFmtId="1" fontId="49" fillId="2" borderId="9" xfId="0" applyNumberFormat="1" applyFont="1" applyFill="1" applyBorder="1" applyProtection="1">
      <protection locked="0"/>
    </xf>
    <xf numFmtId="0" fontId="49" fillId="2" borderId="9" xfId="0" applyFont="1" applyFill="1" applyBorder="1" applyProtection="1">
      <protection locked="0"/>
    </xf>
    <xf numFmtId="3" fontId="65" fillId="2" borderId="0" xfId="0" applyNumberFormat="1" applyFont="1" applyFill="1"/>
    <xf numFmtId="3" fontId="47" fillId="0" borderId="8" xfId="0" applyNumberFormat="1" applyFont="1" applyBorder="1"/>
    <xf numFmtId="164" fontId="49" fillId="0" borderId="5" xfId="0" applyNumberFormat="1" applyFont="1" applyBorder="1" applyAlignment="1" applyProtection="1">
      <alignment horizontal="left"/>
      <protection locked="0"/>
    </xf>
    <xf numFmtId="1" fontId="0" fillId="0" borderId="9" xfId="0" applyNumberFormat="1" applyBorder="1"/>
    <xf numFmtId="0" fontId="59" fillId="0" borderId="9" xfId="0" applyFont="1" applyBorder="1"/>
    <xf numFmtId="3" fontId="0" fillId="0" borderId="9" xfId="0" applyNumberFormat="1" applyBorder="1"/>
    <xf numFmtId="3" fontId="52" fillId="0" borderId="9" xfId="0" applyNumberFormat="1" applyFont="1" applyBorder="1"/>
    <xf numFmtId="3" fontId="0" fillId="0" borderId="13" xfId="0" applyNumberFormat="1" applyBorder="1"/>
    <xf numFmtId="3" fontId="0" fillId="0" borderId="14" xfId="0" applyNumberFormat="1" applyBorder="1"/>
    <xf numFmtId="3" fontId="49" fillId="2" borderId="5" xfId="0" applyNumberFormat="1" applyFont="1" applyFill="1" applyBorder="1" applyAlignment="1" applyProtection="1">
      <alignment horizontal="left"/>
      <protection locked="0"/>
    </xf>
    <xf numFmtId="3" fontId="0" fillId="2" borderId="9" xfId="0" applyNumberFormat="1" applyFill="1" applyBorder="1"/>
    <xf numFmtId="164" fontId="49" fillId="0" borderId="0" xfId="0" applyNumberFormat="1" applyFont="1" applyAlignment="1" applyProtection="1">
      <alignment horizontal="left"/>
      <protection locked="0"/>
    </xf>
    <xf numFmtId="1" fontId="49" fillId="0" borderId="0" xfId="0" applyNumberFormat="1" applyFont="1" applyAlignment="1" applyProtection="1">
      <alignment horizontal="left"/>
      <protection locked="0"/>
    </xf>
    <xf numFmtId="0" fontId="49" fillId="0" borderId="0" xfId="0" applyFont="1" applyAlignment="1" applyProtection="1">
      <alignment horizontal="left"/>
      <protection locked="0"/>
    </xf>
    <xf numFmtId="3" fontId="47" fillId="0" borderId="2" xfId="0" applyNumberFormat="1" applyFont="1" applyBorder="1" applyAlignment="1" applyProtection="1">
      <alignment horizontal="center"/>
      <protection locked="0"/>
    </xf>
    <xf numFmtId="164" fontId="47" fillId="2" borderId="16" xfId="0" applyNumberFormat="1" applyFont="1" applyFill="1" applyBorder="1"/>
    <xf numFmtId="1" fontId="47" fillId="2" borderId="17" xfId="0" applyNumberFormat="1" applyFont="1" applyFill="1" applyBorder="1"/>
    <xf numFmtId="0" fontId="47" fillId="2" borderId="17" xfId="0" applyFont="1" applyFill="1" applyBorder="1"/>
    <xf numFmtId="3" fontId="47" fillId="2" borderId="17" xfId="0" applyNumberFormat="1" applyFont="1" applyFill="1" applyBorder="1"/>
    <xf numFmtId="3" fontId="49" fillId="2" borderId="17" xfId="0" applyNumberFormat="1" applyFont="1" applyFill="1" applyBorder="1"/>
    <xf numFmtId="3" fontId="47" fillId="2" borderId="18" xfId="0" applyNumberFormat="1" applyFont="1" applyFill="1" applyBorder="1"/>
    <xf numFmtId="3" fontId="47" fillId="0" borderId="0" xfId="0" applyNumberFormat="1" applyFont="1" applyAlignment="1">
      <alignment horizontal="center"/>
    </xf>
    <xf numFmtId="0" fontId="49" fillId="0" borderId="25" xfId="0" applyFont="1" applyBorder="1" applyAlignment="1">
      <alignment vertical="center"/>
    </xf>
    <xf numFmtId="0" fontId="49" fillId="0" borderId="26" xfId="0" applyFont="1" applyBorder="1" applyAlignment="1">
      <alignment vertical="center"/>
    </xf>
    <xf numFmtId="3" fontId="47" fillId="0" borderId="26" xfId="0" applyNumberFormat="1" applyFont="1" applyBorder="1" applyAlignment="1">
      <alignment horizontal="center" vertical="center"/>
    </xf>
    <xf numFmtId="3" fontId="49" fillId="0" borderId="26" xfId="0" applyNumberFormat="1" applyFont="1" applyBorder="1" applyAlignment="1">
      <alignment horizontal="right" vertical="center"/>
    </xf>
    <xf numFmtId="3" fontId="47" fillId="0" borderId="26" xfId="0" applyNumberFormat="1" applyFont="1" applyBorder="1" applyAlignment="1">
      <alignment horizontal="right" vertical="center"/>
    </xf>
    <xf numFmtId="3" fontId="49" fillId="0" borderId="27" xfId="0" applyNumberFormat="1" applyFont="1" applyBorder="1" applyAlignment="1">
      <alignment horizontal="center" vertical="center"/>
    </xf>
    <xf numFmtId="0" fontId="47" fillId="0" borderId="0" xfId="0" applyFont="1" applyAlignment="1">
      <alignment vertical="center"/>
    </xf>
    <xf numFmtId="3" fontId="49" fillId="0" borderId="0" xfId="0" applyNumberFormat="1" applyFont="1" applyAlignment="1">
      <alignment vertical="center"/>
    </xf>
    <xf numFmtId="3" fontId="47" fillId="0" borderId="0" xfId="0" applyNumberFormat="1" applyFont="1" applyAlignment="1">
      <alignment vertical="center"/>
    </xf>
    <xf numFmtId="0" fontId="49" fillId="0" borderId="28" xfId="0" applyFont="1" applyBorder="1"/>
    <xf numFmtId="0" fontId="49" fillId="0" borderId="0" xfId="0" applyFont="1"/>
    <xf numFmtId="3" fontId="47" fillId="0" borderId="29" xfId="0" applyNumberFormat="1" applyFont="1" applyBorder="1" applyAlignment="1">
      <alignment horizontal="center"/>
    </xf>
    <xf numFmtId="0" fontId="47" fillId="0" borderId="28" xfId="0" applyFont="1" applyBorder="1"/>
    <xf numFmtId="3" fontId="47" fillId="2" borderId="0" xfId="0" applyNumberFormat="1" applyFont="1" applyFill="1" applyAlignment="1">
      <alignment horizontal="center"/>
    </xf>
    <xf numFmtId="3" fontId="49" fillId="0" borderId="29" xfId="0" applyNumberFormat="1" applyFont="1" applyBorder="1" applyAlignment="1">
      <alignment horizontal="center"/>
    </xf>
    <xf numFmtId="3" fontId="49" fillId="0" borderId="26" xfId="0" applyNumberFormat="1" applyFont="1" applyBorder="1" applyAlignment="1">
      <alignment horizontal="center" vertical="center"/>
    </xf>
    <xf numFmtId="3" fontId="47" fillId="2" borderId="26" xfId="0" applyNumberFormat="1" applyFont="1" applyFill="1" applyBorder="1" applyAlignment="1">
      <alignment horizontal="center" vertical="center"/>
    </xf>
    <xf numFmtId="3" fontId="49" fillId="2" borderId="0" xfId="0" applyNumberFormat="1" applyFont="1" applyFill="1" applyAlignment="1">
      <alignment vertical="center"/>
    </xf>
    <xf numFmtId="0" fontId="47" fillId="0" borderId="0" xfId="0" applyFont="1" applyAlignment="1">
      <alignment horizontal="left"/>
    </xf>
    <xf numFmtId="0" fontId="54" fillId="0" borderId="25" xfId="0" applyFont="1" applyBorder="1" applyAlignment="1">
      <alignment horizontal="center" vertical="center"/>
    </xf>
    <xf numFmtId="0" fontId="54" fillId="0" borderId="26" xfId="0" applyFont="1" applyBorder="1" applyAlignment="1">
      <alignment vertical="center"/>
    </xf>
    <xf numFmtId="3" fontId="54" fillId="0" borderId="26" xfId="0" applyNumberFormat="1" applyFont="1" applyBorder="1" applyAlignment="1">
      <alignment horizontal="center" vertical="center"/>
    </xf>
    <xf numFmtId="3" fontId="54" fillId="0" borderId="27" xfId="0" applyNumberFormat="1" applyFont="1" applyBorder="1" applyAlignment="1">
      <alignment horizontal="center" vertical="center"/>
    </xf>
    <xf numFmtId="0" fontId="47" fillId="0" borderId="30" xfId="0" applyFont="1" applyBorder="1"/>
    <xf numFmtId="0" fontId="47" fillId="0" borderId="19" xfId="0" applyFont="1" applyBorder="1"/>
    <xf numFmtId="3" fontId="47" fillId="0" borderId="19" xfId="0" applyNumberFormat="1" applyFont="1" applyBorder="1"/>
    <xf numFmtId="3" fontId="47" fillId="0" borderId="31" xfId="0" applyNumberFormat="1" applyFont="1" applyBorder="1"/>
    <xf numFmtId="0" fontId="62" fillId="0" borderId="0" xfId="0" applyFont="1" applyProtection="1">
      <protection locked="0"/>
    </xf>
    <xf numFmtId="164" fontId="62" fillId="2" borderId="12" xfId="0" applyNumberFormat="1" applyFont="1" applyFill="1" applyBorder="1" applyProtection="1">
      <protection locked="0"/>
    </xf>
    <xf numFmtId="0" fontId="68" fillId="2" borderId="0" xfId="0" applyFont="1" applyFill="1"/>
    <xf numFmtId="3" fontId="68" fillId="2" borderId="0" xfId="0" applyNumberFormat="1" applyFont="1" applyFill="1"/>
    <xf numFmtId="1" fontId="68" fillId="2" borderId="0" xfId="0" applyNumberFormat="1" applyFont="1" applyFill="1"/>
    <xf numFmtId="1" fontId="49" fillId="0" borderId="1" xfId="0" applyNumberFormat="1" applyFont="1" applyBorder="1" applyAlignment="1" applyProtection="1">
      <alignment vertical="top" wrapText="1"/>
      <protection locked="0"/>
    </xf>
    <xf numFmtId="0" fontId="62" fillId="0" borderId="0" xfId="0" applyFont="1" applyAlignment="1" applyProtection="1">
      <alignment horizontal="left"/>
      <protection locked="0"/>
    </xf>
    <xf numFmtId="3" fontId="62" fillId="0" borderId="2" xfId="0" applyNumberFormat="1" applyFont="1" applyBorder="1" applyAlignment="1" applyProtection="1">
      <alignment horizontal="right"/>
      <protection locked="0"/>
    </xf>
    <xf numFmtId="3" fontId="62" fillId="0" borderId="2" xfId="0" applyNumberFormat="1" applyFont="1" applyBorder="1" applyProtection="1">
      <protection locked="0"/>
    </xf>
    <xf numFmtId="3" fontId="68" fillId="2" borderId="9" xfId="0" applyNumberFormat="1" applyFont="1" applyFill="1" applyBorder="1"/>
    <xf numFmtId="164" fontId="47" fillId="0" borderId="0" xfId="0" applyNumberFormat="1" applyFont="1" applyProtection="1">
      <protection locked="0"/>
    </xf>
    <xf numFmtId="1" fontId="47" fillId="0" borderId="0" xfId="0" applyNumberFormat="1" applyFont="1" applyAlignment="1">
      <alignment vertical="center"/>
    </xf>
    <xf numFmtId="4" fontId="47" fillId="0" borderId="0" xfId="0" applyNumberFormat="1" applyFont="1" applyAlignment="1">
      <alignment vertical="center"/>
    </xf>
    <xf numFmtId="3" fontId="49" fillId="0" borderId="10" xfId="0" applyNumberFormat="1" applyFont="1" applyBorder="1" applyProtection="1">
      <protection locked="0"/>
    </xf>
    <xf numFmtId="3" fontId="49" fillId="0" borderId="11" xfId="0" applyNumberFormat="1" applyFont="1" applyBorder="1" applyProtection="1">
      <protection locked="0"/>
    </xf>
    <xf numFmtId="3" fontId="49" fillId="0" borderId="8" xfId="0" applyNumberFormat="1" applyFont="1" applyBorder="1" applyProtection="1">
      <protection locked="0"/>
    </xf>
    <xf numFmtId="1" fontId="49" fillId="2" borderId="0" xfId="0" applyNumberFormat="1" applyFont="1" applyFill="1" applyProtection="1">
      <protection locked="0"/>
    </xf>
    <xf numFmtId="0" fontId="49" fillId="2" borderId="0" xfId="0" applyFont="1" applyFill="1" applyProtection="1">
      <protection locked="0"/>
    </xf>
    <xf numFmtId="164" fontId="49" fillId="2" borderId="2" xfId="0" applyNumberFormat="1" applyFont="1" applyFill="1" applyBorder="1" applyProtection="1">
      <protection locked="0"/>
    </xf>
    <xf numFmtId="164" fontId="62" fillId="2" borderId="1" xfId="0" applyNumberFormat="1" applyFont="1" applyFill="1" applyBorder="1" applyProtection="1">
      <protection locked="0"/>
    </xf>
    <xf numFmtId="164" fontId="62" fillId="2" borderId="0" xfId="0" applyNumberFormat="1" applyFont="1" applyFill="1" applyProtection="1">
      <protection locked="0"/>
    </xf>
    <xf numFmtId="164" fontId="62" fillId="0" borderId="2" xfId="0" applyNumberFormat="1" applyFont="1" applyBorder="1" applyProtection="1">
      <protection locked="0"/>
    </xf>
    <xf numFmtId="164" fontId="47" fillId="0" borderId="2" xfId="0" applyNumberFormat="1" applyFont="1" applyBorder="1" applyProtection="1">
      <protection locked="0"/>
    </xf>
    <xf numFmtId="164" fontId="62" fillId="0" borderId="2" xfId="0" applyNumberFormat="1" applyFont="1" applyBorder="1" applyAlignment="1" applyProtection="1">
      <alignment horizontal="left" vertical="center"/>
      <protection locked="0"/>
    </xf>
    <xf numFmtId="3" fontId="68" fillId="0" borderId="0" xfId="0" applyNumberFormat="1" applyFont="1"/>
    <xf numFmtId="3" fontId="62" fillId="0" borderId="0" xfId="0" applyNumberFormat="1" applyFont="1" applyProtection="1">
      <protection locked="0"/>
    </xf>
    <xf numFmtId="4" fontId="47" fillId="2" borderId="0" xfId="0" applyNumberFormat="1" applyFont="1" applyFill="1"/>
    <xf numFmtId="164" fontId="49" fillId="2" borderId="0" xfId="0" applyNumberFormat="1" applyFont="1" applyFill="1" applyAlignment="1" applyProtection="1">
      <alignment vertical="top"/>
      <protection locked="0"/>
    </xf>
    <xf numFmtId="164" fontId="49" fillId="2" borderId="11" xfId="0" applyNumberFormat="1" applyFont="1" applyFill="1" applyBorder="1" applyAlignment="1" applyProtection="1">
      <alignment vertical="top"/>
      <protection locked="0"/>
    </xf>
    <xf numFmtId="164" fontId="62" fillId="2" borderId="1" xfId="0" applyNumberFormat="1" applyFont="1" applyFill="1" applyBorder="1" applyAlignment="1" applyProtection="1">
      <alignment vertical="top"/>
      <protection locked="0"/>
    </xf>
    <xf numFmtId="3" fontId="63" fillId="0" borderId="0" xfId="0" applyNumberFormat="1" applyFont="1"/>
    <xf numFmtId="3" fontId="47" fillId="0" borderId="9" xfId="0" applyNumberFormat="1" applyFont="1" applyBorder="1" applyAlignment="1" applyProtection="1">
      <alignment horizontal="center"/>
      <protection locked="0"/>
    </xf>
    <xf numFmtId="3" fontId="47" fillId="0" borderId="9" xfId="0" applyNumberFormat="1" applyFont="1" applyBorder="1"/>
    <xf numFmtId="3" fontId="63" fillId="0" borderId="10" xfId="0" applyNumberFormat="1" applyFont="1" applyBorder="1"/>
    <xf numFmtId="164" fontId="47" fillId="0" borderId="15" xfId="0" applyNumberFormat="1" applyFont="1" applyBorder="1" applyProtection="1">
      <protection locked="0"/>
    </xf>
    <xf numFmtId="1" fontId="47" fillId="0" borderId="13" xfId="0" applyNumberFormat="1" applyFont="1" applyBorder="1" applyProtection="1">
      <protection locked="0"/>
    </xf>
    <xf numFmtId="0" fontId="47" fillId="0" borderId="13" xfId="0" applyFont="1" applyBorder="1" applyProtection="1">
      <protection locked="0"/>
    </xf>
    <xf numFmtId="3" fontId="47" fillId="0" borderId="13" xfId="0" applyNumberFormat="1" applyFont="1" applyBorder="1" applyProtection="1">
      <protection locked="0"/>
    </xf>
    <xf numFmtId="164" fontId="47" fillId="0" borderId="8" xfId="0" applyNumberFormat="1" applyFont="1" applyBorder="1" applyProtection="1">
      <protection locked="0"/>
    </xf>
    <xf numFmtId="3" fontId="47" fillId="0" borderId="10" xfId="0" applyNumberFormat="1" applyFont="1" applyBorder="1"/>
    <xf numFmtId="164" fontId="68" fillId="0" borderId="5" xfId="0" applyNumberFormat="1" applyFont="1" applyBorder="1" applyProtection="1">
      <protection locked="0"/>
    </xf>
    <xf numFmtId="164" fontId="47" fillId="6" borderId="1" xfId="0" applyNumberFormat="1" applyFont="1" applyFill="1" applyBorder="1" applyProtection="1">
      <protection locked="0"/>
    </xf>
    <xf numFmtId="1" fontId="47" fillId="6" borderId="0" xfId="0" applyNumberFormat="1" applyFont="1" applyFill="1" applyProtection="1">
      <protection locked="0"/>
    </xf>
    <xf numFmtId="0" fontId="47" fillId="6" borderId="0" xfId="0" applyFont="1" applyFill="1" applyProtection="1">
      <protection locked="0"/>
    </xf>
    <xf numFmtId="3" fontId="67" fillId="0" borderId="0" xfId="0" applyNumberFormat="1" applyFont="1" applyAlignment="1">
      <alignment horizontal="center"/>
    </xf>
    <xf numFmtId="0" fontId="66" fillId="0" borderId="19" xfId="0" applyFont="1" applyBorder="1" applyAlignment="1">
      <alignment horizontal="right"/>
    </xf>
    <xf numFmtId="0" fontId="49" fillId="0" borderId="20" xfId="0" applyFont="1" applyBorder="1" applyAlignment="1">
      <alignment horizontal="center" vertical="center"/>
    </xf>
    <xf numFmtId="3" fontId="47" fillId="0" borderId="21" xfId="0" applyNumberFormat="1" applyFont="1" applyBorder="1" applyAlignment="1">
      <alignment horizontal="justify" vertical="center"/>
    </xf>
    <xf numFmtId="3" fontId="47" fillId="0" borderId="22" xfId="0" applyNumberFormat="1" applyFont="1" applyBorder="1" applyAlignment="1">
      <alignment horizontal="center"/>
    </xf>
    <xf numFmtId="3" fontId="47" fillId="0" borderId="21" xfId="0" applyNumberFormat="1" applyFont="1" applyBorder="1" applyAlignment="1">
      <alignment horizontal="center" vertical="top" wrapText="1"/>
    </xf>
    <xf numFmtId="3" fontId="47" fillId="0" borderId="23" xfId="0" applyNumberFormat="1" applyFont="1" applyBorder="1" applyAlignment="1">
      <alignment horizontal="center" vertical="top" wrapText="1"/>
    </xf>
    <xf numFmtId="3" fontId="47" fillId="0" borderId="24" xfId="0" applyNumberFormat="1" applyFont="1" applyBorder="1" applyAlignment="1">
      <alignment horizontal="center" vertical="center"/>
    </xf>
    <xf numFmtId="3" fontId="47" fillId="0" borderId="24" xfId="0" applyNumberFormat="1" applyFont="1" applyBorder="1" applyAlignment="1">
      <alignment horizontal="center" vertical="top" wrapText="1"/>
    </xf>
    <xf numFmtId="0" fontId="50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52" fillId="0" borderId="0" xfId="0" applyFont="1" applyAlignment="1" applyProtection="1">
      <alignment horizontal="center"/>
      <protection locked="0"/>
    </xf>
    <xf numFmtId="3" fontId="54" fillId="0" borderId="5" xfId="0" applyNumberFormat="1" applyFont="1" applyBorder="1" applyAlignment="1" applyProtection="1">
      <alignment horizontal="center"/>
      <protection locked="0"/>
    </xf>
    <xf numFmtId="3" fontId="49" fillId="2" borderId="2" xfId="0" applyNumberFormat="1" applyFont="1" applyFill="1" applyBorder="1" applyAlignment="1" applyProtection="1">
      <alignment horizontal="right"/>
      <protection locked="0"/>
    </xf>
    <xf numFmtId="3" fontId="47" fillId="2" borderId="4" xfId="0" applyNumberFormat="1" applyFont="1" applyFill="1" applyBorder="1" applyAlignment="1">
      <alignment horizontal="center"/>
    </xf>
    <xf numFmtId="3" fontId="47" fillId="2" borderId="3" xfId="0" applyNumberFormat="1" applyFont="1" applyFill="1" applyBorder="1" applyAlignment="1">
      <alignment horizontal="center"/>
    </xf>
    <xf numFmtId="3" fontId="47" fillId="2" borderId="7" xfId="0" applyNumberFormat="1" applyFont="1" applyFill="1" applyBorder="1" applyAlignment="1">
      <alignment horizontal="center"/>
    </xf>
    <xf numFmtId="0" fontId="50" fillId="2" borderId="0" xfId="0" applyFont="1" applyFill="1" applyAlignment="1">
      <alignment horizontal="center"/>
    </xf>
    <xf numFmtId="0" fontId="51" fillId="2" borderId="0" xfId="0" applyFont="1" applyFill="1" applyAlignment="1">
      <alignment horizontal="center"/>
    </xf>
    <xf numFmtId="0" fontId="52" fillId="2" borderId="0" xfId="0" applyFont="1" applyFill="1" applyAlignment="1">
      <alignment horizontal="center"/>
    </xf>
    <xf numFmtId="0" fontId="53" fillId="2" borderId="0" xfId="0" applyFont="1" applyFill="1" applyAlignment="1">
      <alignment horizontal="center" vertical="center"/>
    </xf>
    <xf numFmtId="0" fontId="54" fillId="2" borderId="0" xfId="0" applyFont="1" applyFill="1" applyAlignment="1">
      <alignment horizontal="center"/>
    </xf>
  </cellXfs>
  <cellStyles count="47">
    <cellStyle name="Normal" xfId="0" builtinId="0"/>
    <cellStyle name="Normal 10" xfId="10" xr:uid="{00000000-0005-0000-0000-000001000000}"/>
    <cellStyle name="Normal 11" xfId="11" xr:uid="{00000000-0005-0000-0000-000002000000}"/>
    <cellStyle name="Normal 12" xfId="12" xr:uid="{00000000-0005-0000-0000-000003000000}"/>
    <cellStyle name="Normal 13" xfId="13" xr:uid="{00000000-0005-0000-0000-000004000000}"/>
    <cellStyle name="Normal 14" xfId="14" xr:uid="{00000000-0005-0000-0000-000005000000}"/>
    <cellStyle name="Normal 15" xfId="15" xr:uid="{00000000-0005-0000-0000-000006000000}"/>
    <cellStyle name="Normal 16" xfId="16" xr:uid="{00000000-0005-0000-0000-000007000000}"/>
    <cellStyle name="Normal 17" xfId="17" xr:uid="{00000000-0005-0000-0000-000008000000}"/>
    <cellStyle name="Normal 18" xfId="19" xr:uid="{00000000-0005-0000-0000-000009000000}"/>
    <cellStyle name="Normal 19" xfId="18" xr:uid="{00000000-0005-0000-0000-00000A000000}"/>
    <cellStyle name="Normal 2" xfId="1" xr:uid="{00000000-0005-0000-0000-00000B000000}"/>
    <cellStyle name="Normal 20" xfId="20" xr:uid="{FCA876D0-6369-4B49-A557-FB310C39B3D3}"/>
    <cellStyle name="Normal 21" xfId="21" xr:uid="{9B55ABA1-C5D0-4E58-92EC-97137E68E167}"/>
    <cellStyle name="Normal 22" xfId="25" xr:uid="{7085B17D-B8C2-4264-906C-1DA55825B9A7}"/>
    <cellStyle name="Normal 23" xfId="22" xr:uid="{8F2C4B29-1307-460B-ADAB-18C12971B59A}"/>
    <cellStyle name="Normal 23 2" xfId="23" xr:uid="{E489E086-34D6-4D3E-92F4-5056CC311FE5}"/>
    <cellStyle name="Normal 24" xfId="24" xr:uid="{296F2D0D-32CF-4678-8A7F-9B02C12BC692}"/>
    <cellStyle name="Normal 25" xfId="28" xr:uid="{AF27DC3E-3B42-49C1-93D0-DE7E2BF5FCA0}"/>
    <cellStyle name="Normal 26" xfId="26" xr:uid="{DE38DDAC-FB2B-4132-AFB2-6BA27B493617}"/>
    <cellStyle name="Normal 27" xfId="27" xr:uid="{4898865B-01CF-4F60-B8B8-6FC743B9E6E0}"/>
    <cellStyle name="Normal 28" xfId="29" xr:uid="{6FBEE61E-A903-4756-A6DE-4B1FB8F289AF}"/>
    <cellStyle name="Normal 29" xfId="30" xr:uid="{5C0099C1-39EF-407C-8058-4F8E2939A12B}"/>
    <cellStyle name="Normal 3" xfId="2" xr:uid="{00000000-0005-0000-0000-00000C000000}"/>
    <cellStyle name="Normal 3 2" xfId="3" xr:uid="{00000000-0005-0000-0000-00000D000000}"/>
    <cellStyle name="Normal 30" xfId="31" xr:uid="{D8FB4D5F-8E99-4B88-89AF-83E20ECAADAE}"/>
    <cellStyle name="Normal 31" xfId="32" xr:uid="{E426C574-2B3E-429A-B86A-82FF987F831D}"/>
    <cellStyle name="Normal 32" xfId="33" xr:uid="{EB5C5F9D-2946-48F4-9E77-7D0A2CB23188}"/>
    <cellStyle name="Normal 33" xfId="34" xr:uid="{B5BF7C2B-762C-4D28-AC0D-FED8FBCD9E8B}"/>
    <cellStyle name="Normal 34" xfId="35" xr:uid="{CADAEB7A-5992-46BF-86A5-755F67C10637}"/>
    <cellStyle name="Normal 35" xfId="36" xr:uid="{F9E7A622-80C4-429A-A343-56A7E0A1E6C3}"/>
    <cellStyle name="Normal 36" xfId="37" xr:uid="{094238BA-8056-4D6F-9A7D-339028FC1548}"/>
    <cellStyle name="Normal 37" xfId="38" xr:uid="{3E562A52-1413-40E1-8B28-3FB428D9C3E8}"/>
    <cellStyle name="Normal 38" xfId="39" xr:uid="{EF8EB940-F55B-4299-8265-23881110A01A}"/>
    <cellStyle name="Normal 39" xfId="40" xr:uid="{2CE4D77D-413B-4DFE-AEA4-553C949AA42E}"/>
    <cellStyle name="Normal 4" xfId="4" xr:uid="{00000000-0005-0000-0000-00000E000000}"/>
    <cellStyle name="Normal 40" xfId="41" xr:uid="{DC81D9B0-8AF1-4E33-ACED-DE1E0E78156D}"/>
    <cellStyle name="Normal 41" xfId="42" xr:uid="{D31A4915-5541-42E4-BAF2-9E38BB36CB28}"/>
    <cellStyle name="Normal 42" xfId="43" xr:uid="{3F7DB492-C229-437E-9CBA-EA7E14A2326D}"/>
    <cellStyle name="Normal 43" xfId="44" xr:uid="{19BA5D1C-2F58-4EED-9A8D-633BB0231400}"/>
    <cellStyle name="Normal 44" xfId="45" xr:uid="{4B97535E-DDC5-485E-8109-91FE82C4B891}"/>
    <cellStyle name="Normal 45" xfId="46" xr:uid="{AD55F16F-2C43-4C66-8892-7B11C126BE38}"/>
    <cellStyle name="Normal 5" xfId="5" xr:uid="{00000000-0005-0000-0000-00000F000000}"/>
    <cellStyle name="Normal 6" xfId="6" xr:uid="{00000000-0005-0000-0000-000010000000}"/>
    <cellStyle name="Normal 7" xfId="7" xr:uid="{00000000-0005-0000-0000-000011000000}"/>
    <cellStyle name="Normal 8" xfId="8" xr:uid="{00000000-0005-0000-0000-000012000000}"/>
    <cellStyle name="Normal 9" xfId="9" xr:uid="{00000000-0005-0000-0000-000013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pageSetUpPr fitToPage="1"/>
  </sheetPr>
  <dimension ref="A1:AMH542"/>
  <sheetViews>
    <sheetView showGridLines="0" zoomScale="164" zoomScaleNormal="164" workbookViewId="0">
      <pane ySplit="9" topLeftCell="A10" activePane="bottomLeft" state="frozen"/>
      <selection pane="bottomLeft" activeCell="A4" sqref="A4:Q4"/>
    </sheetView>
  </sheetViews>
  <sheetFormatPr baseColWidth="10" defaultColWidth="10.85546875" defaultRowHeight="12.75" x14ac:dyDescent="0.2"/>
  <cols>
    <col min="1" max="1" width="9.5703125" style="7" customWidth="1"/>
    <col min="2" max="2" width="6.42578125" style="5" customWidth="1"/>
    <col min="3" max="3" width="22.42578125" style="6" customWidth="1"/>
    <col min="4" max="4" width="6.140625" style="8" customWidth="1"/>
    <col min="5" max="5" width="6.7109375" style="8" customWidth="1"/>
    <col min="6" max="6" width="7.85546875" style="9" customWidth="1"/>
    <col min="7" max="7" width="11.42578125" style="8" customWidth="1"/>
    <col min="8" max="8" width="7.7109375" style="8" customWidth="1"/>
    <col min="9" max="9" width="6.85546875" style="8" customWidth="1"/>
    <col min="10" max="10" width="6.7109375" style="8" customWidth="1"/>
    <col min="11" max="11" width="11.5703125" style="8" customWidth="1"/>
    <col min="12" max="12" width="7.85546875" style="8" customWidth="1"/>
    <col min="13" max="14" width="6.7109375" style="8" customWidth="1"/>
    <col min="15" max="15" width="8.85546875" style="8" customWidth="1"/>
    <col min="16" max="16" width="8.140625" style="10" customWidth="1"/>
    <col min="17" max="17" width="12.42578125" style="8" customWidth="1"/>
    <col min="18" max="18" width="7.42578125" style="6" customWidth="1"/>
    <col min="19" max="1022" width="10.85546875" style="6"/>
  </cols>
  <sheetData>
    <row r="1" spans="1:21" ht="20.25" customHeight="1" x14ac:dyDescent="0.3">
      <c r="A1" s="333" t="s">
        <v>356</v>
      </c>
      <c r="B1" s="333"/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</row>
    <row r="2" spans="1:21" ht="15" customHeight="1" x14ac:dyDescent="0.2">
      <c r="A2" s="334" t="s">
        <v>2</v>
      </c>
      <c r="B2" s="334"/>
      <c r="C2" s="334"/>
      <c r="D2" s="334"/>
      <c r="E2" s="334"/>
      <c r="F2" s="334"/>
      <c r="G2" s="334"/>
      <c r="H2" s="334"/>
      <c r="I2" s="334"/>
      <c r="J2" s="334"/>
      <c r="K2" s="334"/>
      <c r="L2" s="334"/>
      <c r="M2" s="334"/>
      <c r="N2" s="334"/>
      <c r="O2" s="334"/>
      <c r="P2" s="334"/>
      <c r="Q2" s="334"/>
    </row>
    <row r="3" spans="1:21" ht="12.75" customHeight="1" x14ac:dyDescent="0.2">
      <c r="A3" s="335" t="s">
        <v>3</v>
      </c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</row>
    <row r="4" spans="1:21" ht="12" customHeight="1" x14ac:dyDescent="0.2">
      <c r="A4" s="336" t="s">
        <v>373</v>
      </c>
      <c r="B4" s="336"/>
      <c r="C4" s="336"/>
      <c r="D4" s="336"/>
      <c r="E4" s="336"/>
      <c r="F4" s="336"/>
      <c r="G4" s="336"/>
      <c r="H4" s="336"/>
      <c r="I4" s="336"/>
      <c r="J4" s="336"/>
      <c r="K4" s="336"/>
      <c r="L4" s="336"/>
      <c r="M4" s="336"/>
      <c r="N4" s="336"/>
      <c r="O4" s="336"/>
      <c r="P4" s="336"/>
      <c r="Q4" s="336"/>
    </row>
    <row r="5" spans="1:21" ht="12" customHeight="1" x14ac:dyDescent="0.2">
      <c r="A5" s="337" t="s">
        <v>357</v>
      </c>
      <c r="B5" s="337"/>
      <c r="C5" s="337"/>
      <c r="D5" s="337"/>
      <c r="E5" s="337"/>
      <c r="F5" s="337"/>
      <c r="G5" s="337"/>
      <c r="H5" s="337"/>
      <c r="I5" s="337"/>
      <c r="J5" s="337"/>
      <c r="K5" s="337"/>
      <c r="L5" s="337"/>
      <c r="M5" s="337"/>
      <c r="N5" s="337"/>
      <c r="O5" s="337"/>
      <c r="P5" s="337"/>
      <c r="Q5" s="337"/>
    </row>
    <row r="6" spans="1:21" ht="11.25" customHeight="1" x14ac:dyDescent="0.2">
      <c r="B6" s="11"/>
      <c r="C6" s="12"/>
      <c r="D6" s="13"/>
      <c r="E6" s="13"/>
      <c r="F6" s="14"/>
      <c r="G6" s="13"/>
      <c r="H6" s="13"/>
      <c r="I6" s="13"/>
      <c r="J6" s="13"/>
      <c r="K6" s="13"/>
      <c r="L6" s="329" t="s">
        <v>375</v>
      </c>
      <c r="M6" s="329"/>
      <c r="N6" s="329"/>
      <c r="O6" s="329"/>
      <c r="P6" s="329"/>
      <c r="Q6" s="329"/>
    </row>
    <row r="7" spans="1:21" ht="12.75" customHeight="1" x14ac:dyDescent="0.2">
      <c r="A7" s="15" t="s">
        <v>4</v>
      </c>
      <c r="B7" s="16" t="s">
        <v>5</v>
      </c>
      <c r="C7" s="17"/>
      <c r="D7" s="330" t="s">
        <v>6</v>
      </c>
      <c r="E7" s="330"/>
      <c r="F7" s="19" t="s">
        <v>7</v>
      </c>
      <c r="G7" s="20" t="s">
        <v>8</v>
      </c>
      <c r="H7" s="19" t="s">
        <v>9</v>
      </c>
      <c r="I7" s="330" t="s">
        <v>10</v>
      </c>
      <c r="J7" s="330"/>
      <c r="K7" s="20" t="s">
        <v>11</v>
      </c>
      <c r="L7" s="19" t="s">
        <v>12</v>
      </c>
      <c r="M7" s="331" t="s">
        <v>13</v>
      </c>
      <c r="N7" s="331"/>
      <c r="O7" s="19" t="s">
        <v>14</v>
      </c>
      <c r="P7" s="21" t="s">
        <v>15</v>
      </c>
      <c r="Q7" s="22" t="s">
        <v>16</v>
      </c>
    </row>
    <row r="8" spans="1:21" ht="12.75" customHeight="1" x14ac:dyDescent="0.2">
      <c r="A8" s="23" t="s">
        <v>17</v>
      </c>
      <c r="B8" s="24" t="s">
        <v>18</v>
      </c>
      <c r="C8" s="25" t="s">
        <v>19</v>
      </c>
      <c r="D8" s="19" t="s">
        <v>20</v>
      </c>
      <c r="E8" s="19" t="s">
        <v>21</v>
      </c>
      <c r="F8" s="26" t="s">
        <v>22</v>
      </c>
      <c r="G8" s="27" t="s">
        <v>366</v>
      </c>
      <c r="H8" s="26" t="s">
        <v>23</v>
      </c>
      <c r="I8" s="19" t="s">
        <v>24</v>
      </c>
      <c r="J8" s="19" t="s">
        <v>25</v>
      </c>
      <c r="K8" s="27" t="s">
        <v>371</v>
      </c>
      <c r="L8" s="26" t="s">
        <v>26</v>
      </c>
      <c r="M8" s="332" t="s">
        <v>27</v>
      </c>
      <c r="N8" s="332"/>
      <c r="O8" s="26" t="s">
        <v>28</v>
      </c>
      <c r="P8" s="29" t="s">
        <v>29</v>
      </c>
      <c r="Q8" s="30" t="s">
        <v>374</v>
      </c>
    </row>
    <row r="9" spans="1:21" ht="12.75" customHeight="1" x14ac:dyDescent="0.2">
      <c r="A9" s="31" t="s">
        <v>0</v>
      </c>
      <c r="B9" s="32"/>
      <c r="C9" s="33"/>
      <c r="D9" s="34"/>
      <c r="E9" s="35"/>
      <c r="F9" s="28" t="s">
        <v>30</v>
      </c>
      <c r="G9" s="36"/>
      <c r="H9" s="28" t="s">
        <v>31</v>
      </c>
      <c r="I9" s="28"/>
      <c r="J9" s="28"/>
      <c r="K9" s="36"/>
      <c r="L9" s="37"/>
      <c r="M9" s="18" t="s">
        <v>32</v>
      </c>
      <c r="N9" s="18" t="s">
        <v>15</v>
      </c>
      <c r="O9" s="36"/>
      <c r="P9" s="38" t="s">
        <v>33</v>
      </c>
      <c r="Q9" s="39"/>
    </row>
    <row r="10" spans="1:21" ht="12.75" customHeight="1" x14ac:dyDescent="0.2">
      <c r="D10" s="9"/>
      <c r="Q10" s="9"/>
    </row>
    <row r="11" spans="1:21" ht="12.75" customHeight="1" x14ac:dyDescent="0.2">
      <c r="B11" s="40" t="s">
        <v>34</v>
      </c>
      <c r="C11" s="41"/>
    </row>
    <row r="12" spans="1:21" ht="12.75" customHeight="1" x14ac:dyDescent="0.2">
      <c r="D12" s="42"/>
      <c r="E12" s="42"/>
    </row>
    <row r="13" spans="1:21" ht="12.75" customHeight="1" x14ac:dyDescent="0.2">
      <c r="A13" s="43"/>
      <c r="B13" s="44"/>
      <c r="C13" s="45"/>
      <c r="D13" s="46"/>
      <c r="E13" s="46"/>
      <c r="F13" s="47"/>
      <c r="G13" s="48"/>
      <c r="H13" s="48"/>
      <c r="I13" s="48"/>
      <c r="J13" s="48"/>
      <c r="K13" s="48"/>
      <c r="L13" s="49"/>
      <c r="M13" s="48"/>
      <c r="N13" s="49"/>
      <c r="O13" s="49"/>
      <c r="P13" s="50"/>
      <c r="Q13" s="51"/>
    </row>
    <row r="14" spans="1:21" ht="12.75" customHeight="1" x14ac:dyDescent="0.2">
      <c r="A14" s="1">
        <v>88104</v>
      </c>
      <c r="B14" s="52">
        <v>23</v>
      </c>
      <c r="C14" s="53" t="s">
        <v>35</v>
      </c>
      <c r="D14" s="53">
        <v>69</v>
      </c>
      <c r="E14" s="53">
        <v>107</v>
      </c>
      <c r="F14" s="10">
        <f t="shared" ref="F14:F20" si="0">E14*0.666*24/72</f>
        <v>23.754000000000001</v>
      </c>
      <c r="G14" s="54">
        <v>10</v>
      </c>
      <c r="H14" s="54">
        <v>0</v>
      </c>
      <c r="I14" s="54">
        <v>0</v>
      </c>
      <c r="J14" s="54">
        <v>0</v>
      </c>
      <c r="K14" s="54">
        <v>8</v>
      </c>
      <c r="L14" s="55">
        <v>0</v>
      </c>
      <c r="M14" s="54"/>
      <c r="N14" s="55">
        <v>0</v>
      </c>
      <c r="O14" s="10">
        <f t="shared" ref="O14:O20" si="1">IF(L14&gt;N14,+L14-N14,0)</f>
        <v>0</v>
      </c>
      <c r="P14" s="54">
        <v>9</v>
      </c>
      <c r="Q14" s="56">
        <f t="shared" ref="Q14:Q20" si="2">+P14</f>
        <v>9</v>
      </c>
      <c r="U14" s="8"/>
    </row>
    <row r="15" spans="1:21" ht="12.75" customHeight="1" x14ac:dyDescent="0.2">
      <c r="A15" s="1">
        <v>120423</v>
      </c>
      <c r="B15" s="52">
        <v>15</v>
      </c>
      <c r="C15" s="57" t="s">
        <v>278</v>
      </c>
      <c r="D15" s="53">
        <v>325</v>
      </c>
      <c r="E15" s="53">
        <v>448</v>
      </c>
      <c r="F15" s="10">
        <f t="shared" si="0"/>
        <v>99.456000000000003</v>
      </c>
      <c r="G15" s="54">
        <v>50</v>
      </c>
      <c r="H15" s="54">
        <v>0</v>
      </c>
      <c r="I15" s="54">
        <v>0</v>
      </c>
      <c r="J15" s="54">
        <v>0</v>
      </c>
      <c r="K15" s="54">
        <v>55</v>
      </c>
      <c r="L15" s="55">
        <v>0</v>
      </c>
      <c r="M15" s="54"/>
      <c r="N15" s="55">
        <f>ROUND((+F15*M15)/100,0)</f>
        <v>0</v>
      </c>
      <c r="O15" s="10">
        <f t="shared" si="1"/>
        <v>0</v>
      </c>
      <c r="P15" s="54">
        <v>60</v>
      </c>
      <c r="Q15" s="56">
        <f t="shared" si="2"/>
        <v>60</v>
      </c>
    </row>
    <row r="16" spans="1:21" ht="12.75" customHeight="1" x14ac:dyDescent="0.2">
      <c r="A16" s="1">
        <v>133106</v>
      </c>
      <c r="B16" s="52">
        <v>105</v>
      </c>
      <c r="C16" s="57" t="s">
        <v>36</v>
      </c>
      <c r="D16" s="53">
        <v>209</v>
      </c>
      <c r="E16" s="53">
        <v>263</v>
      </c>
      <c r="F16" s="10">
        <f t="shared" si="0"/>
        <v>58.386000000000003</v>
      </c>
      <c r="G16" s="54">
        <v>38</v>
      </c>
      <c r="H16" s="54">
        <v>0</v>
      </c>
      <c r="I16" s="54">
        <v>0</v>
      </c>
      <c r="J16" s="54">
        <v>0</v>
      </c>
      <c r="K16" s="54">
        <v>43</v>
      </c>
      <c r="L16" s="55">
        <v>0</v>
      </c>
      <c r="M16" s="54"/>
      <c r="N16" s="55">
        <f>ROUND((+F16*M16)/100,0)</f>
        <v>0</v>
      </c>
      <c r="O16" s="10">
        <f t="shared" si="1"/>
        <v>0</v>
      </c>
      <c r="P16" s="54">
        <v>43</v>
      </c>
      <c r="Q16" s="56">
        <f t="shared" si="2"/>
        <v>43</v>
      </c>
    </row>
    <row r="17" spans="1:17" ht="12.75" customHeight="1" x14ac:dyDescent="0.2">
      <c r="A17" s="4">
        <v>269103</v>
      </c>
      <c r="B17" s="52">
        <v>106</v>
      </c>
      <c r="C17" s="57" t="s">
        <v>37</v>
      </c>
      <c r="D17" s="53">
        <v>76</v>
      </c>
      <c r="E17" s="53">
        <v>100</v>
      </c>
      <c r="F17" s="10">
        <f t="shared" si="0"/>
        <v>22.200000000000003</v>
      </c>
      <c r="G17" s="54">
        <v>12</v>
      </c>
      <c r="H17" s="54">
        <v>0</v>
      </c>
      <c r="I17" s="54">
        <v>0</v>
      </c>
      <c r="J17" s="54">
        <v>0</v>
      </c>
      <c r="K17" s="54">
        <v>12</v>
      </c>
      <c r="L17" s="55">
        <v>0</v>
      </c>
      <c r="M17" s="54"/>
      <c r="N17" s="55">
        <v>0</v>
      </c>
      <c r="O17" s="10">
        <f t="shared" si="1"/>
        <v>0</v>
      </c>
      <c r="P17" s="54">
        <v>12</v>
      </c>
      <c r="Q17" s="56">
        <f t="shared" si="2"/>
        <v>12</v>
      </c>
    </row>
    <row r="18" spans="1:17" ht="12.75" customHeight="1" x14ac:dyDescent="0.2">
      <c r="A18" s="4">
        <v>320101</v>
      </c>
      <c r="B18" s="52">
        <v>4</v>
      </c>
      <c r="C18" s="53" t="s">
        <v>38</v>
      </c>
      <c r="D18" s="53">
        <v>53</v>
      </c>
      <c r="E18" s="53">
        <v>74</v>
      </c>
      <c r="F18" s="10">
        <f t="shared" si="0"/>
        <v>16.428000000000004</v>
      </c>
      <c r="G18" s="54">
        <v>6</v>
      </c>
      <c r="H18" s="54">
        <v>0</v>
      </c>
      <c r="I18" s="54">
        <v>0</v>
      </c>
      <c r="J18" s="54">
        <v>0</v>
      </c>
      <c r="K18" s="54">
        <v>6</v>
      </c>
      <c r="L18" s="55">
        <v>0</v>
      </c>
      <c r="M18" s="54"/>
      <c r="N18" s="55">
        <v>0</v>
      </c>
      <c r="O18" s="10">
        <f t="shared" si="1"/>
        <v>0</v>
      </c>
      <c r="P18" s="54">
        <v>6</v>
      </c>
      <c r="Q18" s="56">
        <f t="shared" si="2"/>
        <v>6</v>
      </c>
    </row>
    <row r="19" spans="1:17" ht="12.75" customHeight="1" x14ac:dyDescent="0.2">
      <c r="A19" s="4">
        <v>371102</v>
      </c>
      <c r="B19" s="52">
        <v>119</v>
      </c>
      <c r="C19" s="57" t="s">
        <v>39</v>
      </c>
      <c r="D19" s="53">
        <v>76</v>
      </c>
      <c r="E19" s="53">
        <v>96</v>
      </c>
      <c r="F19" s="10">
        <f t="shared" si="0"/>
        <v>21.312000000000001</v>
      </c>
      <c r="G19" s="54">
        <v>10</v>
      </c>
      <c r="H19" s="54">
        <v>0</v>
      </c>
      <c r="I19" s="54">
        <v>0</v>
      </c>
      <c r="J19" s="54">
        <v>0</v>
      </c>
      <c r="K19" s="54">
        <v>10</v>
      </c>
      <c r="L19" s="55">
        <v>0</v>
      </c>
      <c r="M19" s="54"/>
      <c r="N19" s="55">
        <v>0</v>
      </c>
      <c r="O19" s="10">
        <f t="shared" si="1"/>
        <v>0</v>
      </c>
      <c r="P19" s="54">
        <v>10</v>
      </c>
      <c r="Q19" s="56">
        <f t="shared" si="2"/>
        <v>10</v>
      </c>
    </row>
    <row r="20" spans="1:17" ht="12.75" customHeight="1" x14ac:dyDescent="0.2">
      <c r="A20" s="4">
        <v>510102</v>
      </c>
      <c r="B20" s="52">
        <v>10</v>
      </c>
      <c r="C20" s="57" t="s">
        <v>40</v>
      </c>
      <c r="D20" s="53">
        <v>56</v>
      </c>
      <c r="E20" s="53">
        <v>65</v>
      </c>
      <c r="F20" s="10">
        <f t="shared" si="0"/>
        <v>14.43</v>
      </c>
      <c r="G20" s="54">
        <v>10</v>
      </c>
      <c r="H20" s="54">
        <v>0</v>
      </c>
      <c r="I20" s="54">
        <v>0</v>
      </c>
      <c r="J20" s="54">
        <v>0</v>
      </c>
      <c r="K20" s="54">
        <v>7</v>
      </c>
      <c r="L20" s="55">
        <v>0</v>
      </c>
      <c r="M20" s="54"/>
      <c r="N20" s="55">
        <v>0</v>
      </c>
      <c r="O20" s="10">
        <f t="shared" si="1"/>
        <v>0</v>
      </c>
      <c r="P20" s="54">
        <v>7</v>
      </c>
      <c r="Q20" s="56">
        <f t="shared" si="2"/>
        <v>7</v>
      </c>
    </row>
    <row r="21" spans="1:17" ht="12.75" customHeight="1" x14ac:dyDescent="0.2">
      <c r="A21" s="58"/>
      <c r="B21" s="59"/>
      <c r="C21" s="60"/>
      <c r="D21" s="61"/>
      <c r="E21" s="61"/>
      <c r="F21" s="61"/>
      <c r="G21" s="62"/>
      <c r="H21" s="62"/>
      <c r="I21" s="62"/>
      <c r="J21" s="62"/>
      <c r="K21" s="62"/>
      <c r="L21" s="63"/>
      <c r="M21" s="62"/>
      <c r="N21" s="63"/>
      <c r="O21" s="61"/>
      <c r="P21" s="62"/>
      <c r="Q21" s="64"/>
    </row>
    <row r="22" spans="1:17" ht="12.75" customHeight="1" x14ac:dyDescent="0.2">
      <c r="A22" s="43" t="s">
        <v>41</v>
      </c>
      <c r="B22" s="44"/>
      <c r="C22" s="45">
        <f>COUNTA(A14:A20)</f>
        <v>7</v>
      </c>
      <c r="D22" s="65">
        <f t="shared" ref="D22:Q22" si="3">SUM(D14:D20)</f>
        <v>864</v>
      </c>
      <c r="E22" s="65">
        <f t="shared" si="3"/>
        <v>1153</v>
      </c>
      <c r="F22" s="65">
        <f t="shared" si="3"/>
        <v>255.96600000000001</v>
      </c>
      <c r="G22" s="65">
        <f t="shared" si="3"/>
        <v>136</v>
      </c>
      <c r="H22" s="65">
        <f t="shared" si="3"/>
        <v>0</v>
      </c>
      <c r="I22" s="65">
        <f t="shared" si="3"/>
        <v>0</v>
      </c>
      <c r="J22" s="65">
        <f t="shared" si="3"/>
        <v>0</v>
      </c>
      <c r="K22" s="65">
        <f t="shared" si="3"/>
        <v>141</v>
      </c>
      <c r="L22" s="65">
        <f t="shared" si="3"/>
        <v>0</v>
      </c>
      <c r="M22" s="65">
        <f t="shared" si="3"/>
        <v>0</v>
      </c>
      <c r="N22" s="65">
        <f t="shared" si="3"/>
        <v>0</v>
      </c>
      <c r="O22" s="65">
        <f t="shared" si="3"/>
        <v>0</v>
      </c>
      <c r="P22" s="65">
        <f t="shared" si="3"/>
        <v>147</v>
      </c>
      <c r="Q22" s="65">
        <f t="shared" si="3"/>
        <v>147</v>
      </c>
    </row>
    <row r="23" spans="1:17" s="53" customFormat="1" ht="13.5" customHeight="1" x14ac:dyDescent="0.2">
      <c r="A23" s="66" t="s">
        <v>42</v>
      </c>
      <c r="B23" s="67"/>
      <c r="C23" s="68"/>
      <c r="D23" s="69"/>
      <c r="E23" s="69"/>
      <c r="F23" s="70"/>
      <c r="G23" s="69"/>
      <c r="H23" s="69"/>
      <c r="I23" s="69"/>
      <c r="J23" s="69"/>
      <c r="K23" s="69"/>
      <c r="L23" s="70"/>
      <c r="M23" s="71"/>
      <c r="N23" s="72"/>
      <c r="O23" s="72"/>
      <c r="P23" s="73"/>
      <c r="Q23" s="74"/>
    </row>
    <row r="24" spans="1:17" s="53" customFormat="1" ht="12.75" customHeight="1" x14ac:dyDescent="0.2">
      <c r="A24" s="1"/>
      <c r="B24" s="176"/>
      <c r="C24" s="177"/>
      <c r="D24" s="178"/>
      <c r="E24" s="178"/>
      <c r="F24" s="139"/>
      <c r="G24" s="178"/>
      <c r="H24" s="178"/>
      <c r="I24" s="178"/>
      <c r="J24" s="178"/>
      <c r="K24" s="178"/>
      <c r="L24" s="143"/>
      <c r="M24" s="81"/>
      <c r="N24" s="82"/>
      <c r="O24" s="82"/>
      <c r="P24" s="83" t="s">
        <v>43</v>
      </c>
      <c r="Q24" s="84">
        <f>Q22</f>
        <v>147</v>
      </c>
    </row>
    <row r="25" spans="1:17" s="53" customFormat="1" ht="12.75" customHeight="1" x14ac:dyDescent="0.2">
      <c r="A25" s="293"/>
      <c r="B25" s="76"/>
      <c r="C25" s="77"/>
      <c r="D25" s="78"/>
      <c r="E25" s="78"/>
      <c r="F25" s="79"/>
      <c r="G25" s="78"/>
      <c r="H25" s="78"/>
      <c r="I25" s="78"/>
      <c r="J25" s="78"/>
      <c r="K25" s="78"/>
      <c r="L25" s="80"/>
      <c r="M25" s="81"/>
      <c r="N25" s="82"/>
      <c r="O25" s="82"/>
      <c r="P25" s="83"/>
      <c r="Q25" s="84"/>
    </row>
    <row r="26" spans="1:17" ht="12.75" customHeight="1" x14ac:dyDescent="0.2">
      <c r="A26" s="85"/>
      <c r="B26" s="86"/>
      <c r="C26" s="87"/>
      <c r="D26" s="88"/>
      <c r="E26" s="88"/>
      <c r="F26" s="89"/>
      <c r="G26" s="88"/>
      <c r="H26" s="88"/>
      <c r="I26" s="88"/>
      <c r="J26" s="88"/>
      <c r="K26" s="88"/>
      <c r="L26" s="89"/>
      <c r="M26" s="88"/>
      <c r="N26" s="89"/>
      <c r="O26" s="89"/>
      <c r="P26" s="81"/>
      <c r="Q26" s="9"/>
    </row>
    <row r="27" spans="1:17" ht="12.75" customHeight="1" x14ac:dyDescent="0.2">
      <c r="A27" s="90"/>
      <c r="B27" s="91" t="s">
        <v>44</v>
      </c>
      <c r="C27" s="92"/>
      <c r="D27" s="46"/>
      <c r="E27" s="46"/>
      <c r="G27" s="46"/>
      <c r="H27" s="46"/>
      <c r="I27" s="93"/>
      <c r="J27" s="93"/>
      <c r="K27" s="46"/>
      <c r="M27" s="46"/>
      <c r="P27" s="94"/>
    </row>
    <row r="28" spans="1:17" ht="12.75" customHeight="1" x14ac:dyDescent="0.2">
      <c r="A28" s="90"/>
      <c r="B28" s="95"/>
      <c r="C28" s="96"/>
      <c r="D28" s="97"/>
      <c r="E28" s="97"/>
      <c r="G28" s="98"/>
      <c r="H28" s="46"/>
      <c r="I28" s="93"/>
      <c r="J28" s="93"/>
      <c r="K28" s="98"/>
      <c r="M28" s="46"/>
      <c r="P28" s="94"/>
      <c r="Q28" s="99"/>
    </row>
    <row r="29" spans="1:17" ht="12.75" customHeight="1" x14ac:dyDescent="0.2">
      <c r="A29" s="43"/>
      <c r="B29" s="44"/>
      <c r="C29" s="45"/>
      <c r="D29" s="46"/>
      <c r="E29" s="46"/>
      <c r="F29" s="47"/>
      <c r="G29" s="48"/>
      <c r="H29" s="48"/>
      <c r="I29" s="100"/>
      <c r="J29" s="100"/>
      <c r="K29" s="48"/>
      <c r="L29" s="49"/>
      <c r="M29" s="48"/>
      <c r="N29" s="49"/>
      <c r="O29" s="49"/>
      <c r="P29" s="50"/>
      <c r="Q29" s="51"/>
    </row>
    <row r="30" spans="1:17" ht="12.75" customHeight="1" x14ac:dyDescent="0.2">
      <c r="A30" s="1">
        <v>100144</v>
      </c>
      <c r="B30" s="52">
        <v>50</v>
      </c>
      <c r="C30" s="57" t="s">
        <v>279</v>
      </c>
      <c r="D30" s="53">
        <v>296</v>
      </c>
      <c r="E30" s="53">
        <v>462</v>
      </c>
      <c r="F30" s="10">
        <f t="shared" ref="F30:F33" si="4">E30*0.666*24/72</f>
        <v>102.56400000000001</v>
      </c>
      <c r="G30" s="54">
        <v>58</v>
      </c>
      <c r="H30" s="54">
        <v>0</v>
      </c>
      <c r="I30" s="54">
        <v>0</v>
      </c>
      <c r="J30" s="54">
        <v>0</v>
      </c>
      <c r="K30" s="54">
        <v>0</v>
      </c>
      <c r="L30" s="55">
        <v>0</v>
      </c>
      <c r="M30" s="54"/>
      <c r="N30" s="55">
        <f t="shared" ref="N30:N33" si="5">ROUND((+F30*M30)/100,0)</f>
        <v>0</v>
      </c>
      <c r="O30" s="10">
        <f t="shared" ref="O30:O33" si="6">IF(L30&gt;N30,+L30-N30,0)</f>
        <v>0</v>
      </c>
      <c r="P30" s="54">
        <v>59</v>
      </c>
      <c r="Q30" s="56">
        <f t="shared" ref="Q30:Q33" si="7">+P30</f>
        <v>59</v>
      </c>
    </row>
    <row r="31" spans="1:17" ht="12.75" customHeight="1" x14ac:dyDescent="0.2">
      <c r="A31" s="1">
        <v>120438</v>
      </c>
      <c r="B31" s="52">
        <v>65</v>
      </c>
      <c r="C31" s="57" t="s">
        <v>45</v>
      </c>
      <c r="D31" s="53">
        <v>133</v>
      </c>
      <c r="E31" s="53">
        <v>196</v>
      </c>
      <c r="F31" s="10">
        <f t="shared" si="4"/>
        <v>43.512</v>
      </c>
      <c r="G31" s="54">
        <v>0</v>
      </c>
      <c r="H31" s="54">
        <v>0</v>
      </c>
      <c r="I31" s="54">
        <v>0</v>
      </c>
      <c r="J31" s="54">
        <v>0</v>
      </c>
      <c r="K31" s="54">
        <v>20</v>
      </c>
      <c r="L31" s="55">
        <v>0</v>
      </c>
      <c r="M31" s="54"/>
      <c r="N31" s="55">
        <f t="shared" si="5"/>
        <v>0</v>
      </c>
      <c r="O31" s="10">
        <f t="shared" si="6"/>
        <v>0</v>
      </c>
      <c r="P31" s="54">
        <v>1</v>
      </c>
      <c r="Q31" s="56">
        <f t="shared" si="7"/>
        <v>1</v>
      </c>
    </row>
    <row r="32" spans="1:17" ht="12.75" customHeight="1" x14ac:dyDescent="0.2">
      <c r="A32" s="1">
        <v>283101</v>
      </c>
      <c r="B32" s="52">
        <v>66</v>
      </c>
      <c r="C32" s="57" t="s">
        <v>242</v>
      </c>
      <c r="D32" s="53">
        <v>91</v>
      </c>
      <c r="E32" s="53">
        <v>126</v>
      </c>
      <c r="F32" s="10">
        <f t="shared" si="4"/>
        <v>27.972000000000005</v>
      </c>
      <c r="G32" s="54">
        <v>20</v>
      </c>
      <c r="H32" s="54">
        <v>0</v>
      </c>
      <c r="I32" s="54">
        <v>0</v>
      </c>
      <c r="J32" s="54">
        <v>0</v>
      </c>
      <c r="K32" s="54">
        <v>14</v>
      </c>
      <c r="L32" s="55">
        <v>0</v>
      </c>
      <c r="M32" s="54"/>
      <c r="N32" s="55">
        <f t="shared" si="5"/>
        <v>0</v>
      </c>
      <c r="O32" s="10">
        <f t="shared" si="6"/>
        <v>0</v>
      </c>
      <c r="P32" s="54">
        <v>18</v>
      </c>
      <c r="Q32" s="56">
        <f t="shared" si="7"/>
        <v>18</v>
      </c>
    </row>
    <row r="33" spans="1:17" ht="12.75" customHeight="1" x14ac:dyDescent="0.2">
      <c r="A33" s="1">
        <v>422101</v>
      </c>
      <c r="B33" s="52">
        <v>23</v>
      </c>
      <c r="C33" s="57" t="s">
        <v>46</v>
      </c>
      <c r="D33" s="53">
        <v>59</v>
      </c>
      <c r="E33" s="53">
        <v>81</v>
      </c>
      <c r="F33" s="10">
        <f t="shared" si="4"/>
        <v>17.982000000000003</v>
      </c>
      <c r="G33" s="54">
        <v>15</v>
      </c>
      <c r="H33" s="54">
        <v>0</v>
      </c>
      <c r="I33" s="54">
        <v>0</v>
      </c>
      <c r="J33" s="54">
        <v>0</v>
      </c>
      <c r="K33" s="54">
        <v>15</v>
      </c>
      <c r="L33" s="55">
        <v>0</v>
      </c>
      <c r="M33" s="54"/>
      <c r="N33" s="55">
        <f t="shared" si="5"/>
        <v>0</v>
      </c>
      <c r="O33" s="10">
        <f t="shared" si="6"/>
        <v>0</v>
      </c>
      <c r="P33" s="54">
        <v>16</v>
      </c>
      <c r="Q33" s="56">
        <f t="shared" si="7"/>
        <v>16</v>
      </c>
    </row>
    <row r="34" spans="1:17" ht="12.75" customHeight="1" x14ac:dyDescent="0.2">
      <c r="A34" s="1">
        <v>552101</v>
      </c>
      <c r="B34" s="52">
        <v>27</v>
      </c>
      <c r="C34" s="57" t="s">
        <v>315</v>
      </c>
      <c r="D34" s="53">
        <v>54</v>
      </c>
      <c r="E34" s="53">
        <v>82</v>
      </c>
      <c r="F34" s="10">
        <f t="shared" ref="F34" si="8">E34*0.666*24/72</f>
        <v>18.204000000000001</v>
      </c>
      <c r="G34" s="54">
        <v>4</v>
      </c>
      <c r="H34" s="54">
        <v>0</v>
      </c>
      <c r="I34" s="54">
        <v>0</v>
      </c>
      <c r="J34" s="54">
        <v>0</v>
      </c>
      <c r="K34" s="54">
        <v>3</v>
      </c>
      <c r="L34" s="55">
        <v>0</v>
      </c>
      <c r="M34" s="54"/>
      <c r="N34" s="55">
        <f t="shared" ref="N34" si="9">ROUND((+F34*M34)/100,0)</f>
        <v>0</v>
      </c>
      <c r="O34" s="10">
        <f t="shared" ref="O34" si="10">IF(L34&gt;N34,+L34-N34,0)</f>
        <v>0</v>
      </c>
      <c r="P34" s="54">
        <v>4</v>
      </c>
      <c r="Q34" s="56">
        <f t="shared" ref="Q34" si="11">+P34</f>
        <v>4</v>
      </c>
    </row>
    <row r="35" spans="1:17" ht="12.75" customHeight="1" x14ac:dyDescent="0.2">
      <c r="A35" s="1">
        <v>556101</v>
      </c>
      <c r="B35" s="52">
        <v>10</v>
      </c>
      <c r="C35" s="57" t="s">
        <v>349</v>
      </c>
      <c r="D35" s="53">
        <v>69</v>
      </c>
      <c r="E35" s="53">
        <v>107</v>
      </c>
      <c r="F35" s="10">
        <f t="shared" ref="F35" si="12">E35*0.666*24/72</f>
        <v>23.754000000000001</v>
      </c>
      <c r="G35" s="54">
        <v>6</v>
      </c>
      <c r="H35" s="54">
        <v>0</v>
      </c>
      <c r="I35" s="54">
        <v>0</v>
      </c>
      <c r="J35" s="54">
        <v>0</v>
      </c>
      <c r="K35" s="54">
        <v>7</v>
      </c>
      <c r="L35" s="55">
        <v>0</v>
      </c>
      <c r="M35" s="54"/>
      <c r="N35" s="55">
        <f t="shared" ref="N35" si="13">ROUND((+F35*M35)/100,0)</f>
        <v>0</v>
      </c>
      <c r="O35" s="10">
        <f t="shared" ref="O35" si="14">IF(L35&gt;N35,+L35-N35,0)</f>
        <v>0</v>
      </c>
      <c r="P35" s="54">
        <v>8</v>
      </c>
      <c r="Q35" s="56">
        <f t="shared" ref="Q35" si="15">+P35</f>
        <v>8</v>
      </c>
    </row>
    <row r="36" spans="1:17" ht="12.75" customHeight="1" x14ac:dyDescent="0.2">
      <c r="A36" s="101"/>
      <c r="B36" s="102"/>
      <c r="C36" s="103"/>
      <c r="D36" s="104"/>
      <c r="E36" s="104"/>
      <c r="F36" s="105"/>
      <c r="G36" s="62"/>
      <c r="H36" s="54"/>
      <c r="I36" s="54"/>
      <c r="J36" s="54"/>
      <c r="K36" s="62"/>
      <c r="L36" s="106"/>
      <c r="M36" s="104"/>
      <c r="N36" s="107"/>
      <c r="O36" s="107"/>
      <c r="P36" s="62"/>
      <c r="Q36" s="108"/>
    </row>
    <row r="37" spans="1:17" ht="12.75" customHeight="1" x14ac:dyDescent="0.2">
      <c r="A37" s="109" t="s">
        <v>41</v>
      </c>
      <c r="B37" s="110"/>
      <c r="C37" s="111">
        <f>COUNTA(A30:A35)</f>
        <v>6</v>
      </c>
      <c r="D37" s="112">
        <f t="shared" ref="D37:Q37" si="16">SUM(D30:D35)</f>
        <v>702</v>
      </c>
      <c r="E37" s="112">
        <f t="shared" si="16"/>
        <v>1054</v>
      </c>
      <c r="F37" s="113">
        <f t="shared" si="16"/>
        <v>233.98800000000003</v>
      </c>
      <c r="G37" s="113">
        <f t="shared" si="16"/>
        <v>103</v>
      </c>
      <c r="H37" s="113">
        <f t="shared" si="16"/>
        <v>0</v>
      </c>
      <c r="I37" s="113">
        <f t="shared" si="16"/>
        <v>0</v>
      </c>
      <c r="J37" s="113">
        <f t="shared" si="16"/>
        <v>0</v>
      </c>
      <c r="K37" s="113">
        <f t="shared" si="16"/>
        <v>59</v>
      </c>
      <c r="L37" s="113">
        <f t="shared" si="16"/>
        <v>0</v>
      </c>
      <c r="M37" s="113">
        <f t="shared" si="16"/>
        <v>0</v>
      </c>
      <c r="N37" s="113">
        <f t="shared" si="16"/>
        <v>0</v>
      </c>
      <c r="O37" s="113">
        <f t="shared" si="16"/>
        <v>0</v>
      </c>
      <c r="P37" s="113">
        <f t="shared" si="16"/>
        <v>106</v>
      </c>
      <c r="Q37" s="113">
        <f t="shared" si="16"/>
        <v>106</v>
      </c>
    </row>
    <row r="38" spans="1:17" s="53" customFormat="1" ht="15.75" customHeight="1" x14ac:dyDescent="0.2">
      <c r="A38" s="66" t="s">
        <v>385</v>
      </c>
      <c r="B38" s="67"/>
      <c r="D38" s="69"/>
      <c r="E38" s="69"/>
      <c r="F38" s="70"/>
      <c r="G38" s="69"/>
      <c r="H38" s="69"/>
      <c r="I38" s="69"/>
      <c r="J38" s="69"/>
      <c r="K38" s="69"/>
      <c r="L38" s="70"/>
      <c r="M38" s="114"/>
      <c r="N38" s="72"/>
      <c r="O38" s="72"/>
      <c r="P38" s="73"/>
      <c r="Q38" s="115"/>
    </row>
    <row r="39" spans="1:17" ht="12.75" customHeight="1" x14ac:dyDescent="0.2">
      <c r="A39" s="116"/>
      <c r="B39" s="117"/>
      <c r="C39" s="118"/>
      <c r="D39" s="119"/>
      <c r="E39" s="119"/>
      <c r="F39" s="120"/>
      <c r="G39" s="119"/>
      <c r="H39" s="119"/>
      <c r="I39" s="119"/>
      <c r="J39" s="119"/>
      <c r="K39" s="119"/>
      <c r="L39" s="121"/>
      <c r="M39" s="88"/>
      <c r="N39" s="89"/>
      <c r="O39" s="89"/>
      <c r="P39" s="83" t="s">
        <v>43</v>
      </c>
      <c r="Q39" s="122">
        <f>Q37</f>
        <v>106</v>
      </c>
    </row>
    <row r="40" spans="1:17" ht="12.75" customHeight="1" x14ac:dyDescent="0.2">
      <c r="A40" s="123"/>
      <c r="B40" s="86"/>
      <c r="C40" s="87"/>
      <c r="D40" s="88"/>
      <c r="E40" s="88"/>
      <c r="F40" s="89"/>
      <c r="G40" s="88"/>
      <c r="H40" s="88"/>
      <c r="I40" s="88"/>
      <c r="J40" s="88"/>
      <c r="K40" s="88"/>
      <c r="L40" s="89"/>
      <c r="M40" s="88"/>
      <c r="N40" s="89"/>
      <c r="O40" s="89"/>
      <c r="P40" s="81"/>
      <c r="Q40" s="9"/>
    </row>
    <row r="41" spans="1:17" ht="12.75" customHeight="1" x14ac:dyDescent="0.2">
      <c r="A41" s="90"/>
      <c r="B41" s="91" t="s">
        <v>48</v>
      </c>
      <c r="C41" s="92"/>
      <c r="D41" s="124"/>
      <c r="E41" s="46"/>
      <c r="G41" s="98"/>
      <c r="H41" s="46"/>
      <c r="I41" s="93"/>
      <c r="J41" s="93"/>
      <c r="K41" s="98"/>
      <c r="M41" s="46"/>
      <c r="P41" s="94"/>
      <c r="Q41" s="99"/>
    </row>
    <row r="42" spans="1:17" ht="12.75" customHeight="1" x14ac:dyDescent="0.2">
      <c r="A42" s="90"/>
      <c r="B42" s="95"/>
      <c r="C42" s="96"/>
      <c r="D42" s="97"/>
      <c r="E42" s="97"/>
      <c r="G42" s="98"/>
      <c r="H42" s="46"/>
      <c r="I42" s="93"/>
      <c r="J42" s="93"/>
      <c r="K42" s="98"/>
      <c r="M42" s="46"/>
      <c r="P42" s="94"/>
      <c r="Q42" s="99"/>
    </row>
    <row r="43" spans="1:17" ht="12.75" customHeight="1" x14ac:dyDescent="0.2">
      <c r="A43" s="43"/>
      <c r="B43" s="44"/>
      <c r="C43" s="45"/>
      <c r="D43" s="46"/>
      <c r="E43" s="46"/>
      <c r="F43" s="47"/>
      <c r="G43" s="125"/>
      <c r="H43" s="48"/>
      <c r="I43" s="100"/>
      <c r="J43" s="100"/>
      <c r="K43" s="125"/>
      <c r="L43" s="49"/>
      <c r="M43" s="48"/>
      <c r="N43" s="49"/>
      <c r="O43" s="49"/>
      <c r="P43" s="50"/>
      <c r="Q43" s="126"/>
    </row>
    <row r="44" spans="1:17" ht="12.75" customHeight="1" x14ac:dyDescent="0.2">
      <c r="A44" s="3">
        <v>73101</v>
      </c>
      <c r="B44" s="95">
        <v>46</v>
      </c>
      <c r="C44" s="96" t="s">
        <v>252</v>
      </c>
      <c r="D44" s="53">
        <v>48</v>
      </c>
      <c r="E44" s="53">
        <v>82</v>
      </c>
      <c r="F44" s="10">
        <f t="shared" ref="F44:F60" si="17">E44*0.666*24/72</f>
        <v>18.204000000000001</v>
      </c>
      <c r="G44" s="94">
        <v>12</v>
      </c>
      <c r="H44" s="94">
        <v>0</v>
      </c>
      <c r="I44" s="127">
        <v>0</v>
      </c>
      <c r="J44" s="54">
        <v>0</v>
      </c>
      <c r="K44" s="94">
        <v>10</v>
      </c>
      <c r="L44" s="8">
        <v>0</v>
      </c>
      <c r="M44" s="46"/>
      <c r="N44" s="55">
        <f t="shared" ref="N44:N60" si="18">ROUND((+F44*M44)/100,0)</f>
        <v>0</v>
      </c>
      <c r="O44" s="10">
        <f t="shared" ref="O44:O60" si="19">IF(L44&gt;N44,+L44-N44,0)</f>
        <v>0</v>
      </c>
      <c r="P44" s="94">
        <v>14</v>
      </c>
      <c r="Q44" s="108">
        <f t="shared" ref="Q44:Q60" si="20">+P44</f>
        <v>14</v>
      </c>
    </row>
    <row r="45" spans="1:17" ht="12.75" customHeight="1" x14ac:dyDescent="0.2">
      <c r="A45" s="1">
        <v>73113</v>
      </c>
      <c r="B45" s="52">
        <v>13</v>
      </c>
      <c r="C45" s="57" t="s">
        <v>292</v>
      </c>
      <c r="D45" s="53">
        <v>65</v>
      </c>
      <c r="E45" s="53">
        <v>80</v>
      </c>
      <c r="F45" s="10">
        <f t="shared" si="17"/>
        <v>17.760000000000002</v>
      </c>
      <c r="G45" s="94">
        <v>11</v>
      </c>
      <c r="H45" s="94">
        <v>0</v>
      </c>
      <c r="I45" s="127">
        <v>0</v>
      </c>
      <c r="J45" s="54">
        <v>0</v>
      </c>
      <c r="K45" s="94">
        <v>9</v>
      </c>
      <c r="L45" s="8">
        <v>0</v>
      </c>
      <c r="M45" s="46"/>
      <c r="N45" s="55">
        <f>ROUND((+F45*M45)/100,0)</f>
        <v>0</v>
      </c>
      <c r="O45" s="10">
        <f>IF(L45&gt;N45,+L45-N45,0)</f>
        <v>0</v>
      </c>
      <c r="P45" s="94">
        <v>12</v>
      </c>
      <c r="Q45" s="108">
        <f>+P45</f>
        <v>12</v>
      </c>
    </row>
    <row r="46" spans="1:17" ht="12.75" customHeight="1" x14ac:dyDescent="0.2">
      <c r="A46" s="1">
        <v>73114</v>
      </c>
      <c r="B46" s="52">
        <v>9</v>
      </c>
      <c r="C46" s="57" t="s">
        <v>317</v>
      </c>
      <c r="D46" s="53">
        <v>67</v>
      </c>
      <c r="E46" s="53">
        <v>80</v>
      </c>
      <c r="F46" s="10">
        <f t="shared" si="17"/>
        <v>17.760000000000002</v>
      </c>
      <c r="G46" s="94">
        <v>2</v>
      </c>
      <c r="H46" s="94">
        <v>0</v>
      </c>
      <c r="I46" s="127">
        <v>0</v>
      </c>
      <c r="J46" s="54">
        <v>0</v>
      </c>
      <c r="K46" s="94">
        <v>7</v>
      </c>
      <c r="L46" s="8">
        <v>0</v>
      </c>
      <c r="M46" s="46"/>
      <c r="N46" s="55">
        <f>ROUND((+F46*M46)/100,0)</f>
        <v>0</v>
      </c>
      <c r="O46" s="10">
        <f>IF(L46&gt;N46,+L46-N46,0)</f>
        <v>0</v>
      </c>
      <c r="P46" s="94">
        <v>8</v>
      </c>
      <c r="Q46" s="108">
        <f>+P46</f>
        <v>8</v>
      </c>
    </row>
    <row r="47" spans="1:17" ht="12.75" customHeight="1" x14ac:dyDescent="0.2">
      <c r="A47" s="312">
        <v>73115</v>
      </c>
      <c r="B47" s="313">
        <v>31</v>
      </c>
      <c r="C47" s="314" t="s">
        <v>393</v>
      </c>
      <c r="D47" s="53">
        <v>94</v>
      </c>
      <c r="E47" s="53">
        <v>110</v>
      </c>
      <c r="F47" s="10">
        <f t="shared" ref="F47" si="21">E47*0.666*24/72</f>
        <v>24.42</v>
      </c>
      <c r="G47" s="94">
        <v>0</v>
      </c>
      <c r="H47" s="94">
        <v>0</v>
      </c>
      <c r="I47" s="127">
        <v>0</v>
      </c>
      <c r="J47" s="54">
        <v>0</v>
      </c>
      <c r="K47" s="94">
        <v>0</v>
      </c>
      <c r="L47" s="8">
        <v>0</v>
      </c>
      <c r="M47" s="46"/>
      <c r="N47" s="55">
        <f>ROUND((+F47*M47)/100,0)</f>
        <v>0</v>
      </c>
      <c r="O47" s="10">
        <f>IF(L47&gt;N47,+L47-N47,0)</f>
        <v>0</v>
      </c>
      <c r="P47" s="94">
        <v>25</v>
      </c>
      <c r="Q47" s="108">
        <f>+P47</f>
        <v>25</v>
      </c>
    </row>
    <row r="48" spans="1:17" ht="12.75" customHeight="1" x14ac:dyDescent="0.2">
      <c r="A48" s="1">
        <v>76101</v>
      </c>
      <c r="B48" s="52">
        <v>33</v>
      </c>
      <c r="C48" s="53" t="s">
        <v>253</v>
      </c>
      <c r="D48" s="53">
        <v>65</v>
      </c>
      <c r="E48" s="53">
        <v>105</v>
      </c>
      <c r="F48" s="10">
        <f t="shared" si="17"/>
        <v>23.310000000000002</v>
      </c>
      <c r="G48" s="94">
        <v>23</v>
      </c>
      <c r="H48" s="94">
        <v>0</v>
      </c>
      <c r="I48" s="127">
        <v>0</v>
      </c>
      <c r="J48" s="54">
        <v>0</v>
      </c>
      <c r="K48" s="94">
        <v>0</v>
      </c>
      <c r="L48" s="8">
        <v>0</v>
      </c>
      <c r="M48" s="46"/>
      <c r="N48" s="55">
        <f t="shared" si="18"/>
        <v>0</v>
      </c>
      <c r="O48" s="10">
        <f t="shared" si="19"/>
        <v>0</v>
      </c>
      <c r="P48" s="94">
        <v>22</v>
      </c>
      <c r="Q48" s="108">
        <f t="shared" si="20"/>
        <v>22</v>
      </c>
    </row>
    <row r="49" spans="1:19" ht="12.75" customHeight="1" x14ac:dyDescent="0.2">
      <c r="A49" s="1">
        <v>76102</v>
      </c>
      <c r="B49" s="52">
        <v>42</v>
      </c>
      <c r="C49" s="53" t="s">
        <v>350</v>
      </c>
      <c r="D49" s="53">
        <v>61</v>
      </c>
      <c r="E49" s="53">
        <v>96</v>
      </c>
      <c r="F49" s="10">
        <f t="shared" ref="F49" si="22">E49*0.666*24/72</f>
        <v>21.312000000000001</v>
      </c>
      <c r="G49" s="94">
        <v>19</v>
      </c>
      <c r="H49" s="94">
        <v>0</v>
      </c>
      <c r="I49" s="127">
        <v>0</v>
      </c>
      <c r="J49" s="54">
        <v>0</v>
      </c>
      <c r="K49" s="94">
        <v>17</v>
      </c>
      <c r="L49" s="8">
        <v>0</v>
      </c>
      <c r="M49" s="46"/>
      <c r="N49" s="55">
        <f t="shared" ref="N49" si="23">ROUND((+F49*M49)/100,0)</f>
        <v>0</v>
      </c>
      <c r="O49" s="10">
        <f t="shared" ref="O49" si="24">IF(L49&gt;N49,+L49-N49,0)</f>
        <v>0</v>
      </c>
      <c r="P49" s="94">
        <v>18</v>
      </c>
      <c r="Q49" s="108">
        <f t="shared" ref="Q49" si="25">+P49</f>
        <v>18</v>
      </c>
    </row>
    <row r="50" spans="1:19" ht="12.75" customHeight="1" x14ac:dyDescent="0.2">
      <c r="A50" s="1">
        <v>120347</v>
      </c>
      <c r="B50" s="52">
        <v>79</v>
      </c>
      <c r="C50" s="57" t="s">
        <v>256</v>
      </c>
      <c r="D50" s="53">
        <v>461</v>
      </c>
      <c r="E50" s="53">
        <v>683</v>
      </c>
      <c r="F50" s="10">
        <f t="shared" si="17"/>
        <v>151.626</v>
      </c>
      <c r="G50" s="94">
        <v>88</v>
      </c>
      <c r="H50" s="94">
        <v>0</v>
      </c>
      <c r="I50" s="127">
        <v>0</v>
      </c>
      <c r="J50" s="54">
        <v>0</v>
      </c>
      <c r="K50" s="94">
        <v>88</v>
      </c>
      <c r="L50" s="8">
        <v>0</v>
      </c>
      <c r="M50" s="46"/>
      <c r="N50" s="55">
        <f t="shared" si="18"/>
        <v>0</v>
      </c>
      <c r="O50" s="10">
        <f t="shared" si="19"/>
        <v>0</v>
      </c>
      <c r="P50" s="94">
        <v>94</v>
      </c>
      <c r="Q50" s="108">
        <f t="shared" si="20"/>
        <v>94</v>
      </c>
    </row>
    <row r="51" spans="1:19" ht="12.75" customHeight="1" x14ac:dyDescent="0.2">
      <c r="A51" s="1">
        <v>120427</v>
      </c>
      <c r="B51" s="52">
        <v>93</v>
      </c>
      <c r="C51" s="57" t="s">
        <v>248</v>
      </c>
      <c r="D51" s="53">
        <v>60</v>
      </c>
      <c r="E51" s="53">
        <v>85</v>
      </c>
      <c r="F51" s="10">
        <f t="shared" si="17"/>
        <v>18.87</v>
      </c>
      <c r="G51" s="94">
        <v>14</v>
      </c>
      <c r="H51" s="94">
        <v>0</v>
      </c>
      <c r="I51" s="127">
        <v>0</v>
      </c>
      <c r="J51" s="54">
        <v>0</v>
      </c>
      <c r="K51" s="94">
        <v>0</v>
      </c>
      <c r="L51" s="8">
        <v>0</v>
      </c>
      <c r="M51" s="46"/>
      <c r="N51" s="55">
        <f t="shared" si="18"/>
        <v>0</v>
      </c>
      <c r="O51" s="10">
        <f t="shared" si="19"/>
        <v>0</v>
      </c>
      <c r="P51" s="94">
        <v>14</v>
      </c>
      <c r="Q51" s="108">
        <f t="shared" si="20"/>
        <v>14</v>
      </c>
    </row>
    <row r="52" spans="1:19" ht="12.75" customHeight="1" x14ac:dyDescent="0.2">
      <c r="A52" s="281">
        <v>120535</v>
      </c>
      <c r="B52" s="52">
        <v>24</v>
      </c>
      <c r="C52" s="53" t="s">
        <v>260</v>
      </c>
      <c r="D52" s="53">
        <v>294</v>
      </c>
      <c r="E52" s="53">
        <v>475</v>
      </c>
      <c r="F52" s="10">
        <f t="shared" si="17"/>
        <v>105.45</v>
      </c>
      <c r="G52" s="94">
        <v>70</v>
      </c>
      <c r="H52" s="94">
        <v>0</v>
      </c>
      <c r="I52" s="127">
        <v>0</v>
      </c>
      <c r="J52" s="54">
        <v>0</v>
      </c>
      <c r="K52" s="94">
        <v>79</v>
      </c>
      <c r="L52" s="8">
        <v>0</v>
      </c>
      <c r="M52" s="46"/>
      <c r="N52" s="55">
        <f t="shared" si="18"/>
        <v>0</v>
      </c>
      <c r="O52" s="10">
        <f t="shared" si="19"/>
        <v>0</v>
      </c>
      <c r="P52" s="94">
        <v>80</v>
      </c>
      <c r="Q52" s="108">
        <f t="shared" si="20"/>
        <v>80</v>
      </c>
    </row>
    <row r="53" spans="1:19" ht="12.75" customHeight="1" x14ac:dyDescent="0.2">
      <c r="A53" s="1">
        <v>415101</v>
      </c>
      <c r="B53" s="57">
        <v>17</v>
      </c>
      <c r="C53" s="57" t="s">
        <v>272</v>
      </c>
      <c r="D53" s="53">
        <v>67</v>
      </c>
      <c r="E53" s="53">
        <v>94</v>
      </c>
      <c r="F53" s="10">
        <f t="shared" si="17"/>
        <v>20.868000000000002</v>
      </c>
      <c r="G53" s="57">
        <v>17</v>
      </c>
      <c r="H53" s="94">
        <v>0</v>
      </c>
      <c r="I53" s="127">
        <v>0</v>
      </c>
      <c r="J53" s="54">
        <v>0</v>
      </c>
      <c r="K53" s="57">
        <v>17</v>
      </c>
      <c r="L53" s="96">
        <v>0</v>
      </c>
      <c r="M53" s="96"/>
      <c r="N53" s="55">
        <f t="shared" si="18"/>
        <v>0</v>
      </c>
      <c r="O53" s="10">
        <f t="shared" si="19"/>
        <v>0</v>
      </c>
      <c r="P53" s="57">
        <v>18</v>
      </c>
      <c r="Q53" s="128">
        <f t="shared" si="20"/>
        <v>18</v>
      </c>
    </row>
    <row r="54" spans="1:19" ht="12.75" customHeight="1" x14ac:dyDescent="0.2">
      <c r="A54" s="1">
        <v>415102</v>
      </c>
      <c r="B54" s="52">
        <v>14</v>
      </c>
      <c r="C54" s="57" t="s">
        <v>273</v>
      </c>
      <c r="D54" s="53">
        <v>71</v>
      </c>
      <c r="E54" s="53">
        <v>87</v>
      </c>
      <c r="F54" s="10">
        <f t="shared" si="17"/>
        <v>19.314</v>
      </c>
      <c r="G54" s="54">
        <v>14</v>
      </c>
      <c r="H54" s="94">
        <v>0</v>
      </c>
      <c r="I54" s="127">
        <v>0</v>
      </c>
      <c r="J54" s="54">
        <v>0</v>
      </c>
      <c r="K54" s="54">
        <v>15</v>
      </c>
      <c r="L54" s="8">
        <v>0</v>
      </c>
      <c r="M54" s="46"/>
      <c r="N54" s="55">
        <f t="shared" si="18"/>
        <v>0</v>
      </c>
      <c r="O54" s="10">
        <f t="shared" si="19"/>
        <v>0</v>
      </c>
      <c r="P54" s="54">
        <v>15</v>
      </c>
      <c r="Q54" s="129">
        <f t="shared" si="20"/>
        <v>15</v>
      </c>
    </row>
    <row r="55" spans="1:19" s="53" customFormat="1" ht="12.75" customHeight="1" x14ac:dyDescent="0.2">
      <c r="A55" s="281">
        <v>415103</v>
      </c>
      <c r="B55" s="57">
        <v>49</v>
      </c>
      <c r="C55" s="57" t="s">
        <v>274</v>
      </c>
      <c r="D55" s="53">
        <v>61</v>
      </c>
      <c r="E55" s="53">
        <v>85</v>
      </c>
      <c r="F55" s="10">
        <f t="shared" si="17"/>
        <v>18.87</v>
      </c>
      <c r="G55" s="57">
        <v>15</v>
      </c>
      <c r="H55" s="94">
        <v>0</v>
      </c>
      <c r="I55" s="127">
        <v>0</v>
      </c>
      <c r="J55" s="54">
        <v>0</v>
      </c>
      <c r="K55" s="57">
        <v>14</v>
      </c>
      <c r="L55" s="96">
        <v>0</v>
      </c>
      <c r="M55" s="96"/>
      <c r="N55" s="55">
        <f t="shared" si="18"/>
        <v>0</v>
      </c>
      <c r="O55" s="10">
        <f t="shared" si="19"/>
        <v>0</v>
      </c>
      <c r="P55" s="57">
        <v>13</v>
      </c>
      <c r="Q55" s="128">
        <f t="shared" si="20"/>
        <v>13</v>
      </c>
      <c r="R55" s="6"/>
      <c r="S55" s="6"/>
    </row>
    <row r="56" spans="1:19" ht="12.75" customHeight="1" x14ac:dyDescent="0.2">
      <c r="A56" s="1">
        <v>446101</v>
      </c>
      <c r="B56" s="52">
        <v>4</v>
      </c>
      <c r="C56" s="57" t="s">
        <v>293</v>
      </c>
      <c r="D56" s="53">
        <v>38</v>
      </c>
      <c r="E56" s="53">
        <v>53</v>
      </c>
      <c r="F56" s="10">
        <f t="shared" si="17"/>
        <v>11.766</v>
      </c>
      <c r="G56" s="94">
        <v>0</v>
      </c>
      <c r="H56" s="94">
        <v>0</v>
      </c>
      <c r="I56" s="127">
        <v>0</v>
      </c>
      <c r="J56" s="54">
        <v>0</v>
      </c>
      <c r="K56" s="94">
        <v>6</v>
      </c>
      <c r="L56" s="8">
        <v>0</v>
      </c>
      <c r="M56" s="46"/>
      <c r="N56" s="55">
        <f t="shared" si="18"/>
        <v>0</v>
      </c>
      <c r="O56" s="10">
        <f t="shared" si="19"/>
        <v>0</v>
      </c>
      <c r="P56" s="94">
        <v>5</v>
      </c>
      <c r="Q56" s="108">
        <f t="shared" si="20"/>
        <v>5</v>
      </c>
    </row>
    <row r="57" spans="1:19" s="53" customFormat="1" ht="12.75" customHeight="1" x14ac:dyDescent="0.2">
      <c r="A57" s="1">
        <v>447103</v>
      </c>
      <c r="B57" s="57">
        <v>1</v>
      </c>
      <c r="C57" s="57" t="s">
        <v>275</v>
      </c>
      <c r="D57" s="53">
        <v>104</v>
      </c>
      <c r="E57" s="53">
        <v>129</v>
      </c>
      <c r="F57" s="10">
        <f t="shared" si="17"/>
        <v>28.638000000000002</v>
      </c>
      <c r="G57" s="57">
        <v>25</v>
      </c>
      <c r="H57" s="94">
        <v>0</v>
      </c>
      <c r="I57" s="127">
        <v>0</v>
      </c>
      <c r="J57" s="54">
        <v>0</v>
      </c>
      <c r="K57" s="57">
        <v>25</v>
      </c>
      <c r="L57" s="96">
        <v>0</v>
      </c>
      <c r="M57" s="96"/>
      <c r="N57" s="55">
        <f t="shared" si="18"/>
        <v>0</v>
      </c>
      <c r="O57" s="10">
        <f t="shared" si="19"/>
        <v>0</v>
      </c>
      <c r="P57" s="57">
        <v>22</v>
      </c>
      <c r="Q57" s="128">
        <f t="shared" si="20"/>
        <v>22</v>
      </c>
    </row>
    <row r="58" spans="1:19" s="53" customFormat="1" ht="12.75" customHeight="1" x14ac:dyDescent="0.2">
      <c r="A58" s="1">
        <v>447106</v>
      </c>
      <c r="B58" s="57">
        <v>30</v>
      </c>
      <c r="C58" s="57" t="s">
        <v>276</v>
      </c>
      <c r="D58" s="53">
        <v>44</v>
      </c>
      <c r="E58" s="53">
        <v>54</v>
      </c>
      <c r="F58" s="10">
        <f t="shared" si="17"/>
        <v>11.988</v>
      </c>
      <c r="G58" s="57">
        <v>9</v>
      </c>
      <c r="H58" s="94">
        <v>0</v>
      </c>
      <c r="I58" s="127">
        <v>0</v>
      </c>
      <c r="J58" s="54">
        <v>0</v>
      </c>
      <c r="K58" s="57">
        <v>8</v>
      </c>
      <c r="L58" s="96">
        <v>0</v>
      </c>
      <c r="M58" s="96"/>
      <c r="N58" s="55">
        <f t="shared" ref="N58:N59" si="26">ROUND((+F58*M58)/100,0)</f>
        <v>0</v>
      </c>
      <c r="O58" s="10">
        <f t="shared" ref="O58:O59" si="27">IF(L58&gt;N58,+L58-N58,0)</f>
        <v>0</v>
      </c>
      <c r="P58" s="57">
        <v>10</v>
      </c>
      <c r="Q58" s="128">
        <f t="shared" ref="Q58:Q59" si="28">+P58</f>
        <v>10</v>
      </c>
    </row>
    <row r="59" spans="1:19" s="53" customFormat="1" ht="12.75" customHeight="1" x14ac:dyDescent="0.2">
      <c r="A59" s="1">
        <v>469105</v>
      </c>
      <c r="B59" s="57">
        <v>103</v>
      </c>
      <c r="C59" s="57" t="s">
        <v>362</v>
      </c>
      <c r="D59" s="53">
        <v>54</v>
      </c>
      <c r="E59" s="53">
        <v>104</v>
      </c>
      <c r="F59" s="10">
        <f t="shared" ref="F59" si="29">E59*0.666*24/72</f>
        <v>23.088000000000005</v>
      </c>
      <c r="G59" s="57">
        <v>22</v>
      </c>
      <c r="H59" s="94">
        <v>0</v>
      </c>
      <c r="I59" s="127">
        <v>0</v>
      </c>
      <c r="J59" s="54">
        <v>0</v>
      </c>
      <c r="K59" s="57"/>
      <c r="L59" s="96">
        <v>0</v>
      </c>
      <c r="M59" s="96"/>
      <c r="N59" s="55">
        <f t="shared" si="26"/>
        <v>0</v>
      </c>
      <c r="O59" s="10">
        <f t="shared" si="27"/>
        <v>0</v>
      </c>
      <c r="P59" s="57">
        <v>22</v>
      </c>
      <c r="Q59" s="128">
        <f t="shared" si="28"/>
        <v>22</v>
      </c>
    </row>
    <row r="60" spans="1:19" s="53" customFormat="1" ht="12.75" customHeight="1" x14ac:dyDescent="0.2">
      <c r="A60" s="1">
        <v>469104</v>
      </c>
      <c r="B60" s="57">
        <v>64</v>
      </c>
      <c r="C60" s="57" t="s">
        <v>339</v>
      </c>
      <c r="D60" s="53">
        <v>82</v>
      </c>
      <c r="E60" s="53">
        <v>125</v>
      </c>
      <c r="F60" s="10">
        <f t="shared" si="17"/>
        <v>27.75</v>
      </c>
      <c r="G60" s="57">
        <v>19</v>
      </c>
      <c r="H60" s="94">
        <v>0</v>
      </c>
      <c r="I60" s="127">
        <v>0</v>
      </c>
      <c r="J60" s="54">
        <v>0</v>
      </c>
      <c r="K60" s="57">
        <v>20</v>
      </c>
      <c r="L60" s="96">
        <v>0</v>
      </c>
      <c r="M60" s="96"/>
      <c r="N60" s="55">
        <f t="shared" si="18"/>
        <v>0</v>
      </c>
      <c r="O60" s="10">
        <f t="shared" si="19"/>
        <v>0</v>
      </c>
      <c r="P60" s="57">
        <v>0</v>
      </c>
      <c r="Q60" s="128">
        <f t="shared" si="20"/>
        <v>0</v>
      </c>
    </row>
    <row r="61" spans="1:19" s="53" customFormat="1" ht="12.75" customHeight="1" x14ac:dyDescent="0.2">
      <c r="A61" s="1"/>
      <c r="B61" s="57"/>
      <c r="C61" s="57"/>
      <c r="D61" s="10"/>
      <c r="E61" s="10"/>
      <c r="F61" s="8"/>
      <c r="G61" s="57"/>
      <c r="H61" s="94"/>
      <c r="I61" s="127"/>
      <c r="J61" s="54"/>
      <c r="K61" s="57"/>
      <c r="L61" s="96"/>
      <c r="M61" s="96"/>
      <c r="N61" s="55"/>
      <c r="O61" s="10"/>
      <c r="P61" s="57"/>
      <c r="Q61" s="130"/>
    </row>
    <row r="62" spans="1:19" s="53" customFormat="1" ht="12.75" customHeight="1" x14ac:dyDescent="0.2">
      <c r="A62" s="109" t="s">
        <v>41</v>
      </c>
      <c r="B62" s="110"/>
      <c r="C62" s="111">
        <f>COUNTA(A44:A60)</f>
        <v>17</v>
      </c>
      <c r="D62" s="131">
        <f t="shared" ref="D62:Q62" si="30">SUM(D44:D60)</f>
        <v>1736</v>
      </c>
      <c r="E62" s="131">
        <f t="shared" si="30"/>
        <v>2527</v>
      </c>
      <c r="F62" s="132">
        <f t="shared" si="30"/>
        <v>560.99400000000003</v>
      </c>
      <c r="G62" s="132">
        <f t="shared" si="30"/>
        <v>360</v>
      </c>
      <c r="H62" s="132">
        <f t="shared" si="30"/>
        <v>0</v>
      </c>
      <c r="I62" s="132">
        <f t="shared" si="30"/>
        <v>0</v>
      </c>
      <c r="J62" s="132">
        <f t="shared" si="30"/>
        <v>0</v>
      </c>
      <c r="K62" s="132">
        <f t="shared" si="30"/>
        <v>315</v>
      </c>
      <c r="L62" s="132">
        <f t="shared" si="30"/>
        <v>0</v>
      </c>
      <c r="M62" s="132">
        <f t="shared" si="30"/>
        <v>0</v>
      </c>
      <c r="N62" s="132">
        <f t="shared" si="30"/>
        <v>0</v>
      </c>
      <c r="O62" s="132">
        <f t="shared" si="30"/>
        <v>0</v>
      </c>
      <c r="P62" s="132">
        <f t="shared" si="30"/>
        <v>392</v>
      </c>
      <c r="Q62" s="132">
        <f t="shared" si="30"/>
        <v>392</v>
      </c>
    </row>
    <row r="63" spans="1:19" ht="18.75" customHeight="1" x14ac:dyDescent="0.2">
      <c r="A63" s="133" t="s">
        <v>47</v>
      </c>
      <c r="B63" s="67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5"/>
      <c r="N63" s="135"/>
      <c r="O63" s="135"/>
      <c r="P63" s="136"/>
      <c r="Q63" s="137"/>
    </row>
    <row r="64" spans="1:19" ht="12.75" customHeight="1" x14ac:dyDescent="0.2">
      <c r="A64" s="75"/>
      <c r="B64" s="76"/>
      <c r="C64" s="118"/>
      <c r="D64" s="78"/>
      <c r="E64" s="78"/>
      <c r="F64" s="79"/>
      <c r="G64" s="78"/>
      <c r="H64" s="78"/>
      <c r="I64" s="78"/>
      <c r="J64" s="78"/>
      <c r="K64" s="78"/>
      <c r="L64" s="121"/>
      <c r="M64" s="81"/>
      <c r="N64" s="82"/>
      <c r="O64" s="82"/>
      <c r="P64" s="83" t="s">
        <v>43</v>
      </c>
      <c r="Q64" s="84">
        <f>Q62</f>
        <v>392</v>
      </c>
    </row>
    <row r="65" spans="1:17" ht="12.75" customHeight="1" x14ac:dyDescent="0.2">
      <c r="A65" s="138"/>
      <c r="B65" s="86"/>
      <c r="C65" s="87"/>
      <c r="D65" s="88"/>
      <c r="E65" s="88"/>
      <c r="F65" s="89"/>
      <c r="G65" s="88"/>
      <c r="H65" s="88"/>
      <c r="I65" s="88"/>
      <c r="J65" s="88"/>
      <c r="K65" s="88"/>
      <c r="L65" s="89"/>
      <c r="M65" s="81"/>
      <c r="N65" s="82"/>
      <c r="O65" s="82"/>
      <c r="P65" s="81"/>
      <c r="Q65" s="139"/>
    </row>
    <row r="66" spans="1:17" ht="12.75" customHeight="1" x14ac:dyDescent="0.2">
      <c r="A66" s="90"/>
      <c r="B66" s="91" t="s">
        <v>49</v>
      </c>
      <c r="C66" s="92"/>
      <c r="D66" s="46"/>
      <c r="E66" s="46"/>
      <c r="G66" s="46"/>
      <c r="H66" s="46"/>
      <c r="I66" s="93"/>
      <c r="J66" s="93"/>
      <c r="K66" s="46"/>
      <c r="M66" s="46"/>
      <c r="P66" s="94"/>
    </row>
    <row r="67" spans="1:17" ht="12.75" customHeight="1" x14ac:dyDescent="0.2">
      <c r="A67" s="90"/>
      <c r="B67" s="95"/>
      <c r="C67" s="96"/>
      <c r="D67" s="97"/>
      <c r="E67" s="97"/>
      <c r="G67" s="98"/>
      <c r="H67" s="46"/>
      <c r="I67" s="93"/>
      <c r="J67" s="93"/>
      <c r="K67" s="98"/>
      <c r="M67" s="46"/>
      <c r="P67" s="94"/>
      <c r="Q67" s="99"/>
    </row>
    <row r="68" spans="1:17" ht="12.75" customHeight="1" x14ac:dyDescent="0.2">
      <c r="A68" s="140"/>
      <c r="B68" s="141"/>
      <c r="C68" s="142"/>
      <c r="D68" s="46"/>
      <c r="E68" s="46"/>
      <c r="F68" s="47"/>
      <c r="G68" s="125"/>
      <c r="H68" s="48"/>
      <c r="I68" s="100"/>
      <c r="J68" s="100"/>
      <c r="K68" s="125"/>
      <c r="L68" s="49"/>
      <c r="M68" s="48"/>
      <c r="N68" s="49"/>
      <c r="O68" s="49"/>
      <c r="P68" s="50"/>
      <c r="Q68" s="126"/>
    </row>
    <row r="69" spans="1:17" ht="12.75" customHeight="1" x14ac:dyDescent="0.2">
      <c r="A69" s="1">
        <v>22101</v>
      </c>
      <c r="B69" s="52">
        <v>14</v>
      </c>
      <c r="C69" s="57" t="s">
        <v>50</v>
      </c>
      <c r="D69" s="53">
        <v>68</v>
      </c>
      <c r="E69" s="53">
        <v>89</v>
      </c>
      <c r="F69" s="10">
        <f t="shared" ref="F69:F83" si="31">E69*0.666*24/72</f>
        <v>19.757999999999999</v>
      </c>
      <c r="G69" s="94">
        <v>13</v>
      </c>
      <c r="H69" s="94">
        <v>0</v>
      </c>
      <c r="I69" s="54">
        <v>0</v>
      </c>
      <c r="J69" s="54">
        <v>0</v>
      </c>
      <c r="K69" s="94">
        <v>13</v>
      </c>
      <c r="L69" s="10">
        <v>0</v>
      </c>
      <c r="M69" s="94"/>
      <c r="N69" s="10">
        <f t="shared" ref="N69:N77" si="32">ROUND((+F69*M69)/100,0)</f>
        <v>0</v>
      </c>
      <c r="O69" s="10">
        <f t="shared" ref="O69:O77" si="33">IF(L69&gt;N69,+L69-N69,0)</f>
        <v>0</v>
      </c>
      <c r="P69" s="94">
        <v>14</v>
      </c>
      <c r="Q69" s="143">
        <f t="shared" ref="Q69:Q77" si="34">+P69</f>
        <v>14</v>
      </c>
    </row>
    <row r="70" spans="1:17" ht="12.75" customHeight="1" x14ac:dyDescent="0.2">
      <c r="A70" s="1">
        <v>39114</v>
      </c>
      <c r="B70" s="52">
        <v>8</v>
      </c>
      <c r="C70" s="57" t="s">
        <v>51</v>
      </c>
      <c r="D70" s="53">
        <v>70</v>
      </c>
      <c r="E70" s="53">
        <v>92</v>
      </c>
      <c r="F70" s="10">
        <f t="shared" si="31"/>
        <v>20.424000000000003</v>
      </c>
      <c r="G70" s="94">
        <v>6</v>
      </c>
      <c r="H70" s="94">
        <v>0</v>
      </c>
      <c r="I70" s="54">
        <v>0</v>
      </c>
      <c r="J70" s="54">
        <v>0</v>
      </c>
      <c r="K70" s="94">
        <v>5</v>
      </c>
      <c r="L70" s="10">
        <v>0</v>
      </c>
      <c r="M70" s="94"/>
      <c r="N70" s="10">
        <f t="shared" si="32"/>
        <v>0</v>
      </c>
      <c r="O70" s="10">
        <f t="shared" si="33"/>
        <v>0</v>
      </c>
      <c r="P70" s="94">
        <v>17</v>
      </c>
      <c r="Q70" s="143">
        <f t="shared" si="34"/>
        <v>17</v>
      </c>
    </row>
    <row r="71" spans="1:17" ht="12.75" customHeight="1" x14ac:dyDescent="0.2">
      <c r="A71" s="1">
        <v>39115</v>
      </c>
      <c r="B71" s="52">
        <v>108</v>
      </c>
      <c r="C71" s="57" t="s">
        <v>280</v>
      </c>
      <c r="D71" s="53">
        <v>76</v>
      </c>
      <c r="E71" s="53">
        <v>101</v>
      </c>
      <c r="F71" s="10">
        <f t="shared" si="31"/>
        <v>22.422000000000001</v>
      </c>
      <c r="G71" s="94">
        <v>14</v>
      </c>
      <c r="H71" s="94">
        <v>0</v>
      </c>
      <c r="I71" s="54">
        <v>0</v>
      </c>
      <c r="J71" s="54">
        <v>0</v>
      </c>
      <c r="K71" s="94">
        <v>14</v>
      </c>
      <c r="L71" s="10">
        <v>0</v>
      </c>
      <c r="M71" s="94"/>
      <c r="N71" s="10">
        <f>ROUND((+F71*M71)/100,0)</f>
        <v>0</v>
      </c>
      <c r="O71" s="10">
        <f>IF(L71&gt;N71,+L71-N71,0)</f>
        <v>0</v>
      </c>
      <c r="P71" s="94">
        <v>15</v>
      </c>
      <c r="Q71" s="143">
        <f t="shared" si="34"/>
        <v>15</v>
      </c>
    </row>
    <row r="72" spans="1:17" ht="12.75" customHeight="1" x14ac:dyDescent="0.2">
      <c r="A72" s="1">
        <v>120439</v>
      </c>
      <c r="B72" s="52">
        <v>85</v>
      </c>
      <c r="C72" s="57" t="s">
        <v>247</v>
      </c>
      <c r="D72" s="53">
        <v>296</v>
      </c>
      <c r="E72" s="53">
        <v>457</v>
      </c>
      <c r="F72" s="10">
        <f t="shared" si="31"/>
        <v>101.45400000000001</v>
      </c>
      <c r="G72" s="94">
        <v>60</v>
      </c>
      <c r="H72" s="94">
        <v>0</v>
      </c>
      <c r="I72" s="54">
        <v>0</v>
      </c>
      <c r="J72" s="54">
        <v>0</v>
      </c>
      <c r="K72" s="94">
        <v>55</v>
      </c>
      <c r="L72" s="10">
        <v>0</v>
      </c>
      <c r="M72" s="94"/>
      <c r="N72" s="10">
        <f t="shared" si="32"/>
        <v>0</v>
      </c>
      <c r="O72" s="10">
        <f t="shared" si="33"/>
        <v>0</v>
      </c>
      <c r="P72" s="94">
        <v>50</v>
      </c>
      <c r="Q72" s="143">
        <f t="shared" si="34"/>
        <v>50</v>
      </c>
    </row>
    <row r="73" spans="1:17" ht="12.75" customHeight="1" x14ac:dyDescent="0.2">
      <c r="A73" s="1">
        <v>120448</v>
      </c>
      <c r="B73" s="52">
        <v>21</v>
      </c>
      <c r="C73" s="57" t="s">
        <v>52</v>
      </c>
      <c r="D73" s="53">
        <v>246</v>
      </c>
      <c r="E73" s="53">
        <v>385</v>
      </c>
      <c r="F73" s="10">
        <f t="shared" si="31"/>
        <v>85.47</v>
      </c>
      <c r="G73" s="94">
        <v>72</v>
      </c>
      <c r="H73" s="94">
        <v>0</v>
      </c>
      <c r="I73" s="54">
        <v>0</v>
      </c>
      <c r="J73" s="54">
        <v>0</v>
      </c>
      <c r="K73" s="94">
        <v>72</v>
      </c>
      <c r="L73" s="10">
        <v>0</v>
      </c>
      <c r="M73" s="94"/>
      <c r="N73" s="10">
        <f t="shared" si="32"/>
        <v>0</v>
      </c>
      <c r="O73" s="10">
        <f t="shared" si="33"/>
        <v>0</v>
      </c>
      <c r="P73" s="94">
        <v>74</v>
      </c>
      <c r="Q73" s="143">
        <f t="shared" si="34"/>
        <v>74</v>
      </c>
    </row>
    <row r="74" spans="1:17" ht="12.75" customHeight="1" x14ac:dyDescent="0.2">
      <c r="A74" s="1">
        <v>120458</v>
      </c>
      <c r="B74" s="52">
        <v>31</v>
      </c>
      <c r="C74" s="57" t="s">
        <v>53</v>
      </c>
      <c r="D74" s="53">
        <v>76</v>
      </c>
      <c r="E74" s="53">
        <v>118</v>
      </c>
      <c r="F74" s="10">
        <f t="shared" si="31"/>
        <v>26.196000000000002</v>
      </c>
      <c r="G74" s="94">
        <v>24</v>
      </c>
      <c r="H74" s="94">
        <v>0</v>
      </c>
      <c r="I74" s="54">
        <v>0</v>
      </c>
      <c r="J74" s="54">
        <v>0</v>
      </c>
      <c r="K74" s="94">
        <v>24</v>
      </c>
      <c r="L74" s="10">
        <v>0</v>
      </c>
      <c r="M74" s="94"/>
      <c r="N74" s="10">
        <f t="shared" si="32"/>
        <v>0</v>
      </c>
      <c r="O74" s="10">
        <f t="shared" si="33"/>
        <v>0</v>
      </c>
      <c r="P74" s="94">
        <v>6</v>
      </c>
      <c r="Q74" s="143">
        <f t="shared" si="34"/>
        <v>6</v>
      </c>
    </row>
    <row r="75" spans="1:17" ht="12.75" customHeight="1" x14ac:dyDescent="0.2">
      <c r="A75" s="1">
        <v>165101</v>
      </c>
      <c r="B75" s="52">
        <v>11</v>
      </c>
      <c r="C75" s="57" t="s">
        <v>54</v>
      </c>
      <c r="D75" s="53">
        <v>45</v>
      </c>
      <c r="E75" s="53">
        <v>65</v>
      </c>
      <c r="F75" s="10">
        <f t="shared" si="31"/>
        <v>14.43</v>
      </c>
      <c r="G75" s="94">
        <v>8</v>
      </c>
      <c r="H75" s="94">
        <v>0</v>
      </c>
      <c r="I75" s="54">
        <v>0</v>
      </c>
      <c r="J75" s="54">
        <v>0</v>
      </c>
      <c r="K75" s="94">
        <v>10</v>
      </c>
      <c r="L75" s="10">
        <v>0</v>
      </c>
      <c r="M75" s="94"/>
      <c r="N75" s="10">
        <f t="shared" si="32"/>
        <v>0</v>
      </c>
      <c r="O75" s="10">
        <f t="shared" si="33"/>
        <v>0</v>
      </c>
      <c r="P75" s="94">
        <v>10</v>
      </c>
      <c r="Q75" s="143">
        <f t="shared" si="34"/>
        <v>10</v>
      </c>
    </row>
    <row r="76" spans="1:17" s="53" customFormat="1" ht="12.75" customHeight="1" x14ac:dyDescent="0.2">
      <c r="A76" s="1">
        <v>237101</v>
      </c>
      <c r="B76" s="52">
        <v>91</v>
      </c>
      <c r="C76" s="57" t="s">
        <v>55</v>
      </c>
      <c r="D76" s="53">
        <v>65</v>
      </c>
      <c r="E76" s="53">
        <v>104</v>
      </c>
      <c r="F76" s="10">
        <f t="shared" si="31"/>
        <v>23.088000000000005</v>
      </c>
      <c r="G76" s="94">
        <v>15</v>
      </c>
      <c r="H76" s="94">
        <v>0</v>
      </c>
      <c r="I76" s="54">
        <v>0</v>
      </c>
      <c r="J76" s="54">
        <v>0</v>
      </c>
      <c r="K76" s="94">
        <v>16</v>
      </c>
      <c r="L76" s="10">
        <v>0</v>
      </c>
      <c r="M76" s="94"/>
      <c r="N76" s="10">
        <f t="shared" si="32"/>
        <v>0</v>
      </c>
      <c r="O76" s="10">
        <f t="shared" si="33"/>
        <v>0</v>
      </c>
      <c r="P76" s="94">
        <v>20</v>
      </c>
      <c r="Q76" s="143">
        <f t="shared" si="34"/>
        <v>20</v>
      </c>
    </row>
    <row r="77" spans="1:17" s="53" customFormat="1" ht="12.75" customHeight="1" x14ac:dyDescent="0.2">
      <c r="A77" s="1">
        <v>340102</v>
      </c>
      <c r="B77" s="52">
        <v>23</v>
      </c>
      <c r="C77" s="57" t="s">
        <v>250</v>
      </c>
      <c r="D77" s="53">
        <v>76</v>
      </c>
      <c r="E77" s="53">
        <v>99</v>
      </c>
      <c r="F77" s="10">
        <f t="shared" si="31"/>
        <v>21.977999999999998</v>
      </c>
      <c r="G77" s="94">
        <v>18</v>
      </c>
      <c r="H77" s="94">
        <v>0</v>
      </c>
      <c r="I77" s="54">
        <v>0</v>
      </c>
      <c r="J77" s="54">
        <v>0</v>
      </c>
      <c r="K77" s="94">
        <v>18</v>
      </c>
      <c r="L77" s="10">
        <v>0</v>
      </c>
      <c r="M77" s="94"/>
      <c r="N77" s="10">
        <f t="shared" si="32"/>
        <v>0</v>
      </c>
      <c r="O77" s="10">
        <f t="shared" si="33"/>
        <v>0</v>
      </c>
      <c r="P77" s="94">
        <v>19</v>
      </c>
      <c r="Q77" s="143">
        <f t="shared" si="34"/>
        <v>19</v>
      </c>
    </row>
    <row r="78" spans="1:17" s="53" customFormat="1" ht="12.75" customHeight="1" x14ac:dyDescent="0.2">
      <c r="A78" s="312">
        <v>400103</v>
      </c>
      <c r="B78" s="313">
        <v>6</v>
      </c>
      <c r="C78" s="314" t="s">
        <v>382</v>
      </c>
      <c r="D78" s="53">
        <v>97</v>
      </c>
      <c r="E78" s="53">
        <v>107</v>
      </c>
      <c r="F78" s="10">
        <f t="shared" ref="F78" si="35">E78*0.666*24/72</f>
        <v>23.754000000000001</v>
      </c>
      <c r="G78" s="94">
        <v>0</v>
      </c>
      <c r="H78" s="94">
        <v>0</v>
      </c>
      <c r="I78" s="54">
        <v>0</v>
      </c>
      <c r="J78" s="54">
        <v>0</v>
      </c>
      <c r="K78" s="94">
        <v>0</v>
      </c>
      <c r="L78" s="10">
        <v>0</v>
      </c>
      <c r="M78" s="94"/>
      <c r="N78" s="10">
        <f t="shared" ref="N78" si="36">ROUND((+F78*M78)/100,0)</f>
        <v>0</v>
      </c>
      <c r="O78" s="10">
        <f t="shared" ref="O78" si="37">IF(L78&gt;N78,+L78-N78,0)</f>
        <v>0</v>
      </c>
      <c r="P78" s="94">
        <v>25</v>
      </c>
      <c r="Q78" s="143">
        <f t="shared" ref="Q78" si="38">+P78</f>
        <v>25</v>
      </c>
    </row>
    <row r="79" spans="1:17" s="53" customFormat="1" ht="12.75" customHeight="1" x14ac:dyDescent="0.2">
      <c r="A79" s="312">
        <v>459101</v>
      </c>
      <c r="B79" s="313">
        <v>24</v>
      </c>
      <c r="C79" s="314" t="s">
        <v>383</v>
      </c>
      <c r="D79" s="53">
        <v>71</v>
      </c>
      <c r="E79" s="53">
        <v>82</v>
      </c>
      <c r="F79" s="10">
        <f t="shared" ref="F79" si="39">E79*0.666*24/72</f>
        <v>18.204000000000001</v>
      </c>
      <c r="G79" s="94">
        <v>0</v>
      </c>
      <c r="H79" s="94">
        <v>0</v>
      </c>
      <c r="I79" s="54">
        <v>0</v>
      </c>
      <c r="J79" s="54">
        <v>0</v>
      </c>
      <c r="K79" s="94">
        <v>0</v>
      </c>
      <c r="L79" s="10">
        <v>0</v>
      </c>
      <c r="M79" s="94"/>
      <c r="N79" s="10">
        <f t="shared" ref="N79" si="40">ROUND((+F79*M79)/100,0)</f>
        <v>0</v>
      </c>
      <c r="O79" s="10">
        <f t="shared" ref="O79" si="41">IF(L79&gt;N79,+L79-N79,0)</f>
        <v>0</v>
      </c>
      <c r="P79" s="94">
        <v>23</v>
      </c>
      <c r="Q79" s="143">
        <f t="shared" ref="Q79" si="42">+P79</f>
        <v>23</v>
      </c>
    </row>
    <row r="80" spans="1:17" s="53" customFormat="1" ht="12.75" customHeight="1" x14ac:dyDescent="0.2">
      <c r="A80" s="1">
        <v>549102</v>
      </c>
      <c r="B80" s="52">
        <v>62</v>
      </c>
      <c r="C80" s="57" t="s">
        <v>316</v>
      </c>
      <c r="D80" s="53">
        <v>33</v>
      </c>
      <c r="E80" s="53">
        <v>50</v>
      </c>
      <c r="F80" s="10">
        <f t="shared" ref="F80:F82" si="43">E80*0.666*24/72</f>
        <v>11.100000000000001</v>
      </c>
      <c r="G80" s="94">
        <v>5</v>
      </c>
      <c r="H80" s="94">
        <v>0</v>
      </c>
      <c r="I80" s="54">
        <v>0</v>
      </c>
      <c r="J80" s="54">
        <v>0</v>
      </c>
      <c r="K80" s="94">
        <v>5</v>
      </c>
      <c r="L80" s="10">
        <v>0</v>
      </c>
      <c r="M80" s="94"/>
      <c r="N80" s="10">
        <f>ROUND((+F80*M80)/100,0)</f>
        <v>0</v>
      </c>
      <c r="O80" s="10">
        <f>IF(L80&gt;N80,+L80-N80,0)</f>
        <v>0</v>
      </c>
      <c r="P80" s="94">
        <v>5</v>
      </c>
      <c r="Q80" s="143">
        <f>+P80</f>
        <v>5</v>
      </c>
    </row>
    <row r="81" spans="1:17" s="53" customFormat="1" ht="12.75" customHeight="1" x14ac:dyDescent="0.2">
      <c r="A81" s="1">
        <v>549103</v>
      </c>
      <c r="B81" s="52">
        <v>94</v>
      </c>
      <c r="C81" s="57" t="s">
        <v>355</v>
      </c>
      <c r="D81" s="53">
        <v>64</v>
      </c>
      <c r="E81" s="53">
        <v>91</v>
      </c>
      <c r="F81" s="10">
        <f t="shared" si="43"/>
        <v>20.202000000000002</v>
      </c>
      <c r="G81" s="94">
        <v>19</v>
      </c>
      <c r="H81" s="94">
        <v>0</v>
      </c>
      <c r="I81" s="54">
        <v>0</v>
      </c>
      <c r="J81" s="54">
        <v>0</v>
      </c>
      <c r="K81" s="94">
        <v>19</v>
      </c>
      <c r="L81" s="10">
        <v>0</v>
      </c>
      <c r="M81" s="94"/>
      <c r="N81" s="10">
        <f>ROUND((+F81*M81)/100,0)</f>
        <v>0</v>
      </c>
      <c r="O81" s="10">
        <f>IF(L81&gt;N81,+L81-N81,0)</f>
        <v>0</v>
      </c>
      <c r="P81" s="94">
        <v>18</v>
      </c>
      <c r="Q81" s="143">
        <f>+P81</f>
        <v>18</v>
      </c>
    </row>
    <row r="82" spans="1:17" s="53" customFormat="1" ht="12.75" customHeight="1" x14ac:dyDescent="0.2">
      <c r="A82" s="1">
        <v>549104</v>
      </c>
      <c r="B82" s="52">
        <v>23</v>
      </c>
      <c r="C82" s="57" t="s">
        <v>361</v>
      </c>
      <c r="D82" s="53">
        <v>59</v>
      </c>
      <c r="E82" s="53">
        <v>113</v>
      </c>
      <c r="F82" s="10">
        <f t="shared" si="43"/>
        <v>25.086000000000002</v>
      </c>
      <c r="G82" s="94">
        <v>18</v>
      </c>
      <c r="H82" s="94">
        <v>0</v>
      </c>
      <c r="I82" s="54">
        <v>0</v>
      </c>
      <c r="J82" s="54">
        <v>0</v>
      </c>
      <c r="K82" s="94">
        <v>10</v>
      </c>
      <c r="L82" s="10">
        <v>0</v>
      </c>
      <c r="M82" s="94"/>
      <c r="N82" s="10">
        <f>ROUND((+F82*M82)/100,0)</f>
        <v>0</v>
      </c>
      <c r="O82" s="10">
        <f>IF(L82&gt;N82,+L82-N82,0)</f>
        <v>0</v>
      </c>
      <c r="P82" s="94">
        <v>10</v>
      </c>
      <c r="Q82" s="143">
        <f>+P82</f>
        <v>10</v>
      </c>
    </row>
    <row r="83" spans="1:17" s="53" customFormat="1" ht="12.75" customHeight="1" x14ac:dyDescent="0.2">
      <c r="A83" s="1">
        <v>549105</v>
      </c>
      <c r="B83" s="52">
        <v>118</v>
      </c>
      <c r="C83" s="57" t="s">
        <v>365</v>
      </c>
      <c r="D83" s="53">
        <v>85</v>
      </c>
      <c r="E83" s="53">
        <v>130</v>
      </c>
      <c r="F83" s="10">
        <f t="shared" si="31"/>
        <v>28.86</v>
      </c>
      <c r="G83" s="94">
        <v>22</v>
      </c>
      <c r="H83" s="94">
        <v>0</v>
      </c>
      <c r="I83" s="54">
        <v>0</v>
      </c>
      <c r="J83" s="54">
        <v>0</v>
      </c>
      <c r="K83" s="94">
        <v>22</v>
      </c>
      <c r="L83" s="10">
        <v>0</v>
      </c>
      <c r="M83" s="94"/>
      <c r="N83" s="10">
        <f>ROUND((+F83*M83)/100,0)</f>
        <v>0</v>
      </c>
      <c r="O83" s="10">
        <f>IF(L83&gt;N83,+L83-N83,0)</f>
        <v>0</v>
      </c>
      <c r="P83" s="94">
        <v>22</v>
      </c>
      <c r="Q83" s="143">
        <f>+P83</f>
        <v>22</v>
      </c>
    </row>
    <row r="84" spans="1:17" ht="12.75" customHeight="1" x14ac:dyDescent="0.2">
      <c r="A84" s="101"/>
      <c r="B84" s="102"/>
      <c r="C84" s="103"/>
      <c r="D84" s="97"/>
      <c r="E84" s="97"/>
      <c r="F84" s="120"/>
      <c r="G84" s="63"/>
      <c r="H84" s="97"/>
      <c r="I84" s="97"/>
      <c r="J84" s="97"/>
      <c r="K84" s="63"/>
      <c r="L84" s="42"/>
      <c r="M84" s="97"/>
      <c r="N84" s="42"/>
      <c r="P84" s="63"/>
      <c r="Q84" s="144"/>
    </row>
    <row r="85" spans="1:17" ht="12.75" customHeight="1" x14ac:dyDescent="0.2">
      <c r="A85" s="109" t="s">
        <v>41</v>
      </c>
      <c r="B85" s="110"/>
      <c r="C85" s="111">
        <f>COUNTA(A69:A83)</f>
        <v>15</v>
      </c>
      <c r="D85" s="131">
        <f t="shared" ref="D85:Q85" si="44">SUM(D69:D83)</f>
        <v>1427</v>
      </c>
      <c r="E85" s="131">
        <f t="shared" si="44"/>
        <v>2083</v>
      </c>
      <c r="F85" s="132">
        <f t="shared" si="44"/>
        <v>462.4260000000001</v>
      </c>
      <c r="G85" s="132">
        <f t="shared" si="44"/>
        <v>294</v>
      </c>
      <c r="H85" s="132">
        <f t="shared" si="44"/>
        <v>0</v>
      </c>
      <c r="I85" s="132">
        <f t="shared" si="44"/>
        <v>0</v>
      </c>
      <c r="J85" s="132">
        <f t="shared" si="44"/>
        <v>0</v>
      </c>
      <c r="K85" s="132">
        <f t="shared" si="44"/>
        <v>283</v>
      </c>
      <c r="L85" s="132">
        <f t="shared" si="44"/>
        <v>0</v>
      </c>
      <c r="M85" s="132">
        <f t="shared" si="44"/>
        <v>0</v>
      </c>
      <c r="N85" s="132">
        <f t="shared" si="44"/>
        <v>0</v>
      </c>
      <c r="O85" s="132">
        <f t="shared" si="44"/>
        <v>0</v>
      </c>
      <c r="P85" s="132">
        <f t="shared" si="44"/>
        <v>328</v>
      </c>
      <c r="Q85" s="132">
        <f t="shared" si="44"/>
        <v>328</v>
      </c>
    </row>
    <row r="86" spans="1:17" ht="18.75" customHeight="1" x14ac:dyDescent="0.2">
      <c r="A86" s="133" t="s">
        <v>387</v>
      </c>
      <c r="B86" s="67"/>
      <c r="C86" s="68"/>
      <c r="D86" s="69"/>
      <c r="E86" s="69"/>
      <c r="F86" s="70"/>
      <c r="G86" s="69"/>
      <c r="H86" s="69"/>
      <c r="I86" s="69"/>
      <c r="J86" s="69"/>
      <c r="K86" s="69"/>
      <c r="L86" s="70"/>
      <c r="M86" s="114"/>
      <c r="N86" s="72"/>
      <c r="O86" s="72"/>
      <c r="P86" s="73"/>
      <c r="Q86" s="115"/>
    </row>
    <row r="87" spans="1:17" ht="12.75" customHeight="1" x14ac:dyDescent="0.2">
      <c r="A87" s="101"/>
      <c r="B87" s="117"/>
      <c r="C87" s="118"/>
      <c r="D87" s="119"/>
      <c r="E87" s="119"/>
      <c r="F87" s="120"/>
      <c r="G87" s="119"/>
      <c r="H87" s="119"/>
      <c r="I87" s="119"/>
      <c r="J87" s="119"/>
      <c r="K87" s="119"/>
      <c r="L87" s="121"/>
      <c r="M87" s="88"/>
      <c r="N87" s="89"/>
      <c r="O87" s="89"/>
      <c r="P87" s="83" t="s">
        <v>43</v>
      </c>
      <c r="Q87" s="122">
        <f>Q85</f>
        <v>328</v>
      </c>
    </row>
    <row r="88" spans="1:17" ht="12.75" customHeight="1" x14ac:dyDescent="0.2">
      <c r="A88" s="123"/>
      <c r="B88" s="86"/>
      <c r="C88" s="87"/>
      <c r="D88" s="88" t="s">
        <v>0</v>
      </c>
      <c r="E88" s="88"/>
      <c r="F88" s="89"/>
      <c r="G88" s="88"/>
      <c r="H88" s="88"/>
      <c r="I88" s="88"/>
      <c r="J88" s="88"/>
      <c r="K88" s="88"/>
      <c r="L88" s="89"/>
      <c r="M88" s="88"/>
      <c r="N88" s="89"/>
      <c r="O88" s="89"/>
      <c r="P88" s="81"/>
      <c r="Q88" s="9"/>
    </row>
    <row r="89" spans="1:17" ht="12.75" customHeight="1" x14ac:dyDescent="0.2">
      <c r="A89" s="90"/>
      <c r="B89" s="91" t="s">
        <v>56</v>
      </c>
      <c r="C89" s="92"/>
      <c r="D89" s="46"/>
      <c r="E89" s="46"/>
      <c r="G89" s="98"/>
      <c r="H89" s="46"/>
      <c r="I89" s="93"/>
      <c r="J89" s="93"/>
      <c r="K89" s="98"/>
      <c r="M89" s="46"/>
      <c r="P89" s="94"/>
      <c r="Q89" s="99"/>
    </row>
    <row r="90" spans="1:17" s="53" customFormat="1" ht="12.75" customHeight="1" x14ac:dyDescent="0.2">
      <c r="A90" s="90"/>
      <c r="B90" s="95"/>
      <c r="C90" s="96"/>
      <c r="D90" s="46"/>
      <c r="E90" s="46"/>
      <c r="F90" s="9"/>
      <c r="G90" s="46"/>
      <c r="H90" s="46"/>
      <c r="I90" s="46"/>
      <c r="J90" s="46"/>
      <c r="K90" s="46"/>
      <c r="L90" s="8"/>
      <c r="M90" s="46"/>
      <c r="N90" s="8"/>
      <c r="O90" s="8"/>
      <c r="P90" s="94"/>
      <c r="Q90" s="8"/>
    </row>
    <row r="91" spans="1:17" s="53" customFormat="1" ht="12.75" customHeight="1" x14ac:dyDescent="0.2">
      <c r="A91" s="43"/>
      <c r="B91" s="44"/>
      <c r="C91" s="45"/>
      <c r="D91" s="48"/>
      <c r="E91" s="48"/>
      <c r="F91" s="47"/>
      <c r="G91" s="48"/>
      <c r="H91" s="48"/>
      <c r="I91" s="48"/>
      <c r="J91" s="48"/>
      <c r="K91" s="48"/>
      <c r="L91" s="49"/>
      <c r="M91" s="48"/>
      <c r="N91" s="49"/>
      <c r="O91" s="49"/>
      <c r="P91" s="50"/>
      <c r="Q91" s="51"/>
    </row>
    <row r="92" spans="1:17" ht="12.75" customHeight="1" x14ac:dyDescent="0.2">
      <c r="A92" s="1">
        <v>55101</v>
      </c>
      <c r="B92" s="52">
        <v>17</v>
      </c>
      <c r="C92" s="53" t="s">
        <v>57</v>
      </c>
      <c r="D92" s="53">
        <v>155</v>
      </c>
      <c r="E92" s="53">
        <v>227</v>
      </c>
      <c r="F92" s="10">
        <v>50</v>
      </c>
      <c r="G92" s="94">
        <v>37</v>
      </c>
      <c r="H92" s="94">
        <v>0</v>
      </c>
      <c r="I92" s="94">
        <v>0</v>
      </c>
      <c r="J92" s="94">
        <v>0</v>
      </c>
      <c r="K92" s="94">
        <v>37</v>
      </c>
      <c r="L92" s="10">
        <v>0</v>
      </c>
      <c r="M92" s="94">
        <v>0</v>
      </c>
      <c r="N92" s="10">
        <v>0</v>
      </c>
      <c r="O92" s="10">
        <v>0</v>
      </c>
      <c r="P92" s="94">
        <v>37</v>
      </c>
      <c r="Q92" s="145">
        <f>P92</f>
        <v>37</v>
      </c>
    </row>
    <row r="93" spans="1:17" ht="12.75" customHeight="1" x14ac:dyDescent="0.2">
      <c r="A93" s="1">
        <v>55102</v>
      </c>
      <c r="B93" s="52">
        <v>95</v>
      </c>
      <c r="C93" s="53" t="s">
        <v>340</v>
      </c>
      <c r="D93" s="53">
        <v>51</v>
      </c>
      <c r="E93" s="53">
        <v>79</v>
      </c>
      <c r="F93" s="10">
        <v>50</v>
      </c>
      <c r="G93" s="94">
        <v>6</v>
      </c>
      <c r="H93" s="94">
        <v>0</v>
      </c>
      <c r="I93" s="94">
        <v>0</v>
      </c>
      <c r="J93" s="94">
        <v>0</v>
      </c>
      <c r="K93" s="94">
        <v>5</v>
      </c>
      <c r="L93" s="10">
        <v>0</v>
      </c>
      <c r="M93" s="94">
        <v>0</v>
      </c>
      <c r="N93" s="10">
        <v>0</v>
      </c>
      <c r="O93" s="10">
        <v>0</v>
      </c>
      <c r="P93" s="94">
        <v>5</v>
      </c>
      <c r="Q93" s="145">
        <f t="shared" ref="Q93:Q94" si="45">P93</f>
        <v>5</v>
      </c>
    </row>
    <row r="94" spans="1:17" ht="12.75" customHeight="1" x14ac:dyDescent="0.2">
      <c r="A94" s="1">
        <v>290102</v>
      </c>
      <c r="B94" s="52">
        <v>75</v>
      </c>
      <c r="C94" s="53" t="s">
        <v>341</v>
      </c>
      <c r="D94" s="53">
        <v>79</v>
      </c>
      <c r="E94" s="53">
        <v>111</v>
      </c>
      <c r="F94" s="10">
        <v>50</v>
      </c>
      <c r="G94" s="94">
        <v>9</v>
      </c>
      <c r="H94" s="94">
        <v>0</v>
      </c>
      <c r="I94" s="94">
        <v>0</v>
      </c>
      <c r="J94" s="94">
        <v>0</v>
      </c>
      <c r="K94" s="94">
        <v>12</v>
      </c>
      <c r="L94" s="10">
        <v>0</v>
      </c>
      <c r="M94" s="94">
        <v>0</v>
      </c>
      <c r="N94" s="10">
        <v>0</v>
      </c>
      <c r="O94" s="10">
        <v>0</v>
      </c>
      <c r="P94" s="94">
        <v>10</v>
      </c>
      <c r="Q94" s="145">
        <f t="shared" si="45"/>
        <v>10</v>
      </c>
    </row>
    <row r="95" spans="1:17" ht="12.75" customHeight="1" x14ac:dyDescent="0.2">
      <c r="A95" s="101"/>
      <c r="B95" s="102"/>
      <c r="C95" s="103"/>
      <c r="D95" s="97"/>
      <c r="E95" s="97"/>
      <c r="F95" s="120"/>
      <c r="G95" s="97"/>
      <c r="H95" s="97"/>
      <c r="I95" s="146"/>
      <c r="J95" s="146"/>
      <c r="K95" s="63"/>
      <c r="L95" s="42"/>
      <c r="M95" s="97"/>
      <c r="N95" s="42"/>
      <c r="P95" s="63"/>
      <c r="Q95" s="121"/>
    </row>
    <row r="96" spans="1:17" ht="12.75" customHeight="1" x14ac:dyDescent="0.2">
      <c r="A96" s="109" t="s">
        <v>41</v>
      </c>
      <c r="B96" s="110"/>
      <c r="C96" s="132">
        <f>COUNTA(A92:A94)</f>
        <v>3</v>
      </c>
      <c r="D96" s="132">
        <f t="shared" ref="D96:N96" si="46">SUM(D92:D94)</f>
        <v>285</v>
      </c>
      <c r="E96" s="132">
        <f t="shared" si="46"/>
        <v>417</v>
      </c>
      <c r="F96" s="132">
        <f t="shared" si="46"/>
        <v>150</v>
      </c>
      <c r="G96" s="132">
        <f t="shared" si="46"/>
        <v>52</v>
      </c>
      <c r="H96" s="132">
        <f t="shared" si="46"/>
        <v>0</v>
      </c>
      <c r="I96" s="132">
        <f t="shared" si="46"/>
        <v>0</v>
      </c>
      <c r="J96" s="132">
        <f t="shared" si="46"/>
        <v>0</v>
      </c>
      <c r="K96" s="132">
        <f t="shared" si="46"/>
        <v>54</v>
      </c>
      <c r="L96" s="132">
        <f t="shared" si="46"/>
        <v>0</v>
      </c>
      <c r="M96" s="132">
        <f t="shared" si="46"/>
        <v>0</v>
      </c>
      <c r="N96" s="132">
        <f t="shared" si="46"/>
        <v>0</v>
      </c>
      <c r="O96" s="132">
        <f>SUM(O92:O94)</f>
        <v>0</v>
      </c>
      <c r="P96" s="132">
        <f>SUM(P92:P94)</f>
        <v>52</v>
      </c>
      <c r="Q96" s="132">
        <f>SUM(Q92:Q94)</f>
        <v>52</v>
      </c>
    </row>
    <row r="97" spans="1:17" ht="12.75" customHeight="1" x14ac:dyDescent="0.2">
      <c r="A97" s="133" t="s">
        <v>47</v>
      </c>
      <c r="B97" s="67"/>
      <c r="C97" s="68"/>
      <c r="D97" s="69"/>
      <c r="E97" s="69"/>
      <c r="F97" s="70"/>
      <c r="G97" s="69"/>
      <c r="H97" s="69"/>
      <c r="I97" s="69"/>
      <c r="J97" s="69"/>
      <c r="K97" s="69"/>
      <c r="L97" s="70"/>
      <c r="M97" s="114"/>
      <c r="N97" s="72"/>
      <c r="O97" s="72"/>
      <c r="P97" s="73"/>
      <c r="Q97" s="115"/>
    </row>
    <row r="98" spans="1:17" ht="12.75" customHeight="1" x14ac:dyDescent="0.2">
      <c r="A98" s="116"/>
      <c r="B98" s="117"/>
      <c r="C98" s="118"/>
      <c r="D98" s="119"/>
      <c r="E98" s="119"/>
      <c r="F98" s="120"/>
      <c r="G98" s="119"/>
      <c r="H98" s="119"/>
      <c r="I98" s="119"/>
      <c r="J98" s="119"/>
      <c r="K98" s="119"/>
      <c r="L98" s="121"/>
      <c r="M98" s="88"/>
      <c r="N98" s="89"/>
      <c r="O98" s="89"/>
      <c r="P98" s="83" t="s">
        <v>43</v>
      </c>
      <c r="Q98" s="122">
        <f>Q96</f>
        <v>52</v>
      </c>
    </row>
    <row r="99" spans="1:17" ht="12.75" customHeight="1" x14ac:dyDescent="0.2">
      <c r="A99" s="123"/>
      <c r="B99" s="86"/>
      <c r="C99" s="87"/>
      <c r="D99" s="88"/>
      <c r="E99" s="88"/>
      <c r="F99" s="89"/>
      <c r="G99" s="88"/>
      <c r="H99" s="88"/>
      <c r="I99" s="88"/>
      <c r="J99" s="88"/>
      <c r="K99" s="88"/>
      <c r="L99" s="89"/>
      <c r="M99" s="88"/>
      <c r="N99" s="89"/>
      <c r="O99" s="89"/>
      <c r="P99" s="81"/>
      <c r="Q99" s="9"/>
    </row>
    <row r="100" spans="1:17" ht="12.75" customHeight="1" x14ac:dyDescent="0.2">
      <c r="A100" s="90"/>
      <c r="B100" s="91" t="s">
        <v>58</v>
      </c>
      <c r="C100" s="147"/>
      <c r="D100" s="46"/>
      <c r="E100" s="46"/>
      <c r="G100" s="46"/>
      <c r="H100" s="46"/>
      <c r="I100" s="93"/>
      <c r="J100" s="93"/>
      <c r="K100" s="46"/>
      <c r="M100" s="46"/>
      <c r="P100" s="94"/>
    </row>
    <row r="101" spans="1:17" ht="12.75" customHeight="1" x14ac:dyDescent="0.2">
      <c r="A101" s="90"/>
      <c r="B101" s="95"/>
      <c r="C101" s="96"/>
      <c r="D101" s="97"/>
      <c r="E101" s="97"/>
      <c r="G101" s="46"/>
      <c r="H101" s="46"/>
      <c r="I101" s="93"/>
      <c r="J101" s="93"/>
      <c r="K101" s="46"/>
      <c r="M101" s="46"/>
      <c r="P101" s="94"/>
    </row>
    <row r="102" spans="1:17" ht="12.75" customHeight="1" x14ac:dyDescent="0.2">
      <c r="A102" s="140"/>
      <c r="B102" s="141"/>
      <c r="C102" s="142"/>
      <c r="D102" s="46"/>
      <c r="E102" s="46"/>
      <c r="F102" s="47"/>
      <c r="G102" s="48"/>
      <c r="H102" s="48"/>
      <c r="I102" s="100"/>
      <c r="J102" s="100"/>
      <c r="K102" s="48"/>
      <c r="L102" s="49"/>
      <c r="M102" s="48"/>
      <c r="N102" s="49"/>
      <c r="O102" s="49"/>
      <c r="P102" s="50"/>
      <c r="Q102" s="51"/>
    </row>
    <row r="103" spans="1:17" ht="12.75" customHeight="1" x14ac:dyDescent="0.2">
      <c r="A103" s="1">
        <v>100426</v>
      </c>
      <c r="B103" s="52">
        <v>69</v>
      </c>
      <c r="C103" s="57" t="s">
        <v>254</v>
      </c>
      <c r="D103" s="53">
        <v>408</v>
      </c>
      <c r="E103" s="53">
        <v>595</v>
      </c>
      <c r="F103" s="10">
        <f t="shared" ref="F103:F120" si="47">E103*0.666*24/72</f>
        <v>132.09000000000003</v>
      </c>
      <c r="G103" s="94">
        <v>80</v>
      </c>
      <c r="H103" s="94">
        <v>0</v>
      </c>
      <c r="I103" s="54">
        <v>0</v>
      </c>
      <c r="J103" s="54">
        <v>0</v>
      </c>
      <c r="K103" s="94">
        <v>86</v>
      </c>
      <c r="L103" s="10">
        <v>0</v>
      </c>
      <c r="M103" s="94"/>
      <c r="N103" s="10">
        <f t="shared" ref="N103:N120" si="48">ROUND((+F103*M103)/100,0)</f>
        <v>0</v>
      </c>
      <c r="O103" s="10">
        <f>IF(L103&gt;N103,+L103-N103,0)</f>
        <v>0</v>
      </c>
      <c r="P103" s="94">
        <v>89</v>
      </c>
      <c r="Q103" s="143">
        <f t="shared" ref="Q103:Q120" si="49">+P103</f>
        <v>89</v>
      </c>
    </row>
    <row r="104" spans="1:17" ht="12.75" customHeight="1" x14ac:dyDescent="0.2">
      <c r="A104" s="1">
        <v>120532</v>
      </c>
      <c r="B104" s="52">
        <v>30</v>
      </c>
      <c r="C104" s="57" t="s">
        <v>259</v>
      </c>
      <c r="D104" s="53">
        <v>69</v>
      </c>
      <c r="E104" s="53">
        <v>96</v>
      </c>
      <c r="F104" s="10">
        <f t="shared" si="47"/>
        <v>21.312000000000001</v>
      </c>
      <c r="G104" s="94">
        <v>15</v>
      </c>
      <c r="H104" s="94">
        <v>0</v>
      </c>
      <c r="I104" s="54">
        <v>0</v>
      </c>
      <c r="J104" s="54">
        <v>0</v>
      </c>
      <c r="K104" s="94">
        <v>15</v>
      </c>
      <c r="L104" s="10">
        <v>0</v>
      </c>
      <c r="M104" s="94"/>
      <c r="N104" s="10">
        <f t="shared" si="48"/>
        <v>0</v>
      </c>
      <c r="O104" s="10">
        <f>IF(L104&gt;N104,+L104-N104,0)</f>
        <v>0</v>
      </c>
      <c r="P104" s="94">
        <v>15</v>
      </c>
      <c r="Q104" s="143">
        <f t="shared" si="49"/>
        <v>15</v>
      </c>
    </row>
    <row r="105" spans="1:17" ht="12.75" customHeight="1" x14ac:dyDescent="0.2">
      <c r="A105" s="1">
        <v>172101</v>
      </c>
      <c r="B105" s="52">
        <v>10</v>
      </c>
      <c r="C105" s="57" t="s">
        <v>262</v>
      </c>
      <c r="D105" s="53">
        <v>62</v>
      </c>
      <c r="E105" s="53">
        <v>76</v>
      </c>
      <c r="F105" s="10">
        <f t="shared" si="47"/>
        <v>16.872</v>
      </c>
      <c r="G105" s="94">
        <v>13</v>
      </c>
      <c r="H105" s="94">
        <v>0</v>
      </c>
      <c r="I105" s="54">
        <v>0</v>
      </c>
      <c r="J105" s="54">
        <v>0</v>
      </c>
      <c r="K105" s="94">
        <v>12</v>
      </c>
      <c r="L105" s="10">
        <v>0</v>
      </c>
      <c r="M105" s="94"/>
      <c r="N105" s="10">
        <f t="shared" si="48"/>
        <v>0</v>
      </c>
      <c r="O105" s="10">
        <f>IF(L105&gt;N105,+L105-N105,0)</f>
        <v>0</v>
      </c>
      <c r="P105" s="94">
        <v>12</v>
      </c>
      <c r="Q105" s="143">
        <f t="shared" si="49"/>
        <v>12</v>
      </c>
    </row>
    <row r="106" spans="1:17" ht="12.75" customHeight="1" x14ac:dyDescent="0.2">
      <c r="A106" s="1">
        <v>239101</v>
      </c>
      <c r="B106" s="52">
        <v>150</v>
      </c>
      <c r="C106" s="57" t="s">
        <v>264</v>
      </c>
      <c r="D106" s="53">
        <v>46</v>
      </c>
      <c r="E106" s="53">
        <v>66</v>
      </c>
      <c r="F106" s="10">
        <f t="shared" si="47"/>
        <v>14.651999999999999</v>
      </c>
      <c r="G106" s="94">
        <v>7</v>
      </c>
      <c r="H106" s="94">
        <v>0</v>
      </c>
      <c r="I106" s="54">
        <v>0</v>
      </c>
      <c r="J106" s="54">
        <v>0</v>
      </c>
      <c r="K106" s="94">
        <v>7</v>
      </c>
      <c r="L106" s="10">
        <v>0</v>
      </c>
      <c r="M106" s="94"/>
      <c r="N106" s="10">
        <f t="shared" si="48"/>
        <v>0</v>
      </c>
      <c r="O106" s="10">
        <f>IF(L106&gt;N106,+L106-N106,0)</f>
        <v>0</v>
      </c>
      <c r="P106" s="94">
        <v>6</v>
      </c>
      <c r="Q106" s="143">
        <f t="shared" si="49"/>
        <v>6</v>
      </c>
    </row>
    <row r="107" spans="1:17" ht="12.75" customHeight="1" x14ac:dyDescent="0.2">
      <c r="A107" s="1">
        <v>317102</v>
      </c>
      <c r="B107" s="52">
        <v>8</v>
      </c>
      <c r="C107" s="57" t="s">
        <v>265</v>
      </c>
      <c r="D107" s="53">
        <v>85</v>
      </c>
      <c r="E107" s="53">
        <v>146</v>
      </c>
      <c r="F107" s="10">
        <f t="shared" si="47"/>
        <v>32.412000000000006</v>
      </c>
      <c r="G107" s="94">
        <v>18</v>
      </c>
      <c r="H107" s="94">
        <v>0</v>
      </c>
      <c r="I107" s="54">
        <v>0</v>
      </c>
      <c r="J107" s="54">
        <v>0</v>
      </c>
      <c r="K107" s="94">
        <v>17</v>
      </c>
      <c r="L107" s="10">
        <v>0</v>
      </c>
      <c r="M107" s="94"/>
      <c r="N107" s="10">
        <f t="shared" si="48"/>
        <v>0</v>
      </c>
      <c r="O107" s="10">
        <f>IF(L107&gt;N107,+L107-N107,0)</f>
        <v>0</v>
      </c>
      <c r="P107" s="94">
        <v>18</v>
      </c>
      <c r="Q107" s="143">
        <f t="shared" si="49"/>
        <v>18</v>
      </c>
    </row>
    <row r="108" spans="1:17" ht="12.75" customHeight="1" x14ac:dyDescent="0.2">
      <c r="A108" s="1">
        <v>346102</v>
      </c>
      <c r="B108" s="52">
        <v>152</v>
      </c>
      <c r="C108" s="57" t="s">
        <v>268</v>
      </c>
      <c r="D108" s="53">
        <v>58</v>
      </c>
      <c r="E108" s="53">
        <v>66</v>
      </c>
      <c r="F108" s="10">
        <f t="shared" si="47"/>
        <v>14.651999999999999</v>
      </c>
      <c r="G108" s="94">
        <v>9</v>
      </c>
      <c r="H108" s="94">
        <v>0</v>
      </c>
      <c r="I108" s="54">
        <v>0</v>
      </c>
      <c r="J108" s="54">
        <v>0</v>
      </c>
      <c r="K108" s="94">
        <v>8</v>
      </c>
      <c r="L108" s="10">
        <v>0</v>
      </c>
      <c r="M108" s="94"/>
      <c r="N108" s="10">
        <f t="shared" si="48"/>
        <v>0</v>
      </c>
      <c r="O108" s="10">
        <v>0</v>
      </c>
      <c r="P108" s="94">
        <v>6</v>
      </c>
      <c r="Q108" s="143">
        <f t="shared" si="49"/>
        <v>6</v>
      </c>
    </row>
    <row r="109" spans="1:17" ht="12.75" customHeight="1" x14ac:dyDescent="0.2">
      <c r="A109" s="1">
        <v>379103</v>
      </c>
      <c r="B109" s="52">
        <v>15</v>
      </c>
      <c r="C109" s="57" t="s">
        <v>304</v>
      </c>
      <c r="D109" s="53">
        <v>81</v>
      </c>
      <c r="E109" s="53">
        <v>91</v>
      </c>
      <c r="F109" s="10">
        <f t="shared" si="47"/>
        <v>20.202000000000002</v>
      </c>
      <c r="G109" s="94">
        <v>5</v>
      </c>
      <c r="H109" s="94">
        <v>0</v>
      </c>
      <c r="I109" s="54">
        <v>0</v>
      </c>
      <c r="J109" s="54">
        <v>0</v>
      </c>
      <c r="K109" s="94">
        <v>5</v>
      </c>
      <c r="L109" s="10">
        <v>0</v>
      </c>
      <c r="M109" s="94"/>
      <c r="N109" s="10">
        <f>ROUND((+F109*M109)/100,0)</f>
        <v>0</v>
      </c>
      <c r="O109" s="10">
        <v>0</v>
      </c>
      <c r="P109" s="94">
        <v>6</v>
      </c>
      <c r="Q109" s="143">
        <f>+P109</f>
        <v>6</v>
      </c>
    </row>
    <row r="110" spans="1:17" ht="12.75" customHeight="1" x14ac:dyDescent="0.2">
      <c r="A110" s="1">
        <v>379104</v>
      </c>
      <c r="B110" s="52">
        <v>135</v>
      </c>
      <c r="C110" s="57" t="s">
        <v>305</v>
      </c>
      <c r="D110" s="53">
        <v>61</v>
      </c>
      <c r="E110" s="53">
        <v>74</v>
      </c>
      <c r="F110" s="10">
        <f t="shared" si="47"/>
        <v>16.428000000000004</v>
      </c>
      <c r="G110" s="94">
        <v>7</v>
      </c>
      <c r="H110" s="94">
        <v>0</v>
      </c>
      <c r="I110" s="54">
        <v>0</v>
      </c>
      <c r="J110" s="54">
        <v>0</v>
      </c>
      <c r="K110" s="94">
        <v>10</v>
      </c>
      <c r="L110" s="10">
        <v>0</v>
      </c>
      <c r="M110" s="94"/>
      <c r="N110" s="10">
        <f>ROUND((+F110*M110)/100,0)</f>
        <v>0</v>
      </c>
      <c r="O110" s="10">
        <v>0</v>
      </c>
      <c r="P110" s="94">
        <v>9</v>
      </c>
      <c r="Q110" s="143">
        <f>+P110</f>
        <v>9</v>
      </c>
    </row>
    <row r="111" spans="1:17" ht="12.75" customHeight="1" x14ac:dyDescent="0.2">
      <c r="A111" s="1">
        <v>397104</v>
      </c>
      <c r="B111" s="52">
        <v>142</v>
      </c>
      <c r="C111" s="57" t="s">
        <v>59</v>
      </c>
      <c r="D111" s="53">
        <v>260</v>
      </c>
      <c r="E111" s="53">
        <v>381</v>
      </c>
      <c r="F111" s="10">
        <f t="shared" si="47"/>
        <v>84.582000000000008</v>
      </c>
      <c r="G111" s="94">
        <v>50</v>
      </c>
      <c r="H111" s="94">
        <v>0</v>
      </c>
      <c r="I111" s="54">
        <v>0</v>
      </c>
      <c r="J111" s="54">
        <v>0</v>
      </c>
      <c r="K111" s="94">
        <v>37</v>
      </c>
      <c r="L111" s="10">
        <v>0</v>
      </c>
      <c r="M111" s="94"/>
      <c r="N111" s="10">
        <f t="shared" si="48"/>
        <v>0</v>
      </c>
      <c r="O111" s="10">
        <v>0</v>
      </c>
      <c r="P111" s="94">
        <v>60</v>
      </c>
      <c r="Q111" s="143">
        <f t="shared" si="49"/>
        <v>60</v>
      </c>
    </row>
    <row r="112" spans="1:17" ht="12.75" customHeight="1" x14ac:dyDescent="0.2">
      <c r="A112" s="1">
        <v>397105</v>
      </c>
      <c r="B112" s="52">
        <v>83</v>
      </c>
      <c r="C112" s="57" t="s">
        <v>60</v>
      </c>
      <c r="D112" s="53">
        <v>265</v>
      </c>
      <c r="E112" s="53">
        <v>375</v>
      </c>
      <c r="F112" s="10">
        <f t="shared" si="47"/>
        <v>83.25</v>
      </c>
      <c r="G112" s="94">
        <v>35</v>
      </c>
      <c r="H112" s="94">
        <v>0</v>
      </c>
      <c r="I112" s="54">
        <v>0</v>
      </c>
      <c r="J112" s="54">
        <v>0</v>
      </c>
      <c r="K112" s="94">
        <v>50</v>
      </c>
      <c r="L112" s="10">
        <v>0</v>
      </c>
      <c r="M112" s="94"/>
      <c r="N112" s="10">
        <f t="shared" si="48"/>
        <v>0</v>
      </c>
      <c r="O112" s="10">
        <f t="shared" ref="O112:O117" si="50">IF(L112&gt;N112,+L112-N112,0)</f>
        <v>0</v>
      </c>
      <c r="P112" s="94">
        <v>42</v>
      </c>
      <c r="Q112" s="143">
        <f t="shared" si="49"/>
        <v>42</v>
      </c>
    </row>
    <row r="113" spans="1:30" ht="12.75" customHeight="1" x14ac:dyDescent="0.2">
      <c r="A113" s="1">
        <v>397106</v>
      </c>
      <c r="B113" s="52">
        <v>153</v>
      </c>
      <c r="C113" s="57" t="s">
        <v>61</v>
      </c>
      <c r="D113" s="53">
        <v>164</v>
      </c>
      <c r="E113" s="53">
        <v>237</v>
      </c>
      <c r="F113" s="10">
        <f t="shared" si="47"/>
        <v>52.614000000000004</v>
      </c>
      <c r="G113" s="94">
        <v>16</v>
      </c>
      <c r="H113" s="94">
        <v>0</v>
      </c>
      <c r="I113" s="54">
        <v>0</v>
      </c>
      <c r="J113" s="54">
        <v>0</v>
      </c>
      <c r="K113" s="94">
        <v>34</v>
      </c>
      <c r="L113" s="10">
        <v>0</v>
      </c>
      <c r="M113" s="94"/>
      <c r="N113" s="10">
        <f t="shared" si="48"/>
        <v>0</v>
      </c>
      <c r="O113" s="10">
        <f t="shared" si="50"/>
        <v>0</v>
      </c>
      <c r="P113" s="94">
        <v>29</v>
      </c>
      <c r="Q113" s="143">
        <f t="shared" si="49"/>
        <v>29</v>
      </c>
    </row>
    <row r="114" spans="1:30" ht="12.75" customHeight="1" x14ac:dyDescent="0.2">
      <c r="A114" s="1">
        <v>397107</v>
      </c>
      <c r="B114" s="52">
        <v>167</v>
      </c>
      <c r="C114" s="57" t="s">
        <v>286</v>
      </c>
      <c r="D114" s="53">
        <v>48</v>
      </c>
      <c r="E114" s="53">
        <v>66</v>
      </c>
      <c r="F114" s="10">
        <f t="shared" si="47"/>
        <v>14.651999999999999</v>
      </c>
      <c r="G114" s="94">
        <v>5</v>
      </c>
      <c r="H114" s="94">
        <v>0</v>
      </c>
      <c r="I114" s="54">
        <v>0</v>
      </c>
      <c r="J114" s="54">
        <v>0</v>
      </c>
      <c r="K114" s="94">
        <v>7</v>
      </c>
      <c r="L114" s="10">
        <v>0</v>
      </c>
      <c r="M114" s="94"/>
      <c r="N114" s="10">
        <f>ROUND((+F114*M114)/100,0)</f>
        <v>0</v>
      </c>
      <c r="O114" s="10">
        <f t="shared" si="50"/>
        <v>0</v>
      </c>
      <c r="P114" s="94">
        <v>7</v>
      </c>
      <c r="Q114" s="143">
        <f>+P114</f>
        <v>7</v>
      </c>
    </row>
    <row r="115" spans="1:30" ht="12.75" customHeight="1" x14ac:dyDescent="0.2">
      <c r="A115" s="1">
        <v>397108</v>
      </c>
      <c r="B115" s="52">
        <v>177</v>
      </c>
      <c r="C115" s="57" t="s">
        <v>287</v>
      </c>
      <c r="D115" s="53">
        <v>60</v>
      </c>
      <c r="E115" s="53">
        <v>75</v>
      </c>
      <c r="F115" s="10">
        <f t="shared" si="47"/>
        <v>16.650000000000002</v>
      </c>
      <c r="G115" s="94">
        <v>7</v>
      </c>
      <c r="H115" s="94">
        <v>0</v>
      </c>
      <c r="I115" s="54">
        <v>0</v>
      </c>
      <c r="J115" s="54">
        <v>0</v>
      </c>
      <c r="K115" s="94">
        <v>7</v>
      </c>
      <c r="L115" s="10">
        <v>0</v>
      </c>
      <c r="M115" s="94"/>
      <c r="N115" s="10">
        <f>ROUND((+F115*M115)/100,0)</f>
        <v>0</v>
      </c>
      <c r="O115" s="10">
        <f t="shared" si="50"/>
        <v>0</v>
      </c>
      <c r="P115" s="94">
        <v>7</v>
      </c>
      <c r="Q115" s="143">
        <f>+P115</f>
        <v>7</v>
      </c>
    </row>
    <row r="116" spans="1:30" ht="12.75" customHeight="1" x14ac:dyDescent="0.2">
      <c r="A116" s="1">
        <v>397109</v>
      </c>
      <c r="B116" s="52">
        <v>21</v>
      </c>
      <c r="C116" s="57" t="s">
        <v>318</v>
      </c>
      <c r="D116" s="53">
        <v>80</v>
      </c>
      <c r="E116" s="53">
        <v>115</v>
      </c>
      <c r="F116" s="10">
        <f t="shared" si="47"/>
        <v>25.53</v>
      </c>
      <c r="G116" s="94">
        <v>10</v>
      </c>
      <c r="H116" s="94">
        <v>0</v>
      </c>
      <c r="I116" s="54">
        <v>0</v>
      </c>
      <c r="J116" s="54">
        <v>0</v>
      </c>
      <c r="K116" s="94">
        <v>16</v>
      </c>
      <c r="L116" s="10">
        <v>0</v>
      </c>
      <c r="M116" s="94"/>
      <c r="N116" s="10">
        <f>ROUND((+F116*M116)/100,0)</f>
        <v>0</v>
      </c>
      <c r="O116" s="10">
        <f t="shared" si="50"/>
        <v>0</v>
      </c>
      <c r="P116" s="94">
        <v>17</v>
      </c>
      <c r="Q116" s="143">
        <f>+P116</f>
        <v>17</v>
      </c>
    </row>
    <row r="117" spans="1:30" ht="12.75" customHeight="1" x14ac:dyDescent="0.2">
      <c r="A117" s="1">
        <v>397110</v>
      </c>
      <c r="B117" s="52">
        <v>5</v>
      </c>
      <c r="C117" s="57" t="s">
        <v>352</v>
      </c>
      <c r="D117" s="53">
        <v>83</v>
      </c>
      <c r="E117" s="53">
        <v>127</v>
      </c>
      <c r="F117" s="10">
        <f t="shared" ref="F117" si="51">E117*0.666*24/72</f>
        <v>28.194000000000003</v>
      </c>
      <c r="G117" s="94">
        <v>18</v>
      </c>
      <c r="H117" s="94">
        <v>0</v>
      </c>
      <c r="I117" s="54">
        <v>0</v>
      </c>
      <c r="J117" s="54">
        <v>0</v>
      </c>
      <c r="K117" s="94">
        <v>18</v>
      </c>
      <c r="L117" s="10">
        <v>0</v>
      </c>
      <c r="M117" s="94"/>
      <c r="N117" s="10">
        <f>ROUND((+F117*M117)/100,0)</f>
        <v>0</v>
      </c>
      <c r="O117" s="10">
        <f t="shared" si="50"/>
        <v>0</v>
      </c>
      <c r="P117" s="94">
        <v>19</v>
      </c>
      <c r="Q117" s="143">
        <f>+P117</f>
        <v>19</v>
      </c>
    </row>
    <row r="118" spans="1:30" s="53" customFormat="1" ht="12.75" customHeight="1" x14ac:dyDescent="0.2">
      <c r="A118" s="1">
        <v>480101</v>
      </c>
      <c r="B118" s="52">
        <v>166</v>
      </c>
      <c r="C118" s="57" t="s">
        <v>62</v>
      </c>
      <c r="D118" s="53">
        <v>66</v>
      </c>
      <c r="E118" s="53">
        <v>91</v>
      </c>
      <c r="F118" s="10">
        <f t="shared" si="47"/>
        <v>20.202000000000002</v>
      </c>
      <c r="G118" s="94">
        <v>11</v>
      </c>
      <c r="H118" s="94">
        <v>0</v>
      </c>
      <c r="I118" s="54">
        <v>0</v>
      </c>
      <c r="J118" s="54">
        <v>0</v>
      </c>
      <c r="K118" s="94">
        <v>11</v>
      </c>
      <c r="L118" s="10">
        <v>0</v>
      </c>
      <c r="M118" s="94"/>
      <c r="N118" s="10">
        <f t="shared" si="48"/>
        <v>0</v>
      </c>
      <c r="O118" s="10">
        <v>0</v>
      </c>
      <c r="P118" s="94">
        <v>9</v>
      </c>
      <c r="Q118" s="143">
        <f t="shared" si="49"/>
        <v>9</v>
      </c>
    </row>
    <row r="119" spans="1:30" ht="12.75" customHeight="1" x14ac:dyDescent="0.2">
      <c r="A119" s="1">
        <v>499102</v>
      </c>
      <c r="B119" s="52">
        <v>95</v>
      </c>
      <c r="C119" s="57" t="s">
        <v>63</v>
      </c>
      <c r="D119" s="53">
        <v>124</v>
      </c>
      <c r="E119" s="53">
        <v>171</v>
      </c>
      <c r="F119" s="10">
        <f t="shared" si="47"/>
        <v>37.962000000000003</v>
      </c>
      <c r="G119" s="94">
        <v>26</v>
      </c>
      <c r="H119" s="94">
        <v>0</v>
      </c>
      <c r="I119" s="54">
        <v>0</v>
      </c>
      <c r="J119" s="54">
        <v>0</v>
      </c>
      <c r="K119" s="94">
        <v>25</v>
      </c>
      <c r="L119" s="10">
        <v>0</v>
      </c>
      <c r="M119" s="94"/>
      <c r="N119" s="10">
        <f t="shared" si="48"/>
        <v>0</v>
      </c>
      <c r="O119" s="10">
        <f>IF(L119&gt;N119,+L119-N119,0)</f>
        <v>0</v>
      </c>
      <c r="P119" s="94">
        <v>23</v>
      </c>
      <c r="Q119" s="143">
        <f t="shared" si="49"/>
        <v>23</v>
      </c>
    </row>
    <row r="120" spans="1:30" ht="12.75" customHeight="1" x14ac:dyDescent="0.2">
      <c r="A120" s="1">
        <v>532101</v>
      </c>
      <c r="B120" s="52">
        <v>18</v>
      </c>
      <c r="C120" s="57" t="s">
        <v>64</v>
      </c>
      <c r="D120" s="53">
        <v>100</v>
      </c>
      <c r="E120" s="53">
        <v>138</v>
      </c>
      <c r="F120" s="10">
        <f t="shared" si="47"/>
        <v>30.635999999999999</v>
      </c>
      <c r="G120" s="55">
        <v>18</v>
      </c>
      <c r="H120" s="94">
        <v>0</v>
      </c>
      <c r="I120" s="54">
        <v>0</v>
      </c>
      <c r="J120" s="54">
        <v>0</v>
      </c>
      <c r="K120" s="55">
        <v>20</v>
      </c>
      <c r="L120" s="10">
        <v>0</v>
      </c>
      <c r="M120" s="94"/>
      <c r="N120" s="10">
        <f t="shared" si="48"/>
        <v>0</v>
      </c>
      <c r="O120" s="10">
        <v>0</v>
      </c>
      <c r="P120" s="55">
        <v>19</v>
      </c>
      <c r="Q120" s="143">
        <f t="shared" si="49"/>
        <v>19</v>
      </c>
    </row>
    <row r="121" spans="1:30" ht="12.75" customHeight="1" x14ac:dyDescent="0.2">
      <c r="A121" s="75"/>
      <c r="B121" s="59"/>
      <c r="C121" s="60"/>
      <c r="D121" s="148"/>
      <c r="E121" s="148"/>
      <c r="F121" s="79"/>
      <c r="G121" s="63"/>
      <c r="H121" s="148"/>
      <c r="I121" s="62"/>
      <c r="J121" s="62"/>
      <c r="K121" s="63"/>
      <c r="L121" s="61"/>
      <c r="M121" s="148"/>
      <c r="N121" s="61"/>
      <c r="O121" s="61"/>
      <c r="P121" s="63"/>
      <c r="Q121" s="80"/>
    </row>
    <row r="122" spans="1:30" ht="12.75" customHeight="1" x14ac:dyDescent="0.2">
      <c r="A122" s="109" t="s">
        <v>41</v>
      </c>
      <c r="B122" s="110"/>
      <c r="C122" s="111">
        <f>COUNTA(A103:A120)</f>
        <v>18</v>
      </c>
      <c r="D122" s="131">
        <f t="shared" ref="D122:Q122" si="52">SUM(D103:D120)</f>
        <v>2120</v>
      </c>
      <c r="E122" s="131">
        <f t="shared" si="52"/>
        <v>2986</v>
      </c>
      <c r="F122" s="132">
        <f t="shared" si="52"/>
        <v>662.89199999999994</v>
      </c>
      <c r="G122" s="132">
        <f t="shared" si="52"/>
        <v>350</v>
      </c>
      <c r="H122" s="132">
        <f t="shared" si="52"/>
        <v>0</v>
      </c>
      <c r="I122" s="132">
        <f t="shared" si="52"/>
        <v>0</v>
      </c>
      <c r="J122" s="132">
        <f t="shared" si="52"/>
        <v>0</v>
      </c>
      <c r="K122" s="132">
        <f t="shared" si="52"/>
        <v>385</v>
      </c>
      <c r="L122" s="132">
        <f t="shared" si="52"/>
        <v>0</v>
      </c>
      <c r="M122" s="132">
        <f t="shared" si="52"/>
        <v>0</v>
      </c>
      <c r="N122" s="132">
        <f t="shared" si="52"/>
        <v>0</v>
      </c>
      <c r="O122" s="132">
        <f t="shared" si="52"/>
        <v>0</v>
      </c>
      <c r="P122" s="132">
        <f t="shared" si="52"/>
        <v>393</v>
      </c>
      <c r="Q122" s="132">
        <f t="shared" si="52"/>
        <v>393</v>
      </c>
    </row>
    <row r="123" spans="1:30" ht="12.75" customHeight="1" x14ac:dyDescent="0.2">
      <c r="A123" s="133" t="s">
        <v>384</v>
      </c>
      <c r="B123" s="67"/>
      <c r="C123" s="68"/>
      <c r="D123" s="69"/>
      <c r="E123" s="69"/>
      <c r="F123" s="70"/>
      <c r="G123" s="149"/>
      <c r="H123" s="149"/>
      <c r="I123" s="149"/>
      <c r="J123" s="149"/>
      <c r="K123" s="149"/>
      <c r="L123" s="47"/>
      <c r="M123" s="150"/>
      <c r="N123" s="132"/>
      <c r="O123" s="72"/>
      <c r="P123" s="73"/>
      <c r="Q123" s="115"/>
    </row>
    <row r="124" spans="1:30" ht="12.75" customHeight="1" x14ac:dyDescent="0.2">
      <c r="A124" s="101"/>
      <c r="B124" s="117"/>
      <c r="C124" s="118"/>
      <c r="D124" s="119"/>
      <c r="E124" s="119"/>
      <c r="F124" s="120"/>
      <c r="G124" s="119"/>
      <c r="H124" s="119"/>
      <c r="I124" s="119"/>
      <c r="J124" s="119"/>
      <c r="K124" s="119"/>
      <c r="L124" s="121"/>
      <c r="M124" s="88"/>
      <c r="N124" s="89"/>
      <c r="O124" s="89"/>
      <c r="P124" s="83" t="s">
        <v>43</v>
      </c>
      <c r="Q124" s="122">
        <f>Q122</f>
        <v>393</v>
      </c>
    </row>
    <row r="125" spans="1:30" ht="12.75" customHeight="1" x14ac:dyDescent="0.2">
      <c r="A125" s="123"/>
      <c r="B125" s="86"/>
      <c r="C125" s="87"/>
      <c r="D125" s="88"/>
      <c r="E125" s="88"/>
      <c r="F125" s="89"/>
      <c r="G125" s="88"/>
      <c r="H125" s="88"/>
      <c r="I125" s="88"/>
      <c r="J125" s="88"/>
      <c r="K125" s="88"/>
      <c r="L125" s="89"/>
      <c r="M125" s="88"/>
      <c r="N125" s="89"/>
      <c r="O125" s="89"/>
      <c r="P125" s="81"/>
      <c r="Q125" s="9"/>
      <c r="AC125" s="6">
        <v>37</v>
      </c>
      <c r="AD125" s="6">
        <f>+AB125+AC125</f>
        <v>37</v>
      </c>
    </row>
    <row r="126" spans="1:30" ht="12.75" customHeight="1" x14ac:dyDescent="0.2">
      <c r="A126" s="90"/>
      <c r="B126" s="91" t="s">
        <v>65</v>
      </c>
      <c r="C126" s="92"/>
      <c r="D126" s="124"/>
      <c r="E126" s="46"/>
      <c r="G126" s="46"/>
      <c r="H126" s="46"/>
      <c r="I126" s="93"/>
      <c r="J126" s="93"/>
      <c r="K126" s="46"/>
      <c r="M126" s="46"/>
      <c r="P126" s="94"/>
      <c r="Q126" s="8">
        <f>+Q124-216</f>
        <v>177</v>
      </c>
    </row>
    <row r="127" spans="1:30" ht="12.75" customHeight="1" x14ac:dyDescent="0.2">
      <c r="A127" s="90"/>
      <c r="B127" s="95"/>
      <c r="C127" s="96"/>
      <c r="D127" s="97"/>
      <c r="E127" s="97"/>
      <c r="G127" s="46"/>
      <c r="H127" s="46"/>
      <c r="I127" s="93"/>
      <c r="J127" s="93"/>
      <c r="K127" s="46"/>
      <c r="M127" s="46"/>
      <c r="P127" s="94"/>
    </row>
    <row r="128" spans="1:30" ht="12.75" customHeight="1" x14ac:dyDescent="0.2">
      <c r="A128" s="43"/>
      <c r="B128" s="44"/>
      <c r="C128" s="45"/>
      <c r="D128" s="46"/>
      <c r="E128" s="46"/>
      <c r="F128" s="47"/>
      <c r="G128" s="48"/>
      <c r="H128" s="48"/>
      <c r="I128" s="100"/>
      <c r="J128" s="100"/>
      <c r="K128" s="48"/>
      <c r="L128" s="49"/>
      <c r="M128" s="48"/>
      <c r="N128" s="49"/>
      <c r="O128" s="49"/>
      <c r="P128" s="50"/>
      <c r="Q128" s="51"/>
    </row>
    <row r="129" spans="1:17" ht="12.75" customHeight="1" x14ac:dyDescent="0.2">
      <c r="A129" s="1">
        <v>120297</v>
      </c>
      <c r="B129" s="52">
        <v>50</v>
      </c>
      <c r="C129" s="57" t="s">
        <v>66</v>
      </c>
      <c r="D129" s="53">
        <v>393</v>
      </c>
      <c r="E129" s="53">
        <v>713</v>
      </c>
      <c r="F129" s="10">
        <f>E129*0.666*24/72</f>
        <v>158.286</v>
      </c>
      <c r="G129" s="94">
        <v>100</v>
      </c>
      <c r="H129" s="94">
        <v>0</v>
      </c>
      <c r="I129" s="54">
        <v>0</v>
      </c>
      <c r="J129" s="54">
        <v>0</v>
      </c>
      <c r="K129" s="94">
        <v>85</v>
      </c>
      <c r="L129" s="10">
        <v>0</v>
      </c>
      <c r="M129" s="94"/>
      <c r="N129" s="10">
        <f>ROUND((+F129*M129)/100,0)</f>
        <v>0</v>
      </c>
      <c r="O129" s="10">
        <v>0</v>
      </c>
      <c r="P129" s="94">
        <v>100</v>
      </c>
      <c r="Q129" s="143">
        <f>+P129</f>
        <v>100</v>
      </c>
    </row>
    <row r="130" spans="1:17" ht="12.75" customHeight="1" x14ac:dyDescent="0.2">
      <c r="A130" s="1">
        <v>469106</v>
      </c>
      <c r="B130" s="52">
        <v>121</v>
      </c>
      <c r="C130" s="57" t="s">
        <v>364</v>
      </c>
      <c r="D130" s="53">
        <v>65</v>
      </c>
      <c r="E130" s="53">
        <v>104</v>
      </c>
      <c r="F130" s="10">
        <f>E130*0.666*24/72</f>
        <v>23.088000000000005</v>
      </c>
      <c r="G130" s="94">
        <v>23</v>
      </c>
      <c r="H130" s="94">
        <v>0</v>
      </c>
      <c r="I130" s="54">
        <v>0</v>
      </c>
      <c r="J130" s="54">
        <v>0</v>
      </c>
      <c r="K130" s="94">
        <v>23</v>
      </c>
      <c r="L130" s="10">
        <v>0</v>
      </c>
      <c r="M130" s="94"/>
      <c r="N130" s="10">
        <f>ROUND((+F130*M130)/100,0)</f>
        <v>0</v>
      </c>
      <c r="O130" s="10">
        <v>0</v>
      </c>
      <c r="P130" s="94">
        <v>22</v>
      </c>
      <c r="Q130" s="143">
        <f>+P130</f>
        <v>22</v>
      </c>
    </row>
    <row r="131" spans="1:17" ht="12.75" customHeight="1" x14ac:dyDescent="0.2">
      <c r="A131" s="1">
        <v>520102</v>
      </c>
      <c r="B131" s="52">
        <v>70</v>
      </c>
      <c r="C131" s="57" t="s">
        <v>67</v>
      </c>
      <c r="D131" s="53">
        <v>157</v>
      </c>
      <c r="E131" s="53">
        <v>262</v>
      </c>
      <c r="F131" s="10">
        <f>E131*0.666*24/72</f>
        <v>58.164000000000016</v>
      </c>
      <c r="G131" s="94">
        <v>40</v>
      </c>
      <c r="H131" s="94">
        <v>0</v>
      </c>
      <c r="I131" s="54">
        <v>0</v>
      </c>
      <c r="J131" s="54">
        <v>0</v>
      </c>
      <c r="K131" s="94">
        <v>40</v>
      </c>
      <c r="L131" s="10">
        <v>0</v>
      </c>
      <c r="M131" s="94"/>
      <c r="N131" s="10">
        <f>ROUND((+F131*M131)/100,0)</f>
        <v>0</v>
      </c>
      <c r="O131" s="10">
        <v>0</v>
      </c>
      <c r="P131" s="94">
        <v>40</v>
      </c>
      <c r="Q131" s="143">
        <f>+P131</f>
        <v>40</v>
      </c>
    </row>
    <row r="132" spans="1:17" ht="12.75" customHeight="1" x14ac:dyDescent="0.2">
      <c r="A132" s="101"/>
      <c r="B132" s="102"/>
      <c r="C132" s="103"/>
      <c r="D132" s="97"/>
      <c r="E132" s="97"/>
      <c r="F132" s="120"/>
      <c r="G132" s="97"/>
      <c r="H132" s="97"/>
      <c r="I132" s="146"/>
      <c r="J132" s="146"/>
      <c r="K132" s="97"/>
      <c r="L132" s="42"/>
      <c r="M132" s="97"/>
      <c r="N132" s="42"/>
      <c r="O132" s="42"/>
      <c r="P132" s="62"/>
      <c r="Q132" s="144"/>
    </row>
    <row r="133" spans="1:17" ht="12.75" customHeight="1" x14ac:dyDescent="0.2">
      <c r="A133" s="109" t="s">
        <v>41</v>
      </c>
      <c r="B133" s="110"/>
      <c r="C133" s="111">
        <f>COUNTA(A129:A131)</f>
        <v>3</v>
      </c>
      <c r="D133" s="131">
        <f t="shared" ref="D133:Q133" si="53">SUM(D129:D131)</f>
        <v>615</v>
      </c>
      <c r="E133" s="131">
        <f t="shared" si="53"/>
        <v>1079</v>
      </c>
      <c r="F133" s="132">
        <f t="shared" si="53"/>
        <v>239.53800000000001</v>
      </c>
      <c r="G133" s="132">
        <f t="shared" si="53"/>
        <v>163</v>
      </c>
      <c r="H133" s="132">
        <f t="shared" si="53"/>
        <v>0</v>
      </c>
      <c r="I133" s="132">
        <f t="shared" si="53"/>
        <v>0</v>
      </c>
      <c r="J133" s="132">
        <f t="shared" si="53"/>
        <v>0</v>
      </c>
      <c r="K133" s="132">
        <f t="shared" si="53"/>
        <v>148</v>
      </c>
      <c r="L133" s="132">
        <f t="shared" si="53"/>
        <v>0</v>
      </c>
      <c r="M133" s="132">
        <f t="shared" si="53"/>
        <v>0</v>
      </c>
      <c r="N133" s="132">
        <f t="shared" si="53"/>
        <v>0</v>
      </c>
      <c r="O133" s="132">
        <f t="shared" si="53"/>
        <v>0</v>
      </c>
      <c r="P133" s="132">
        <f t="shared" si="53"/>
        <v>162</v>
      </c>
      <c r="Q133" s="132">
        <f t="shared" si="53"/>
        <v>162</v>
      </c>
    </row>
    <row r="134" spans="1:17" ht="12.75" customHeight="1" x14ac:dyDescent="0.2">
      <c r="A134" s="133" t="s">
        <v>47</v>
      </c>
      <c r="B134" s="67"/>
      <c r="C134" s="68"/>
      <c r="D134" s="69"/>
      <c r="E134" s="69"/>
      <c r="F134" s="70"/>
      <c r="G134" s="69"/>
      <c r="H134" s="69"/>
      <c r="I134" s="69"/>
      <c r="J134" s="69"/>
      <c r="K134" s="69"/>
      <c r="L134" s="47"/>
      <c r="M134" s="150"/>
      <c r="N134" s="132"/>
      <c r="O134" s="132"/>
      <c r="P134" s="73"/>
      <c r="Q134" s="137"/>
    </row>
    <row r="135" spans="1:17" ht="12.75" customHeight="1" x14ac:dyDescent="0.2">
      <c r="A135" s="116"/>
      <c r="B135" s="117"/>
      <c r="C135" s="118"/>
      <c r="D135" s="119"/>
      <c r="E135" s="119"/>
      <c r="F135" s="120"/>
      <c r="G135" s="119"/>
      <c r="H135" s="119"/>
      <c r="I135" s="119"/>
      <c r="J135" s="119"/>
      <c r="K135" s="119"/>
      <c r="L135" s="121"/>
      <c r="M135" s="88"/>
      <c r="N135" s="89"/>
      <c r="O135" s="89"/>
      <c r="P135" s="83" t="s">
        <v>43</v>
      </c>
      <c r="Q135" s="122">
        <f>Q133</f>
        <v>162</v>
      </c>
    </row>
    <row r="136" spans="1:17" ht="12.75" customHeight="1" x14ac:dyDescent="0.2">
      <c r="A136" s="123"/>
      <c r="B136" s="86"/>
      <c r="C136" s="87"/>
      <c r="D136" s="88"/>
      <c r="E136" s="88"/>
      <c r="F136" s="89"/>
      <c r="G136" s="88"/>
      <c r="H136" s="88"/>
      <c r="I136" s="88"/>
      <c r="J136" s="88"/>
      <c r="K136" s="88"/>
      <c r="L136" s="89"/>
      <c r="M136" s="88"/>
      <c r="N136" s="89"/>
      <c r="O136" s="89"/>
      <c r="P136" s="81"/>
      <c r="Q136" s="9"/>
    </row>
    <row r="137" spans="1:17" s="53" customFormat="1" ht="12.75" customHeight="1" x14ac:dyDescent="0.2">
      <c r="A137" s="90"/>
      <c r="B137" s="91" t="s">
        <v>68</v>
      </c>
      <c r="C137" s="92"/>
      <c r="D137" s="46"/>
      <c r="E137" s="46"/>
      <c r="F137" s="9"/>
      <c r="G137" s="46"/>
      <c r="H137" s="46"/>
      <c r="I137" s="93"/>
      <c r="J137" s="93"/>
      <c r="K137" s="46"/>
      <c r="L137" s="8"/>
      <c r="M137" s="46"/>
      <c r="N137" s="8"/>
      <c r="O137" s="8"/>
      <c r="P137" s="94"/>
      <c r="Q137" s="8"/>
    </row>
    <row r="138" spans="1:17" s="53" customFormat="1" ht="12.75" customHeight="1" x14ac:dyDescent="0.2">
      <c r="A138" s="90"/>
      <c r="B138" s="151"/>
      <c r="C138" s="96"/>
      <c r="D138" s="97"/>
      <c r="E138" s="97"/>
      <c r="F138" s="9"/>
      <c r="G138" s="46"/>
      <c r="H138" s="46"/>
      <c r="I138" s="93"/>
      <c r="J138" s="93"/>
      <c r="K138" s="46"/>
      <c r="L138" s="8"/>
      <c r="M138" s="46"/>
      <c r="N138" s="8"/>
      <c r="O138" s="8"/>
      <c r="P138" s="94"/>
      <c r="Q138" s="8"/>
    </row>
    <row r="139" spans="1:17" ht="12.75" customHeight="1" x14ac:dyDescent="0.2">
      <c r="A139" s="140"/>
      <c r="B139" s="152"/>
      <c r="C139" s="142"/>
      <c r="D139" s="46"/>
      <c r="E139" s="46"/>
      <c r="F139" s="47"/>
      <c r="G139" s="48"/>
      <c r="H139" s="48"/>
      <c r="I139" s="100"/>
      <c r="J139" s="100"/>
      <c r="K139" s="48"/>
      <c r="L139" s="49"/>
      <c r="M139" s="48"/>
      <c r="N139" s="49"/>
      <c r="O139" s="49"/>
      <c r="P139" s="50"/>
      <c r="Q139" s="51"/>
    </row>
    <row r="140" spans="1:17" ht="12.75" customHeight="1" x14ac:dyDescent="0.2">
      <c r="A140" s="1">
        <v>93102</v>
      </c>
      <c r="B140" s="52">
        <v>40</v>
      </c>
      <c r="C140" s="57" t="s">
        <v>69</v>
      </c>
      <c r="D140" s="53">
        <v>55</v>
      </c>
      <c r="E140" s="53">
        <v>69</v>
      </c>
      <c r="F140" s="10">
        <f t="shared" ref="F140:F151" si="54">E140*0.666*24/72</f>
        <v>15.318</v>
      </c>
      <c r="G140" s="94">
        <v>8</v>
      </c>
      <c r="H140" s="94">
        <v>0</v>
      </c>
      <c r="I140" s="54">
        <v>0</v>
      </c>
      <c r="J140" s="54">
        <v>0</v>
      </c>
      <c r="K140" s="94">
        <v>9</v>
      </c>
      <c r="L140" s="10">
        <v>0</v>
      </c>
      <c r="M140" s="94"/>
      <c r="N140" s="10">
        <f t="shared" ref="N140:N151" si="55">ROUND((+F140*M140)/100,0)</f>
        <v>0</v>
      </c>
      <c r="O140" s="10">
        <v>0</v>
      </c>
      <c r="P140" s="94">
        <v>8</v>
      </c>
      <c r="Q140" s="143">
        <f t="shared" ref="Q140:Q151" si="56">+P140</f>
        <v>8</v>
      </c>
    </row>
    <row r="141" spans="1:17" ht="12.75" customHeight="1" x14ac:dyDescent="0.2">
      <c r="A141" s="1">
        <v>144103</v>
      </c>
      <c r="B141" s="52">
        <v>58</v>
      </c>
      <c r="C141" s="57" t="s">
        <v>70</v>
      </c>
      <c r="D141" s="53">
        <v>57</v>
      </c>
      <c r="E141" s="53">
        <v>72</v>
      </c>
      <c r="F141" s="10">
        <f t="shared" si="54"/>
        <v>15.984000000000002</v>
      </c>
      <c r="G141" s="94">
        <v>7</v>
      </c>
      <c r="H141" s="94">
        <v>0</v>
      </c>
      <c r="I141" s="54">
        <v>0</v>
      </c>
      <c r="J141" s="54">
        <v>0</v>
      </c>
      <c r="K141" s="94">
        <v>5</v>
      </c>
      <c r="L141" s="10">
        <v>0</v>
      </c>
      <c r="M141" s="94"/>
      <c r="N141" s="10">
        <f t="shared" si="55"/>
        <v>0</v>
      </c>
      <c r="O141" s="10">
        <v>0</v>
      </c>
      <c r="P141" s="94">
        <v>6</v>
      </c>
      <c r="Q141" s="143">
        <f t="shared" si="56"/>
        <v>6</v>
      </c>
    </row>
    <row r="142" spans="1:17" ht="12.75" customHeight="1" x14ac:dyDescent="0.2">
      <c r="A142" s="1">
        <v>215101</v>
      </c>
      <c r="B142" s="52">
        <v>136</v>
      </c>
      <c r="C142" s="57" t="s">
        <v>71</v>
      </c>
      <c r="D142" s="53">
        <v>98</v>
      </c>
      <c r="E142" s="53">
        <v>144</v>
      </c>
      <c r="F142" s="10">
        <f t="shared" si="54"/>
        <v>31.968000000000004</v>
      </c>
      <c r="G142" s="94">
        <v>8</v>
      </c>
      <c r="H142" s="94">
        <v>0</v>
      </c>
      <c r="I142" s="54">
        <v>0</v>
      </c>
      <c r="J142" s="54">
        <v>0</v>
      </c>
      <c r="K142" s="94">
        <v>15</v>
      </c>
      <c r="L142" s="10">
        <v>0</v>
      </c>
      <c r="M142" s="94"/>
      <c r="N142" s="10">
        <f t="shared" si="55"/>
        <v>0</v>
      </c>
      <c r="O142" s="10">
        <v>0</v>
      </c>
      <c r="P142" s="94">
        <v>16</v>
      </c>
      <c r="Q142" s="143">
        <f t="shared" si="56"/>
        <v>16</v>
      </c>
    </row>
    <row r="143" spans="1:17" ht="12.75" customHeight="1" x14ac:dyDescent="0.2">
      <c r="A143" s="1">
        <v>221102</v>
      </c>
      <c r="B143" s="52">
        <v>25</v>
      </c>
      <c r="C143" s="57" t="s">
        <v>72</v>
      </c>
      <c r="D143" s="53">
        <v>64</v>
      </c>
      <c r="E143" s="53">
        <v>93</v>
      </c>
      <c r="F143" s="10">
        <f t="shared" si="54"/>
        <v>20.646000000000001</v>
      </c>
      <c r="G143" s="94">
        <v>14</v>
      </c>
      <c r="H143" s="94">
        <v>0</v>
      </c>
      <c r="I143" s="54">
        <v>0</v>
      </c>
      <c r="J143" s="54">
        <v>0</v>
      </c>
      <c r="K143" s="94">
        <v>14</v>
      </c>
      <c r="L143" s="10">
        <v>0</v>
      </c>
      <c r="M143" s="94"/>
      <c r="N143" s="10">
        <f t="shared" si="55"/>
        <v>0</v>
      </c>
      <c r="O143" s="10">
        <v>0</v>
      </c>
      <c r="P143" s="94">
        <v>14</v>
      </c>
      <c r="Q143" s="143">
        <f t="shared" si="56"/>
        <v>14</v>
      </c>
    </row>
    <row r="144" spans="1:17" ht="12.75" customHeight="1" x14ac:dyDescent="0.2">
      <c r="A144" s="1">
        <v>224102</v>
      </c>
      <c r="B144" s="52">
        <v>141</v>
      </c>
      <c r="C144" s="57" t="s">
        <v>246</v>
      </c>
      <c r="D144" s="53">
        <v>110</v>
      </c>
      <c r="E144" s="53">
        <v>156</v>
      </c>
      <c r="F144" s="10">
        <f t="shared" si="54"/>
        <v>34.631999999999998</v>
      </c>
      <c r="G144" s="94">
        <v>30</v>
      </c>
      <c r="H144" s="94">
        <v>0</v>
      </c>
      <c r="I144" s="54">
        <v>0</v>
      </c>
      <c r="J144" s="54">
        <v>0</v>
      </c>
      <c r="K144" s="94">
        <v>25</v>
      </c>
      <c r="L144" s="10">
        <v>0</v>
      </c>
      <c r="M144" s="94"/>
      <c r="N144" s="10">
        <f t="shared" si="55"/>
        <v>0</v>
      </c>
      <c r="O144" s="10">
        <v>0</v>
      </c>
      <c r="P144" s="94">
        <v>30</v>
      </c>
      <c r="Q144" s="143">
        <f t="shared" si="56"/>
        <v>30</v>
      </c>
    </row>
    <row r="145" spans="1:17" ht="12.75" customHeight="1" x14ac:dyDescent="0.2">
      <c r="A145" s="1">
        <v>250101</v>
      </c>
      <c r="B145" s="52">
        <v>2</v>
      </c>
      <c r="C145" s="57" t="s">
        <v>73</v>
      </c>
      <c r="D145" s="53">
        <v>84</v>
      </c>
      <c r="E145" s="53">
        <v>112</v>
      </c>
      <c r="F145" s="10">
        <f t="shared" si="54"/>
        <v>24.864000000000001</v>
      </c>
      <c r="G145" s="94">
        <v>14</v>
      </c>
      <c r="H145" s="94">
        <v>0</v>
      </c>
      <c r="I145" s="54">
        <v>0</v>
      </c>
      <c r="J145" s="54">
        <v>0</v>
      </c>
      <c r="K145" s="94">
        <v>22</v>
      </c>
      <c r="L145" s="10">
        <v>0</v>
      </c>
      <c r="M145" s="94"/>
      <c r="N145" s="10">
        <f t="shared" si="55"/>
        <v>0</v>
      </c>
      <c r="O145" s="10">
        <v>0</v>
      </c>
      <c r="P145" s="94">
        <v>24</v>
      </c>
      <c r="Q145" s="143">
        <f t="shared" si="56"/>
        <v>24</v>
      </c>
    </row>
    <row r="146" spans="1:17" ht="12.75" customHeight="1" x14ac:dyDescent="0.2">
      <c r="A146" s="1">
        <v>329102</v>
      </c>
      <c r="B146" s="52">
        <v>70</v>
      </c>
      <c r="C146" s="57" t="s">
        <v>74</v>
      </c>
      <c r="D146" s="53">
        <v>58</v>
      </c>
      <c r="E146" s="53">
        <v>74</v>
      </c>
      <c r="F146" s="10">
        <f t="shared" si="54"/>
        <v>16.428000000000004</v>
      </c>
      <c r="G146" s="94">
        <v>12</v>
      </c>
      <c r="H146" s="94">
        <v>0</v>
      </c>
      <c r="I146" s="54">
        <v>0</v>
      </c>
      <c r="J146" s="54">
        <v>0</v>
      </c>
      <c r="K146" s="94">
        <v>10</v>
      </c>
      <c r="L146" s="10">
        <v>0</v>
      </c>
      <c r="M146" s="94"/>
      <c r="N146" s="10">
        <f t="shared" si="55"/>
        <v>0</v>
      </c>
      <c r="O146" s="10">
        <v>0</v>
      </c>
      <c r="P146" s="94">
        <v>12</v>
      </c>
      <c r="Q146" s="143">
        <f t="shared" si="56"/>
        <v>12</v>
      </c>
    </row>
    <row r="147" spans="1:17" ht="12.75" customHeight="1" x14ac:dyDescent="0.2">
      <c r="A147" s="1">
        <v>339102</v>
      </c>
      <c r="B147" s="52">
        <v>122</v>
      </c>
      <c r="C147" s="57" t="s">
        <v>75</v>
      </c>
      <c r="D147" s="53">
        <v>236</v>
      </c>
      <c r="E147" s="53">
        <v>358</v>
      </c>
      <c r="F147" s="10">
        <f t="shared" si="54"/>
        <v>79.476000000000013</v>
      </c>
      <c r="G147" s="94">
        <v>58</v>
      </c>
      <c r="H147" s="94">
        <v>0</v>
      </c>
      <c r="I147" s="54">
        <v>0</v>
      </c>
      <c r="J147" s="54">
        <v>0</v>
      </c>
      <c r="K147" s="94">
        <v>57</v>
      </c>
      <c r="L147" s="10">
        <v>0</v>
      </c>
      <c r="M147" s="94"/>
      <c r="N147" s="10">
        <f t="shared" si="55"/>
        <v>0</v>
      </c>
      <c r="O147" s="10">
        <v>0</v>
      </c>
      <c r="P147" s="94">
        <v>57</v>
      </c>
      <c r="Q147" s="143">
        <f t="shared" si="56"/>
        <v>57</v>
      </c>
    </row>
    <row r="148" spans="1:17" ht="12.75" customHeight="1" x14ac:dyDescent="0.2">
      <c r="A148" s="1">
        <v>536102</v>
      </c>
      <c r="B148" s="52">
        <v>13</v>
      </c>
      <c r="C148" s="57" t="s">
        <v>76</v>
      </c>
      <c r="D148" s="53">
        <v>35</v>
      </c>
      <c r="E148" s="53">
        <v>52</v>
      </c>
      <c r="F148" s="10">
        <f t="shared" si="54"/>
        <v>11.544000000000002</v>
      </c>
      <c r="G148" s="94">
        <v>8</v>
      </c>
      <c r="H148" s="94">
        <v>0</v>
      </c>
      <c r="I148" s="54">
        <v>0</v>
      </c>
      <c r="J148" s="54">
        <v>0</v>
      </c>
      <c r="K148" s="94">
        <v>7</v>
      </c>
      <c r="L148" s="10">
        <v>0</v>
      </c>
      <c r="M148" s="94"/>
      <c r="N148" s="10">
        <f t="shared" si="55"/>
        <v>0</v>
      </c>
      <c r="O148" s="10">
        <v>0</v>
      </c>
      <c r="P148" s="94">
        <v>8</v>
      </c>
      <c r="Q148" s="143">
        <f t="shared" si="56"/>
        <v>8</v>
      </c>
    </row>
    <row r="149" spans="1:17" s="53" customFormat="1" ht="12.75" customHeight="1" x14ac:dyDescent="0.2">
      <c r="A149" s="1">
        <v>562101</v>
      </c>
      <c r="B149" s="52">
        <v>97</v>
      </c>
      <c r="C149" s="57" t="s">
        <v>245</v>
      </c>
      <c r="D149" s="53">
        <v>88</v>
      </c>
      <c r="E149" s="53">
        <v>144</v>
      </c>
      <c r="F149" s="10">
        <f t="shared" si="54"/>
        <v>31.968000000000004</v>
      </c>
      <c r="G149" s="94">
        <v>21</v>
      </c>
      <c r="H149" s="94">
        <v>0</v>
      </c>
      <c r="I149" s="54">
        <v>0</v>
      </c>
      <c r="J149" s="54">
        <v>0</v>
      </c>
      <c r="K149" s="94">
        <v>20</v>
      </c>
      <c r="L149" s="10">
        <v>0</v>
      </c>
      <c r="M149" s="94"/>
      <c r="N149" s="10">
        <f t="shared" si="55"/>
        <v>0</v>
      </c>
      <c r="O149" s="10">
        <v>0</v>
      </c>
      <c r="P149" s="94">
        <v>22</v>
      </c>
      <c r="Q149" s="143">
        <f t="shared" si="56"/>
        <v>22</v>
      </c>
    </row>
    <row r="150" spans="1:17" s="53" customFormat="1" ht="12.75" customHeight="1" x14ac:dyDescent="0.2">
      <c r="A150" s="1">
        <v>564101</v>
      </c>
      <c r="B150" s="52">
        <v>68</v>
      </c>
      <c r="C150" s="57" t="s">
        <v>281</v>
      </c>
      <c r="D150" s="53">
        <v>127</v>
      </c>
      <c r="E150" s="53">
        <v>146</v>
      </c>
      <c r="F150" s="10">
        <f t="shared" si="54"/>
        <v>32.412000000000006</v>
      </c>
      <c r="G150" s="94">
        <v>22</v>
      </c>
      <c r="H150" s="94">
        <v>0</v>
      </c>
      <c r="I150" s="54">
        <v>0</v>
      </c>
      <c r="J150" s="54">
        <v>0</v>
      </c>
      <c r="K150" s="94">
        <v>19</v>
      </c>
      <c r="L150" s="10">
        <v>0</v>
      </c>
      <c r="M150" s="94"/>
      <c r="N150" s="10">
        <f t="shared" si="55"/>
        <v>0</v>
      </c>
      <c r="O150" s="10">
        <v>0</v>
      </c>
      <c r="P150" s="94">
        <v>25</v>
      </c>
      <c r="Q150" s="143">
        <f t="shared" si="56"/>
        <v>25</v>
      </c>
    </row>
    <row r="151" spans="1:17" ht="12.75" customHeight="1" x14ac:dyDescent="0.2">
      <c r="A151" s="1">
        <v>569101</v>
      </c>
      <c r="B151" s="52">
        <v>4</v>
      </c>
      <c r="C151" s="57" t="s">
        <v>77</v>
      </c>
      <c r="D151" s="53">
        <v>71</v>
      </c>
      <c r="E151" s="53">
        <v>92</v>
      </c>
      <c r="F151" s="10">
        <f t="shared" si="54"/>
        <v>20.424000000000003</v>
      </c>
      <c r="G151" s="94">
        <v>12</v>
      </c>
      <c r="H151" s="94">
        <v>0</v>
      </c>
      <c r="I151" s="54">
        <v>0</v>
      </c>
      <c r="J151" s="54">
        <v>0</v>
      </c>
      <c r="K151" s="94">
        <v>13</v>
      </c>
      <c r="L151" s="10">
        <v>0</v>
      </c>
      <c r="M151" s="94"/>
      <c r="N151" s="10">
        <f t="shared" si="55"/>
        <v>0</v>
      </c>
      <c r="O151" s="10">
        <v>0</v>
      </c>
      <c r="P151" s="94">
        <v>10</v>
      </c>
      <c r="Q151" s="143">
        <f t="shared" si="56"/>
        <v>10</v>
      </c>
    </row>
    <row r="152" spans="1:17" ht="12.75" customHeight="1" x14ac:dyDescent="0.2">
      <c r="A152" s="101"/>
      <c r="B152" s="102"/>
      <c r="C152" s="103"/>
      <c r="D152" s="97"/>
      <c r="E152" s="97"/>
      <c r="F152" s="120"/>
      <c r="G152" s="97"/>
      <c r="H152" s="97"/>
      <c r="I152" s="146"/>
      <c r="J152" s="146"/>
      <c r="K152" s="97"/>
      <c r="L152" s="42"/>
      <c r="M152" s="97"/>
      <c r="N152" s="42"/>
      <c r="O152" s="42"/>
      <c r="P152" s="62"/>
      <c r="Q152" s="144"/>
    </row>
    <row r="153" spans="1:17" ht="12.75" customHeight="1" x14ac:dyDescent="0.2">
      <c r="A153" s="109" t="s">
        <v>41</v>
      </c>
      <c r="B153" s="110"/>
      <c r="C153" s="111">
        <f>COUNTA(A140:A151)</f>
        <v>12</v>
      </c>
      <c r="D153" s="131">
        <f t="shared" ref="D153:Q153" si="57">SUM(D140:D151)</f>
        <v>1083</v>
      </c>
      <c r="E153" s="131">
        <f t="shared" si="57"/>
        <v>1512</v>
      </c>
      <c r="F153" s="132">
        <f t="shared" si="57"/>
        <v>335.66399999999999</v>
      </c>
      <c r="G153" s="132">
        <f>SUM(G140:G151)</f>
        <v>214</v>
      </c>
      <c r="H153" s="132">
        <f t="shared" si="57"/>
        <v>0</v>
      </c>
      <c r="I153" s="132">
        <f t="shared" si="57"/>
        <v>0</v>
      </c>
      <c r="J153" s="132">
        <f t="shared" si="57"/>
        <v>0</v>
      </c>
      <c r="K153" s="132">
        <f>SUM(K140:K151)</f>
        <v>216</v>
      </c>
      <c r="L153" s="132">
        <f t="shared" si="57"/>
        <v>0</v>
      </c>
      <c r="M153" s="132">
        <f t="shared" si="57"/>
        <v>0</v>
      </c>
      <c r="N153" s="132">
        <f t="shared" si="57"/>
        <v>0</v>
      </c>
      <c r="O153" s="132">
        <f t="shared" si="57"/>
        <v>0</v>
      </c>
      <c r="P153" s="132">
        <f>SUM(P140:P151)</f>
        <v>232</v>
      </c>
      <c r="Q153" s="132">
        <f t="shared" si="57"/>
        <v>232</v>
      </c>
    </row>
    <row r="154" spans="1:17" ht="12.75" customHeight="1" x14ac:dyDescent="0.2">
      <c r="A154" s="133" t="s">
        <v>386</v>
      </c>
      <c r="B154" s="67"/>
      <c r="C154" s="68"/>
      <c r="D154" s="69"/>
      <c r="E154" s="69"/>
      <c r="F154" s="70"/>
      <c r="G154" s="69"/>
      <c r="H154" s="69"/>
      <c r="I154" s="69"/>
      <c r="J154" s="69"/>
      <c r="K154" s="69"/>
      <c r="L154" s="70"/>
      <c r="M154" s="114"/>
      <c r="N154" s="72"/>
      <c r="O154" s="72"/>
      <c r="P154" s="73"/>
      <c r="Q154" s="115"/>
    </row>
    <row r="155" spans="1:17" ht="12.75" customHeight="1" x14ac:dyDescent="0.2">
      <c r="A155" s="153"/>
      <c r="B155" s="154"/>
      <c r="C155" s="155"/>
      <c r="D155" s="156"/>
      <c r="E155" s="156"/>
      <c r="F155" s="157"/>
      <c r="G155" s="156"/>
      <c r="H155" s="156"/>
      <c r="I155" s="156"/>
      <c r="J155" s="156"/>
      <c r="K155" s="156"/>
      <c r="L155" s="158"/>
      <c r="M155" s="88"/>
      <c r="N155" s="89"/>
      <c r="O155" s="89"/>
      <c r="P155" s="83" t="s">
        <v>43</v>
      </c>
      <c r="Q155" s="122">
        <f>Q153</f>
        <v>232</v>
      </c>
    </row>
    <row r="156" spans="1:17" ht="12.75" customHeight="1" x14ac:dyDescent="0.2">
      <c r="A156" s="123"/>
      <c r="B156" s="86"/>
      <c r="C156" s="87"/>
      <c r="D156" s="88"/>
      <c r="E156" s="88"/>
      <c r="F156" s="89"/>
      <c r="G156" s="88"/>
      <c r="H156" s="88"/>
      <c r="I156" s="88"/>
      <c r="J156" s="88"/>
      <c r="K156" s="88"/>
      <c r="L156" s="89"/>
      <c r="M156" s="88"/>
      <c r="N156" s="89"/>
      <c r="O156" s="89"/>
      <c r="P156" s="81"/>
      <c r="Q156" s="9"/>
    </row>
    <row r="157" spans="1:17" ht="12.75" customHeight="1" x14ac:dyDescent="0.2">
      <c r="A157" s="90"/>
      <c r="B157" s="91" t="s">
        <v>78</v>
      </c>
      <c r="C157" s="92"/>
      <c r="D157" s="46"/>
      <c r="E157" s="46"/>
      <c r="G157" s="46"/>
      <c r="H157" s="46"/>
      <c r="I157" s="93"/>
      <c r="J157" s="93"/>
      <c r="K157" s="46"/>
      <c r="M157" s="46"/>
      <c r="P157" s="94"/>
    </row>
    <row r="158" spans="1:17" ht="12.75" customHeight="1" x14ac:dyDescent="0.2">
      <c r="A158" s="90"/>
      <c r="B158" s="95"/>
      <c r="C158" s="96"/>
      <c r="D158" s="97"/>
      <c r="E158" s="97"/>
      <c r="G158" s="46"/>
      <c r="H158" s="46"/>
      <c r="I158" s="93"/>
      <c r="J158" s="93"/>
      <c r="K158" s="46"/>
      <c r="M158" s="46"/>
      <c r="P158" s="94"/>
    </row>
    <row r="159" spans="1:17" ht="12.75" customHeight="1" x14ac:dyDescent="0.2">
      <c r="A159" s="43"/>
      <c r="B159" s="44"/>
      <c r="C159" s="45"/>
      <c r="D159" s="46"/>
      <c r="E159" s="46"/>
      <c r="F159" s="47"/>
      <c r="G159" s="48"/>
      <c r="H159" s="48"/>
      <c r="I159" s="100"/>
      <c r="J159" s="100"/>
      <c r="K159" s="48"/>
      <c r="L159" s="49"/>
      <c r="M159" s="48"/>
      <c r="N159" s="49"/>
      <c r="O159" s="49"/>
      <c r="P159" s="50"/>
      <c r="Q159" s="51"/>
    </row>
    <row r="160" spans="1:17" s="53" customFormat="1" ht="12.75" customHeight="1" x14ac:dyDescent="0.2">
      <c r="A160" s="1">
        <v>110105</v>
      </c>
      <c r="B160" s="52">
        <v>8087</v>
      </c>
      <c r="C160" s="57" t="s">
        <v>79</v>
      </c>
      <c r="D160" s="53">
        <v>287</v>
      </c>
      <c r="E160" s="53">
        <v>433</v>
      </c>
      <c r="F160" s="10">
        <f t="shared" ref="F160:F168" si="58">E160*0.666*24/72</f>
        <v>96.126000000000019</v>
      </c>
      <c r="G160" s="94">
        <v>93</v>
      </c>
      <c r="H160" s="94">
        <v>0</v>
      </c>
      <c r="I160" s="94">
        <v>0</v>
      </c>
      <c r="J160" s="94">
        <v>0</v>
      </c>
      <c r="K160" s="94">
        <v>41</v>
      </c>
      <c r="L160" s="94">
        <v>0</v>
      </c>
      <c r="M160" s="94"/>
      <c r="N160" s="10">
        <f>ROUND((+F160*M160)/100,0)</f>
        <v>0</v>
      </c>
      <c r="O160" s="10">
        <f>IF(L160&gt;N160,+L160-N160,0)</f>
        <v>0</v>
      </c>
      <c r="P160" s="94">
        <v>80</v>
      </c>
      <c r="Q160" s="143">
        <f>+P160</f>
        <v>80</v>
      </c>
    </row>
    <row r="161" spans="1:17" s="53" customFormat="1" ht="12.75" customHeight="1" x14ac:dyDescent="0.2">
      <c r="A161" s="1">
        <v>110108</v>
      </c>
      <c r="B161" s="52">
        <v>8052</v>
      </c>
      <c r="C161" s="57" t="s">
        <v>80</v>
      </c>
      <c r="D161" s="53">
        <v>469</v>
      </c>
      <c r="E161" s="53">
        <v>709</v>
      </c>
      <c r="F161" s="10">
        <f t="shared" si="58"/>
        <v>157.39800000000002</v>
      </c>
      <c r="G161" s="94">
        <v>120</v>
      </c>
      <c r="H161" s="94">
        <v>0</v>
      </c>
      <c r="I161" s="94">
        <v>0</v>
      </c>
      <c r="J161" s="94">
        <v>0</v>
      </c>
      <c r="K161" s="94">
        <v>60</v>
      </c>
      <c r="L161" s="94">
        <v>0</v>
      </c>
      <c r="M161" s="94"/>
      <c r="N161" s="10">
        <f>ROUND((+F161*M161)/100,0)</f>
        <v>0</v>
      </c>
      <c r="O161" s="10">
        <f>IF(L161&gt;N161,+L161-N161,0)</f>
        <v>0</v>
      </c>
      <c r="P161" s="94">
        <v>150</v>
      </c>
      <c r="Q161" s="143">
        <f>+P161</f>
        <v>150</v>
      </c>
    </row>
    <row r="162" spans="1:17" ht="12.75" customHeight="1" x14ac:dyDescent="0.2">
      <c r="A162" s="1">
        <v>120178</v>
      </c>
      <c r="B162" s="52">
        <v>8004</v>
      </c>
      <c r="C162" s="57" t="s">
        <v>81</v>
      </c>
      <c r="D162" s="53">
        <v>120</v>
      </c>
      <c r="E162" s="53">
        <v>168</v>
      </c>
      <c r="F162" s="10">
        <f t="shared" si="58"/>
        <v>37.295999999999999</v>
      </c>
      <c r="G162" s="94">
        <v>0</v>
      </c>
      <c r="H162" s="94">
        <v>0</v>
      </c>
      <c r="I162" s="94">
        <v>0</v>
      </c>
      <c r="J162" s="94">
        <v>0</v>
      </c>
      <c r="K162" s="94">
        <v>27</v>
      </c>
      <c r="L162" s="94">
        <v>0</v>
      </c>
      <c r="M162" s="94"/>
      <c r="N162" s="10">
        <f>ROUND((+F162*M162)/100,0)</f>
        <v>0</v>
      </c>
      <c r="O162" s="10">
        <v>0</v>
      </c>
      <c r="P162" s="94">
        <v>30</v>
      </c>
      <c r="Q162" s="143">
        <f>+P162</f>
        <v>30</v>
      </c>
    </row>
    <row r="163" spans="1:17" ht="12.75" customHeight="1" x14ac:dyDescent="0.2">
      <c r="A163" s="1">
        <v>124101</v>
      </c>
      <c r="B163" s="52">
        <v>70</v>
      </c>
      <c r="C163" s="57" t="s">
        <v>82</v>
      </c>
      <c r="D163" s="53">
        <v>79</v>
      </c>
      <c r="E163" s="53">
        <v>114</v>
      </c>
      <c r="F163" s="10">
        <f t="shared" si="58"/>
        <v>25.308000000000003</v>
      </c>
      <c r="G163" s="54">
        <v>0</v>
      </c>
      <c r="H163" s="94">
        <v>0</v>
      </c>
      <c r="I163" s="94">
        <v>0</v>
      </c>
      <c r="J163" s="94">
        <v>0</v>
      </c>
      <c r="K163" s="54">
        <v>20</v>
      </c>
      <c r="L163" s="10">
        <v>0</v>
      </c>
      <c r="M163" s="94"/>
      <c r="N163" s="10">
        <v>0</v>
      </c>
      <c r="O163" s="10">
        <v>0</v>
      </c>
      <c r="P163" s="54">
        <v>20</v>
      </c>
      <c r="Q163" s="143">
        <f>P163</f>
        <v>20</v>
      </c>
    </row>
    <row r="164" spans="1:17" ht="12.75" customHeight="1" x14ac:dyDescent="0.2">
      <c r="A164" s="312">
        <v>124104</v>
      </c>
      <c r="B164" s="313">
        <v>8015</v>
      </c>
      <c r="C164" s="314" t="s">
        <v>394</v>
      </c>
      <c r="D164" s="53">
        <v>67</v>
      </c>
      <c r="E164" s="53">
        <v>97</v>
      </c>
      <c r="F164" s="10">
        <f t="shared" ref="F164" si="59">E164*0.666*24/72</f>
        <v>21.534000000000002</v>
      </c>
      <c r="G164" s="54">
        <v>0</v>
      </c>
      <c r="H164" s="94">
        <v>0</v>
      </c>
      <c r="I164" s="94">
        <v>0</v>
      </c>
      <c r="J164" s="94">
        <v>0</v>
      </c>
      <c r="K164" s="54">
        <v>0</v>
      </c>
      <c r="L164" s="10">
        <v>0</v>
      </c>
      <c r="M164" s="94"/>
      <c r="N164" s="10">
        <v>0</v>
      </c>
      <c r="O164" s="10">
        <v>0</v>
      </c>
      <c r="P164" s="54">
        <v>20</v>
      </c>
      <c r="Q164" s="143">
        <f>P164</f>
        <v>20</v>
      </c>
    </row>
    <row r="165" spans="1:17" ht="12.75" customHeight="1" x14ac:dyDescent="0.2">
      <c r="A165" s="1">
        <v>307107</v>
      </c>
      <c r="B165" s="52">
        <v>8015</v>
      </c>
      <c r="C165" s="57" t="s">
        <v>83</v>
      </c>
      <c r="D165" s="53">
        <v>130</v>
      </c>
      <c r="E165" s="53">
        <v>172</v>
      </c>
      <c r="F165" s="10">
        <f t="shared" si="58"/>
        <v>38.183999999999997</v>
      </c>
      <c r="G165" s="94">
        <v>0</v>
      </c>
      <c r="H165" s="94">
        <v>0</v>
      </c>
      <c r="I165" s="94">
        <v>0</v>
      </c>
      <c r="J165" s="94">
        <v>0</v>
      </c>
      <c r="K165" s="94">
        <v>31</v>
      </c>
      <c r="L165" s="94">
        <v>0</v>
      </c>
      <c r="M165" s="94"/>
      <c r="N165" s="10">
        <f>ROUND((+F165*M165)/100,0)</f>
        <v>0</v>
      </c>
      <c r="O165" s="10">
        <v>0</v>
      </c>
      <c r="P165" s="94">
        <v>31</v>
      </c>
      <c r="Q165" s="143">
        <f>+P165</f>
        <v>31</v>
      </c>
    </row>
    <row r="166" spans="1:17" s="53" customFormat="1" ht="12.75" customHeight="1" x14ac:dyDescent="0.2">
      <c r="A166" s="1">
        <v>308101</v>
      </c>
      <c r="B166" s="52">
        <v>8010</v>
      </c>
      <c r="C166" s="57" t="s">
        <v>84</v>
      </c>
      <c r="D166" s="53">
        <v>118</v>
      </c>
      <c r="E166" s="53">
        <v>159</v>
      </c>
      <c r="F166" s="10">
        <f t="shared" si="58"/>
        <v>35.298000000000002</v>
      </c>
      <c r="G166" s="94">
        <v>0</v>
      </c>
      <c r="H166" s="94">
        <v>0</v>
      </c>
      <c r="I166" s="94">
        <v>0</v>
      </c>
      <c r="J166" s="94">
        <v>0</v>
      </c>
      <c r="K166" s="94">
        <v>30</v>
      </c>
      <c r="L166" s="94">
        <v>0</v>
      </c>
      <c r="M166" s="94"/>
      <c r="N166" s="10">
        <f>ROUND((+F166*M166)/100,0)</f>
        <v>0</v>
      </c>
      <c r="O166" s="10">
        <v>0</v>
      </c>
      <c r="P166" s="94">
        <v>30</v>
      </c>
      <c r="Q166" s="143">
        <f>+P166</f>
        <v>30</v>
      </c>
    </row>
    <row r="167" spans="1:17" ht="12.75" customHeight="1" x14ac:dyDescent="0.2">
      <c r="A167" s="1">
        <v>515101</v>
      </c>
      <c r="B167" s="52">
        <v>8001</v>
      </c>
      <c r="C167" s="57" t="s">
        <v>85</v>
      </c>
      <c r="D167" s="53">
        <v>133</v>
      </c>
      <c r="E167" s="53">
        <v>201</v>
      </c>
      <c r="F167" s="10">
        <f t="shared" si="58"/>
        <v>44.622000000000007</v>
      </c>
      <c r="G167" s="94">
        <v>0</v>
      </c>
      <c r="H167" s="94">
        <v>0</v>
      </c>
      <c r="I167" s="54">
        <v>0</v>
      </c>
      <c r="J167" s="54">
        <v>0</v>
      </c>
      <c r="K167" s="94">
        <v>37</v>
      </c>
      <c r="L167" s="94">
        <v>0</v>
      </c>
      <c r="M167" s="94"/>
      <c r="N167" s="10">
        <f>ROUND((+F167*M167)/100,0)</f>
        <v>0</v>
      </c>
      <c r="O167" s="10">
        <v>0</v>
      </c>
      <c r="P167" s="94">
        <v>48</v>
      </c>
      <c r="Q167" s="143">
        <f>+P167</f>
        <v>48</v>
      </c>
    </row>
    <row r="168" spans="1:17" ht="12.75" customHeight="1" x14ac:dyDescent="0.2">
      <c r="A168" s="1">
        <v>515117</v>
      </c>
      <c r="B168" s="52">
        <v>8003</v>
      </c>
      <c r="C168" s="57" t="s">
        <v>303</v>
      </c>
      <c r="D168" s="53">
        <v>82</v>
      </c>
      <c r="E168" s="53">
        <v>86</v>
      </c>
      <c r="F168" s="10">
        <f t="shared" si="58"/>
        <v>19.091999999999999</v>
      </c>
      <c r="G168" s="94">
        <v>0</v>
      </c>
      <c r="H168" s="94">
        <v>0</v>
      </c>
      <c r="I168" s="54">
        <v>0</v>
      </c>
      <c r="J168" s="54">
        <v>0</v>
      </c>
      <c r="K168" s="94">
        <v>15</v>
      </c>
      <c r="L168" s="94">
        <v>0</v>
      </c>
      <c r="M168" s="94"/>
      <c r="N168" s="10">
        <f>ROUND((+F168*M168)/100,0)</f>
        <v>0</v>
      </c>
      <c r="O168" s="10">
        <v>0</v>
      </c>
      <c r="P168" s="94">
        <v>15</v>
      </c>
      <c r="Q168" s="143">
        <f>+P168</f>
        <v>15</v>
      </c>
    </row>
    <row r="169" spans="1:17" ht="12.75" customHeight="1" x14ac:dyDescent="0.2">
      <c r="A169" s="3"/>
      <c r="B169" s="95"/>
      <c r="C169" s="96"/>
      <c r="D169" s="97"/>
      <c r="E169" s="97"/>
      <c r="G169" s="46"/>
      <c r="H169" s="46"/>
      <c r="I169" s="46"/>
      <c r="J169" s="46"/>
      <c r="K169" s="46"/>
      <c r="M169" s="46"/>
      <c r="P169" s="54"/>
      <c r="Q169" s="129"/>
    </row>
    <row r="170" spans="1:17" ht="12.75" customHeight="1" x14ac:dyDescent="0.2">
      <c r="A170" s="43" t="s">
        <v>41</v>
      </c>
      <c r="B170" s="44"/>
      <c r="C170" s="45">
        <f>COUNTA(A160:A168)</f>
        <v>9</v>
      </c>
      <c r="D170" s="48">
        <f t="shared" ref="D170:Q170" si="60">SUM(D160:D168)</f>
        <v>1485</v>
      </c>
      <c r="E170" s="48">
        <f t="shared" si="60"/>
        <v>2139</v>
      </c>
      <c r="F170" s="47">
        <f t="shared" si="60"/>
        <v>474.858</v>
      </c>
      <c r="G170" s="47">
        <f t="shared" si="60"/>
        <v>213</v>
      </c>
      <c r="H170" s="47">
        <f t="shared" si="60"/>
        <v>0</v>
      </c>
      <c r="I170" s="47">
        <f t="shared" si="60"/>
        <v>0</v>
      </c>
      <c r="J170" s="47">
        <f t="shared" si="60"/>
        <v>0</v>
      </c>
      <c r="K170" s="47">
        <f t="shared" si="60"/>
        <v>261</v>
      </c>
      <c r="L170" s="47">
        <f t="shared" si="60"/>
        <v>0</v>
      </c>
      <c r="M170" s="47">
        <f t="shared" si="60"/>
        <v>0</v>
      </c>
      <c r="N170" s="47">
        <f t="shared" si="60"/>
        <v>0</v>
      </c>
      <c r="O170" s="47">
        <f t="shared" si="60"/>
        <v>0</v>
      </c>
      <c r="P170" s="47">
        <f t="shared" si="60"/>
        <v>424</v>
      </c>
      <c r="Q170" s="47">
        <f t="shared" si="60"/>
        <v>424</v>
      </c>
    </row>
    <row r="171" spans="1:17" ht="12.75" customHeight="1" x14ac:dyDescent="0.2">
      <c r="A171" s="133" t="s">
        <v>47</v>
      </c>
      <c r="B171" s="67"/>
      <c r="C171" s="68"/>
      <c r="D171" s="69"/>
      <c r="E171" s="69"/>
      <c r="F171" s="70"/>
      <c r="G171" s="69"/>
      <c r="H171" s="69"/>
      <c r="I171" s="69"/>
      <c r="J171" s="69"/>
      <c r="K171" s="69"/>
      <c r="L171" s="47"/>
      <c r="M171" s="150"/>
      <c r="N171" s="132"/>
      <c r="O171" s="132"/>
      <c r="P171" s="73"/>
      <c r="Q171" s="74"/>
    </row>
    <row r="172" spans="1:17" ht="12.75" customHeight="1" x14ac:dyDescent="0.2">
      <c r="A172" s="290"/>
      <c r="B172" s="287"/>
      <c r="C172" s="288"/>
      <c r="D172" s="174"/>
      <c r="E172" s="174"/>
      <c r="G172" s="174"/>
      <c r="H172" s="174"/>
      <c r="I172" s="174"/>
      <c r="J172" s="174"/>
      <c r="K172" s="174"/>
      <c r="L172" s="129"/>
      <c r="M172" s="81"/>
      <c r="N172" s="82"/>
      <c r="O172" s="82"/>
      <c r="P172" s="83" t="s">
        <v>43</v>
      </c>
      <c r="Q172" s="122">
        <f>Q170</f>
        <v>424</v>
      </c>
    </row>
    <row r="173" spans="1:17" ht="12.75" customHeight="1" x14ac:dyDescent="0.2">
      <c r="A173" s="291"/>
      <c r="B173" s="287"/>
      <c r="C173" s="288"/>
      <c r="D173" s="174"/>
      <c r="E173" s="174"/>
      <c r="G173" s="174"/>
      <c r="H173" s="174"/>
      <c r="I173" s="174"/>
      <c r="J173" s="174"/>
      <c r="K173" s="174"/>
      <c r="L173" s="129"/>
      <c r="M173" s="81"/>
      <c r="N173" s="82"/>
      <c r="O173" s="82"/>
      <c r="P173" s="83"/>
      <c r="Q173" s="122"/>
    </row>
    <row r="174" spans="1:17" ht="12.75" customHeight="1" x14ac:dyDescent="0.2">
      <c r="A174" s="289"/>
      <c r="B174" s="117"/>
      <c r="C174" s="118"/>
      <c r="D174" s="119"/>
      <c r="E174" s="119"/>
      <c r="F174" s="120"/>
      <c r="G174" s="119"/>
      <c r="H174" s="119"/>
      <c r="I174" s="119"/>
      <c r="J174" s="119"/>
      <c r="K174" s="119"/>
      <c r="L174" s="121"/>
      <c r="M174" s="81"/>
      <c r="N174" s="82"/>
      <c r="O174" s="82"/>
      <c r="P174" s="83"/>
      <c r="Q174" s="122"/>
    </row>
    <row r="175" spans="1:17" ht="12.75" customHeight="1" x14ac:dyDescent="0.2">
      <c r="A175" s="90" t="s">
        <v>86</v>
      </c>
      <c r="B175" s="95"/>
      <c r="C175" s="96"/>
      <c r="D175" s="46"/>
      <c r="E175" s="46"/>
      <c r="G175" s="46"/>
      <c r="H175" s="46"/>
      <c r="I175" s="93"/>
      <c r="J175" s="93"/>
      <c r="K175" s="46"/>
      <c r="M175" s="46"/>
      <c r="P175" s="94"/>
    </row>
    <row r="176" spans="1:17" ht="12.75" customHeight="1" x14ac:dyDescent="0.2">
      <c r="A176" s="90"/>
      <c r="B176" s="91" t="s">
        <v>87</v>
      </c>
      <c r="C176" s="159"/>
      <c r="D176" s="94"/>
      <c r="E176" s="94"/>
      <c r="F176" s="139"/>
      <c r="G176" s="94"/>
      <c r="H176" s="94"/>
      <c r="I176" s="93"/>
      <c r="J176" s="93"/>
      <c r="K176" s="46"/>
      <c r="M176" s="46"/>
      <c r="P176" s="94"/>
    </row>
    <row r="177" spans="1:18" s="53" customFormat="1" ht="12.75" customHeight="1" x14ac:dyDescent="0.2">
      <c r="A177" s="90"/>
      <c r="B177" s="95"/>
      <c r="C177" s="96"/>
      <c r="D177" s="97"/>
      <c r="E177" s="97"/>
      <c r="F177" s="9"/>
      <c r="G177" s="46"/>
      <c r="H177" s="46"/>
      <c r="I177" s="93"/>
      <c r="J177" s="93"/>
      <c r="K177" s="46"/>
      <c r="L177" s="8"/>
      <c r="M177" s="46"/>
      <c r="N177" s="8"/>
      <c r="O177" s="8"/>
      <c r="P177" s="94"/>
      <c r="Q177" s="8"/>
    </row>
    <row r="178" spans="1:18" s="53" customFormat="1" ht="12.75" customHeight="1" x14ac:dyDescent="0.2">
      <c r="A178" s="43"/>
      <c r="B178" s="44"/>
      <c r="C178" s="45"/>
      <c r="D178" s="46"/>
      <c r="E178" s="46"/>
      <c r="F178" s="47"/>
      <c r="G178" s="48"/>
      <c r="H178" s="48"/>
      <c r="I178" s="100"/>
      <c r="J178" s="100"/>
      <c r="K178" s="48"/>
      <c r="L178" s="49"/>
      <c r="M178" s="48"/>
      <c r="N178" s="49"/>
      <c r="O178" s="49"/>
      <c r="P178" s="50"/>
      <c r="Q178" s="51"/>
    </row>
    <row r="179" spans="1:18" s="53" customFormat="1" ht="12.75" customHeight="1" x14ac:dyDescent="0.2">
      <c r="A179" s="1">
        <v>10104</v>
      </c>
      <c r="B179" s="52">
        <v>115</v>
      </c>
      <c r="C179" s="57" t="s">
        <v>296</v>
      </c>
      <c r="D179" s="53">
        <v>46</v>
      </c>
      <c r="E179" s="53">
        <v>75</v>
      </c>
      <c r="F179" s="10">
        <f t="shared" ref="F179:F189" si="61">E179*0.666*24/72</f>
        <v>16.650000000000002</v>
      </c>
      <c r="G179" s="94">
        <v>0</v>
      </c>
      <c r="H179" s="94">
        <v>0</v>
      </c>
      <c r="I179" s="54">
        <v>0</v>
      </c>
      <c r="J179" s="54">
        <v>0</v>
      </c>
      <c r="K179" s="94">
        <v>10</v>
      </c>
      <c r="L179" s="10"/>
      <c r="M179" s="94">
        <v>0</v>
      </c>
      <c r="N179" s="10">
        <f t="shared" ref="N179:N189" si="62">ROUND((+F179*M179)/100,0)</f>
        <v>0</v>
      </c>
      <c r="O179" s="10">
        <v>0</v>
      </c>
      <c r="P179" s="94">
        <v>10</v>
      </c>
      <c r="Q179" s="143">
        <f t="shared" ref="Q179:Q189" si="63">+P179</f>
        <v>10</v>
      </c>
    </row>
    <row r="180" spans="1:18" s="53" customFormat="1" ht="12.75" customHeight="1" x14ac:dyDescent="0.2">
      <c r="A180" s="1">
        <v>10105</v>
      </c>
      <c r="B180" s="52">
        <v>134</v>
      </c>
      <c r="C180" s="57" t="s">
        <v>346</v>
      </c>
      <c r="D180" s="53">
        <v>131</v>
      </c>
      <c r="E180" s="53">
        <v>181</v>
      </c>
      <c r="F180" s="10">
        <f t="shared" ref="F180" si="64">E180*0.666*24/72</f>
        <v>40.182000000000002</v>
      </c>
      <c r="G180" s="94">
        <v>25</v>
      </c>
      <c r="H180" s="94">
        <v>0</v>
      </c>
      <c r="I180" s="54">
        <v>0</v>
      </c>
      <c r="J180" s="54">
        <v>0</v>
      </c>
      <c r="K180" s="94">
        <v>24</v>
      </c>
      <c r="L180" s="10"/>
      <c r="M180" s="94">
        <v>0</v>
      </c>
      <c r="N180" s="10">
        <f t="shared" ref="N180" si="65">ROUND((+F180*M180)/100,0)</f>
        <v>0</v>
      </c>
      <c r="O180" s="10">
        <v>0</v>
      </c>
      <c r="P180" s="94">
        <v>0</v>
      </c>
      <c r="Q180" s="143">
        <f t="shared" ref="Q180" si="66">+P180</f>
        <v>0</v>
      </c>
    </row>
    <row r="181" spans="1:18" s="53" customFormat="1" ht="12.75" customHeight="1" x14ac:dyDescent="0.2">
      <c r="A181" s="1">
        <v>57102</v>
      </c>
      <c r="B181" s="52">
        <v>14</v>
      </c>
      <c r="C181" s="57" t="s">
        <v>88</v>
      </c>
      <c r="D181" s="53">
        <v>143</v>
      </c>
      <c r="E181" s="53">
        <v>180</v>
      </c>
      <c r="F181" s="10">
        <f t="shared" si="61"/>
        <v>39.960000000000008</v>
      </c>
      <c r="G181" s="94">
        <v>27</v>
      </c>
      <c r="H181" s="94">
        <v>0</v>
      </c>
      <c r="I181" s="54">
        <v>0</v>
      </c>
      <c r="J181" s="54">
        <v>0</v>
      </c>
      <c r="K181" s="94">
        <v>0</v>
      </c>
      <c r="L181" s="10"/>
      <c r="M181" s="94">
        <v>0</v>
      </c>
      <c r="N181" s="10">
        <f t="shared" si="62"/>
        <v>0</v>
      </c>
      <c r="O181" s="10">
        <v>0</v>
      </c>
      <c r="P181" s="94">
        <v>30</v>
      </c>
      <c r="Q181" s="143">
        <f t="shared" si="63"/>
        <v>30</v>
      </c>
    </row>
    <row r="182" spans="1:18" s="53" customFormat="1" ht="12.75" customHeight="1" x14ac:dyDescent="0.2">
      <c r="A182" s="1">
        <v>57112</v>
      </c>
      <c r="B182" s="52">
        <v>73</v>
      </c>
      <c r="C182" s="57" t="s">
        <v>243</v>
      </c>
      <c r="D182" s="53">
        <v>32</v>
      </c>
      <c r="E182" s="53">
        <v>72</v>
      </c>
      <c r="F182" s="10">
        <f t="shared" si="61"/>
        <v>15.984000000000002</v>
      </c>
      <c r="G182" s="94">
        <v>14</v>
      </c>
      <c r="H182" s="94">
        <v>0</v>
      </c>
      <c r="I182" s="54">
        <v>0</v>
      </c>
      <c r="J182" s="54">
        <v>0</v>
      </c>
      <c r="K182" s="94">
        <v>14</v>
      </c>
      <c r="L182" s="10"/>
      <c r="M182" s="94">
        <v>0</v>
      </c>
      <c r="N182" s="10">
        <f t="shared" si="62"/>
        <v>0</v>
      </c>
      <c r="O182" s="10">
        <v>0</v>
      </c>
      <c r="P182" s="94">
        <v>14</v>
      </c>
      <c r="Q182" s="143">
        <f t="shared" si="63"/>
        <v>14</v>
      </c>
    </row>
    <row r="183" spans="1:18" s="53" customFormat="1" ht="12.75" customHeight="1" x14ac:dyDescent="0.2">
      <c r="A183" s="1">
        <v>57113</v>
      </c>
      <c r="B183" s="52">
        <v>113</v>
      </c>
      <c r="C183" s="57" t="s">
        <v>347</v>
      </c>
      <c r="D183" s="53">
        <v>90</v>
      </c>
      <c r="E183" s="53">
        <v>122</v>
      </c>
      <c r="F183" s="10">
        <f t="shared" ref="F183" si="67">E183*0.666*24/72</f>
        <v>27.084000000000003</v>
      </c>
      <c r="G183" s="94">
        <v>20</v>
      </c>
      <c r="H183" s="94">
        <v>0</v>
      </c>
      <c r="I183" s="54">
        <v>0</v>
      </c>
      <c r="J183" s="54">
        <v>0</v>
      </c>
      <c r="K183" s="94">
        <v>20</v>
      </c>
      <c r="L183" s="10"/>
      <c r="M183" s="94">
        <v>0</v>
      </c>
      <c r="N183" s="10">
        <f t="shared" ref="N183" si="68">ROUND((+F183*M183)/100,0)</f>
        <v>0</v>
      </c>
      <c r="O183" s="10">
        <v>0</v>
      </c>
      <c r="P183" s="94">
        <v>0</v>
      </c>
      <c r="Q183" s="143">
        <f t="shared" ref="Q183" si="69">+P183</f>
        <v>0</v>
      </c>
    </row>
    <row r="184" spans="1:18" s="53" customFormat="1" ht="12.75" customHeight="1" x14ac:dyDescent="0.2">
      <c r="A184" s="1">
        <v>198115</v>
      </c>
      <c r="B184" s="52">
        <v>125</v>
      </c>
      <c r="C184" s="57" t="s">
        <v>288</v>
      </c>
      <c r="D184" s="53">
        <v>89</v>
      </c>
      <c r="E184" s="53">
        <v>130</v>
      </c>
      <c r="F184" s="10">
        <f t="shared" si="61"/>
        <v>28.86</v>
      </c>
      <c r="G184" s="94">
        <v>22</v>
      </c>
      <c r="H184" s="94">
        <v>0</v>
      </c>
      <c r="I184" s="54">
        <v>0</v>
      </c>
      <c r="J184" s="54">
        <v>0</v>
      </c>
      <c r="K184" s="94">
        <v>20</v>
      </c>
      <c r="L184" s="10"/>
      <c r="M184" s="94">
        <v>0</v>
      </c>
      <c r="N184" s="10">
        <f t="shared" si="62"/>
        <v>0</v>
      </c>
      <c r="O184" s="10">
        <v>0</v>
      </c>
      <c r="P184" s="94">
        <v>0</v>
      </c>
      <c r="Q184" s="143">
        <f t="shared" si="63"/>
        <v>0</v>
      </c>
    </row>
    <row r="185" spans="1:18" s="53" customFormat="1" ht="12.75" customHeight="1" x14ac:dyDescent="0.2">
      <c r="A185" s="1">
        <v>198116</v>
      </c>
      <c r="B185" s="52">
        <v>115</v>
      </c>
      <c r="C185" s="57" t="s">
        <v>297</v>
      </c>
      <c r="D185" s="53">
        <v>17</v>
      </c>
      <c r="E185" s="53">
        <v>34</v>
      </c>
      <c r="F185" s="10">
        <f t="shared" ref="F185" si="70">E185*0.666*24/72</f>
        <v>7.548</v>
      </c>
      <c r="G185" s="94">
        <v>0</v>
      </c>
      <c r="H185" s="94">
        <v>0</v>
      </c>
      <c r="I185" s="54">
        <v>0</v>
      </c>
      <c r="J185" s="54">
        <v>0</v>
      </c>
      <c r="K185" s="94">
        <v>4</v>
      </c>
      <c r="L185" s="10"/>
      <c r="M185" s="94">
        <v>0</v>
      </c>
      <c r="N185" s="10">
        <f t="shared" ref="N185" si="71">ROUND((+F185*M185)/100,0)</f>
        <v>0</v>
      </c>
      <c r="O185" s="10">
        <v>0</v>
      </c>
      <c r="P185" s="94">
        <v>0</v>
      </c>
      <c r="Q185" s="143">
        <f t="shared" ref="Q185" si="72">+P185</f>
        <v>0</v>
      </c>
    </row>
    <row r="186" spans="1:18" s="53" customFormat="1" ht="12.75" customHeight="1" x14ac:dyDescent="0.2">
      <c r="A186" s="1">
        <v>198117</v>
      </c>
      <c r="B186" s="52">
        <v>43</v>
      </c>
      <c r="C186" s="57" t="s">
        <v>338</v>
      </c>
      <c r="D186" s="53">
        <v>45</v>
      </c>
      <c r="E186" s="53">
        <v>78</v>
      </c>
      <c r="F186" s="10">
        <f t="shared" si="61"/>
        <v>17.315999999999999</v>
      </c>
      <c r="G186" s="94">
        <v>10</v>
      </c>
      <c r="H186" s="94">
        <v>0</v>
      </c>
      <c r="I186" s="54">
        <v>0</v>
      </c>
      <c r="J186" s="54">
        <v>0</v>
      </c>
      <c r="K186" s="94">
        <v>10</v>
      </c>
      <c r="L186" s="10"/>
      <c r="M186" s="94">
        <v>0</v>
      </c>
      <c r="N186" s="10">
        <f t="shared" si="62"/>
        <v>0</v>
      </c>
      <c r="O186" s="10">
        <v>0</v>
      </c>
      <c r="P186" s="94">
        <v>10</v>
      </c>
      <c r="Q186" s="143">
        <f t="shared" si="63"/>
        <v>10</v>
      </c>
    </row>
    <row r="187" spans="1:18" s="53" customFormat="1" ht="12.75" customHeight="1" x14ac:dyDescent="0.2">
      <c r="A187" s="1">
        <v>198118</v>
      </c>
      <c r="B187" s="52">
        <v>44</v>
      </c>
      <c r="C187" s="57" t="s">
        <v>345</v>
      </c>
      <c r="D187" s="53">
        <v>67</v>
      </c>
      <c r="E187" s="53">
        <v>124</v>
      </c>
      <c r="F187" s="10">
        <f t="shared" ref="F187" si="73">E187*0.666*24/72</f>
        <v>27.528000000000002</v>
      </c>
      <c r="G187" s="94">
        <v>20</v>
      </c>
      <c r="H187" s="94">
        <v>0</v>
      </c>
      <c r="I187" s="54">
        <v>0</v>
      </c>
      <c r="J187" s="54">
        <v>0</v>
      </c>
      <c r="K187" s="94">
        <v>17</v>
      </c>
      <c r="L187" s="10"/>
      <c r="M187" s="94">
        <v>0</v>
      </c>
      <c r="N187" s="10">
        <f t="shared" ref="N187" si="74">ROUND((+F187*M187)/100,0)</f>
        <v>0</v>
      </c>
      <c r="O187" s="10">
        <v>0</v>
      </c>
      <c r="P187" s="94">
        <v>10</v>
      </c>
      <c r="Q187" s="143">
        <f t="shared" ref="Q187" si="75">+P187</f>
        <v>10</v>
      </c>
    </row>
    <row r="188" spans="1:18" s="53" customFormat="1" ht="12.75" customHeight="1" x14ac:dyDescent="0.2">
      <c r="A188" s="1">
        <v>198119</v>
      </c>
      <c r="B188" s="52">
        <v>144</v>
      </c>
      <c r="C188" s="57" t="s">
        <v>367</v>
      </c>
      <c r="D188" s="53">
        <v>142</v>
      </c>
      <c r="E188" s="53">
        <v>177</v>
      </c>
      <c r="F188" s="10">
        <f t="shared" ref="F188" si="76">E188*0.666*24/72</f>
        <v>39.294000000000004</v>
      </c>
      <c r="G188" s="94">
        <v>44</v>
      </c>
      <c r="H188" s="94">
        <v>0</v>
      </c>
      <c r="I188" s="54">
        <v>0</v>
      </c>
      <c r="J188" s="54">
        <v>0</v>
      </c>
      <c r="K188" s="94">
        <v>40</v>
      </c>
      <c r="L188" s="10"/>
      <c r="M188" s="94">
        <v>0</v>
      </c>
      <c r="N188" s="10">
        <f t="shared" ref="N188" si="77">ROUND((+F188*M188)/100,0)</f>
        <v>0</v>
      </c>
      <c r="O188" s="10">
        <v>0</v>
      </c>
      <c r="P188" s="94">
        <v>0</v>
      </c>
      <c r="Q188" s="143">
        <f t="shared" ref="Q188" si="78">+P188</f>
        <v>0</v>
      </c>
    </row>
    <row r="189" spans="1:18" s="53" customFormat="1" ht="12.75" customHeight="1" x14ac:dyDescent="0.2">
      <c r="A189" s="1">
        <v>207104</v>
      </c>
      <c r="B189" s="52">
        <v>12</v>
      </c>
      <c r="C189" s="57" t="s">
        <v>359</v>
      </c>
      <c r="D189" s="53">
        <v>44</v>
      </c>
      <c r="E189" s="53">
        <v>95</v>
      </c>
      <c r="F189" s="10">
        <f t="shared" si="61"/>
        <v>21.09</v>
      </c>
      <c r="G189" s="94">
        <v>24</v>
      </c>
      <c r="H189" s="94">
        <v>0</v>
      </c>
      <c r="I189" s="54">
        <v>0</v>
      </c>
      <c r="J189" s="54">
        <v>0</v>
      </c>
      <c r="K189" s="94">
        <v>24</v>
      </c>
      <c r="L189" s="10"/>
      <c r="M189" s="94">
        <v>0</v>
      </c>
      <c r="N189" s="10">
        <f t="shared" si="62"/>
        <v>0</v>
      </c>
      <c r="O189" s="10">
        <v>0</v>
      </c>
      <c r="P189" s="94">
        <v>20</v>
      </c>
      <c r="Q189" s="143">
        <f t="shared" si="63"/>
        <v>20</v>
      </c>
    </row>
    <row r="190" spans="1:18" ht="12.75" customHeight="1" x14ac:dyDescent="0.2">
      <c r="A190" s="75"/>
      <c r="B190" s="59"/>
      <c r="C190" s="60"/>
      <c r="D190" s="148"/>
      <c r="E190" s="148"/>
      <c r="F190" s="79"/>
      <c r="G190" s="54"/>
      <c r="H190" s="148"/>
      <c r="I190" s="62"/>
      <c r="J190" s="62"/>
      <c r="K190" s="54"/>
      <c r="L190" s="61"/>
      <c r="M190" s="148"/>
      <c r="N190" s="61"/>
      <c r="O190" s="61"/>
      <c r="P190" s="54"/>
      <c r="Q190" s="80"/>
      <c r="R190" s="53"/>
    </row>
    <row r="191" spans="1:18" ht="12.75" customHeight="1" x14ac:dyDescent="0.2">
      <c r="A191" s="109" t="s">
        <v>41</v>
      </c>
      <c r="B191" s="110"/>
      <c r="C191" s="111">
        <f>COUNTA(A179:A189)</f>
        <v>11</v>
      </c>
      <c r="D191" s="131">
        <f t="shared" ref="D191:P191" si="79">SUM(D179:D189)</f>
        <v>846</v>
      </c>
      <c r="E191" s="131">
        <f t="shared" si="79"/>
        <v>1268</v>
      </c>
      <c r="F191" s="132">
        <f t="shared" si="79"/>
        <v>281.49599999999998</v>
      </c>
      <c r="G191" s="132">
        <f t="shared" si="79"/>
        <v>206</v>
      </c>
      <c r="H191" s="132">
        <f t="shared" si="79"/>
        <v>0</v>
      </c>
      <c r="I191" s="132">
        <f t="shared" si="79"/>
        <v>0</v>
      </c>
      <c r="J191" s="132">
        <f t="shared" si="79"/>
        <v>0</v>
      </c>
      <c r="K191" s="132">
        <f t="shared" si="79"/>
        <v>183</v>
      </c>
      <c r="L191" s="132">
        <f t="shared" si="79"/>
        <v>0</v>
      </c>
      <c r="M191" s="132">
        <f t="shared" si="79"/>
        <v>0</v>
      </c>
      <c r="N191" s="132">
        <f t="shared" si="79"/>
        <v>0</v>
      </c>
      <c r="O191" s="132">
        <f t="shared" si="79"/>
        <v>0</v>
      </c>
      <c r="P191" s="132">
        <f t="shared" si="79"/>
        <v>94</v>
      </c>
      <c r="Q191" s="132">
        <f>SUM(Q178:Q190)</f>
        <v>94</v>
      </c>
    </row>
    <row r="192" spans="1:18" ht="17.25" customHeight="1" x14ac:dyDescent="0.2">
      <c r="A192" s="160" t="s">
        <v>380</v>
      </c>
      <c r="B192" s="67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2"/>
      <c r="N192" s="162"/>
      <c r="O192" s="163"/>
      <c r="P192" s="164"/>
      <c r="Q192" s="70"/>
    </row>
    <row r="193" spans="1:19" ht="12.75" customHeight="1" x14ac:dyDescent="0.2">
      <c r="A193" s="75"/>
      <c r="B193" s="76"/>
      <c r="C193" s="118"/>
      <c r="D193" s="119"/>
      <c r="E193" s="78"/>
      <c r="F193" s="79"/>
      <c r="G193" s="78"/>
      <c r="H193" s="78"/>
      <c r="I193" s="78"/>
      <c r="J193" s="78"/>
      <c r="K193" s="78"/>
      <c r="L193" s="80"/>
      <c r="M193" s="81"/>
      <c r="N193" s="82"/>
      <c r="O193" s="82"/>
      <c r="P193" s="83" t="s">
        <v>43</v>
      </c>
      <c r="Q193" s="84">
        <f>Q191+Q192</f>
        <v>94</v>
      </c>
    </row>
    <row r="194" spans="1:19" s="53" customFormat="1" ht="12.75" customHeight="1" x14ac:dyDescent="0.2">
      <c r="A194" s="90" t="s">
        <v>86</v>
      </c>
      <c r="B194" s="95"/>
      <c r="C194" s="96"/>
      <c r="D194" s="46"/>
      <c r="E194" s="46"/>
      <c r="F194" s="9"/>
      <c r="G194" s="46"/>
      <c r="H194" s="46"/>
      <c r="I194" s="46"/>
      <c r="J194" s="46"/>
      <c r="K194" s="46"/>
      <c r="L194" s="8"/>
      <c r="M194" s="46"/>
      <c r="N194" s="8"/>
      <c r="O194" s="8"/>
      <c r="P194" s="94"/>
      <c r="Q194" s="8"/>
    </row>
    <row r="195" spans="1:19" s="53" customFormat="1" ht="12.75" customHeight="1" x14ac:dyDescent="0.2">
      <c r="A195" s="90"/>
      <c r="B195" s="91" t="s">
        <v>89</v>
      </c>
      <c r="C195" s="92"/>
      <c r="D195" s="124"/>
      <c r="E195" s="46"/>
      <c r="F195" s="9"/>
      <c r="G195" s="46"/>
      <c r="H195" s="46"/>
      <c r="I195" s="93"/>
      <c r="J195" s="93"/>
      <c r="K195" s="46"/>
      <c r="L195" s="8"/>
      <c r="M195" s="46"/>
      <c r="N195" s="8"/>
      <c r="O195" s="8"/>
      <c r="P195" s="94"/>
      <c r="Q195" s="8"/>
    </row>
    <row r="196" spans="1:19" ht="12.75" customHeight="1" x14ac:dyDescent="0.2">
      <c r="A196" s="90"/>
      <c r="B196" s="95"/>
      <c r="C196" s="96"/>
      <c r="D196" s="46"/>
      <c r="E196" s="46"/>
      <c r="G196" s="46"/>
      <c r="H196" s="46"/>
      <c r="I196" s="93"/>
      <c r="J196" s="93"/>
      <c r="K196" s="46"/>
      <c r="M196" s="46"/>
      <c r="P196" s="94"/>
    </row>
    <row r="197" spans="1:19" ht="12.75" customHeight="1" x14ac:dyDescent="0.2">
      <c r="A197" s="43"/>
      <c r="B197" s="44"/>
      <c r="C197" s="45"/>
      <c r="D197" s="48"/>
      <c r="E197" s="48"/>
      <c r="F197" s="47"/>
      <c r="G197" s="48"/>
      <c r="H197" s="48"/>
      <c r="I197" s="100"/>
      <c r="J197" s="100"/>
      <c r="K197" s="48"/>
      <c r="L197" s="49"/>
      <c r="M197" s="48"/>
      <c r="N197" s="49"/>
      <c r="O197" s="49"/>
      <c r="P197" s="50"/>
      <c r="Q197" s="51"/>
    </row>
    <row r="198" spans="1:19" ht="12.75" customHeight="1" x14ac:dyDescent="0.2">
      <c r="A198" s="1">
        <v>53102</v>
      </c>
      <c r="B198" s="52">
        <v>110</v>
      </c>
      <c r="C198" s="57" t="s">
        <v>323</v>
      </c>
      <c r="D198" s="53">
        <v>25</v>
      </c>
      <c r="E198" s="53">
        <v>43</v>
      </c>
      <c r="F198" s="10">
        <f t="shared" ref="F198" si="80">E198*0.666*24/72</f>
        <v>9.5459999999999994</v>
      </c>
      <c r="G198" s="94">
        <v>6</v>
      </c>
      <c r="H198" s="94">
        <v>0</v>
      </c>
      <c r="I198" s="54">
        <v>0</v>
      </c>
      <c r="J198" s="54">
        <v>0</v>
      </c>
      <c r="K198" s="94">
        <v>6</v>
      </c>
      <c r="L198" s="94">
        <v>0</v>
      </c>
      <c r="M198" s="94"/>
      <c r="N198" s="10">
        <f t="shared" ref="N198" si="81">ROUND((+F198*M198)/100,0)</f>
        <v>0</v>
      </c>
      <c r="O198" s="10">
        <v>0</v>
      </c>
      <c r="P198" s="94">
        <v>5</v>
      </c>
      <c r="Q198" s="143">
        <f t="shared" ref="Q198:Q204" si="82">+P198</f>
        <v>5</v>
      </c>
    </row>
    <row r="199" spans="1:19" ht="12.75" customHeight="1" x14ac:dyDescent="0.2">
      <c r="A199" s="1">
        <v>5103</v>
      </c>
      <c r="B199" s="52">
        <v>114</v>
      </c>
      <c r="C199" s="57" t="s">
        <v>92</v>
      </c>
      <c r="D199" s="53">
        <v>330</v>
      </c>
      <c r="E199" s="53">
        <v>467</v>
      </c>
      <c r="F199" s="10">
        <f t="shared" ref="F199" si="83">E199*0.666*24/72</f>
        <v>103.67400000000001</v>
      </c>
      <c r="G199" s="94">
        <v>60</v>
      </c>
      <c r="H199" s="94">
        <v>0</v>
      </c>
      <c r="I199" s="54">
        <v>0</v>
      </c>
      <c r="J199" s="54">
        <v>0</v>
      </c>
      <c r="K199" s="94">
        <v>40</v>
      </c>
      <c r="L199" s="94">
        <v>0</v>
      </c>
      <c r="M199" s="94"/>
      <c r="N199" s="10">
        <f t="shared" ref="N199" si="84">ROUND((+F199*M199)/100,0)</f>
        <v>0</v>
      </c>
      <c r="O199" s="10">
        <v>0</v>
      </c>
      <c r="P199" s="94">
        <v>46</v>
      </c>
      <c r="Q199" s="143">
        <f t="shared" si="82"/>
        <v>46</v>
      </c>
    </row>
    <row r="200" spans="1:19" ht="12.75" customHeight="1" x14ac:dyDescent="0.2">
      <c r="A200" s="1">
        <v>64102</v>
      </c>
      <c r="B200" s="52">
        <v>21</v>
      </c>
      <c r="C200" s="57" t="s">
        <v>298</v>
      </c>
      <c r="D200" s="53">
        <v>16</v>
      </c>
      <c r="E200" s="53">
        <v>21</v>
      </c>
      <c r="F200" s="10">
        <f t="shared" ref="F200:F204" si="85">E200*0.666*24/72</f>
        <v>4.6619999999999999</v>
      </c>
      <c r="G200" s="94">
        <v>4</v>
      </c>
      <c r="H200" s="94">
        <v>0</v>
      </c>
      <c r="I200" s="54">
        <v>0</v>
      </c>
      <c r="J200" s="54">
        <v>0</v>
      </c>
      <c r="K200" s="94">
        <v>4</v>
      </c>
      <c r="L200" s="94">
        <v>0</v>
      </c>
      <c r="M200" s="94"/>
      <c r="N200" s="10">
        <f t="shared" ref="N200:N204" si="86">ROUND((+F200*M200)/100,0)</f>
        <v>0</v>
      </c>
      <c r="O200" s="10">
        <v>0</v>
      </c>
      <c r="P200" s="94">
        <v>4</v>
      </c>
      <c r="Q200" s="143">
        <f t="shared" si="82"/>
        <v>4</v>
      </c>
    </row>
    <row r="201" spans="1:19" ht="12.75" customHeight="1" x14ac:dyDescent="0.2">
      <c r="A201" s="1">
        <v>124103</v>
      </c>
      <c r="B201" s="52">
        <v>103</v>
      </c>
      <c r="C201" s="57" t="s">
        <v>90</v>
      </c>
      <c r="D201" s="53">
        <v>53</v>
      </c>
      <c r="E201" s="53">
        <v>89</v>
      </c>
      <c r="F201" s="10">
        <f t="shared" si="85"/>
        <v>19.757999999999999</v>
      </c>
      <c r="G201" s="94">
        <v>13</v>
      </c>
      <c r="H201" s="94">
        <v>0</v>
      </c>
      <c r="I201" s="54">
        <v>0</v>
      </c>
      <c r="J201" s="54">
        <v>0</v>
      </c>
      <c r="K201" s="94">
        <v>13</v>
      </c>
      <c r="L201" s="94">
        <v>0</v>
      </c>
      <c r="M201" s="94"/>
      <c r="N201" s="10">
        <f t="shared" si="86"/>
        <v>0</v>
      </c>
      <c r="O201" s="10">
        <v>0</v>
      </c>
      <c r="P201" s="94">
        <v>13</v>
      </c>
      <c r="Q201" s="143">
        <f t="shared" si="82"/>
        <v>13</v>
      </c>
    </row>
    <row r="202" spans="1:19" ht="12.75" customHeight="1" x14ac:dyDescent="0.2">
      <c r="A202" s="1">
        <v>305102</v>
      </c>
      <c r="B202" s="52">
        <v>115</v>
      </c>
      <c r="C202" s="57" t="s">
        <v>289</v>
      </c>
      <c r="D202" s="53">
        <v>96</v>
      </c>
      <c r="E202" s="53">
        <v>151</v>
      </c>
      <c r="F202" s="10">
        <f t="shared" si="85"/>
        <v>33.521999999999998</v>
      </c>
      <c r="G202" s="94">
        <v>28</v>
      </c>
      <c r="H202" s="94">
        <v>0</v>
      </c>
      <c r="I202" s="54">
        <v>0</v>
      </c>
      <c r="J202" s="54">
        <v>0</v>
      </c>
      <c r="K202" s="94">
        <v>24</v>
      </c>
      <c r="L202" s="94">
        <v>0</v>
      </c>
      <c r="M202" s="94"/>
      <c r="N202" s="10">
        <f t="shared" si="86"/>
        <v>0</v>
      </c>
      <c r="O202" s="10">
        <v>0</v>
      </c>
      <c r="P202" s="94">
        <v>24</v>
      </c>
      <c r="Q202" s="143">
        <f t="shared" si="82"/>
        <v>24</v>
      </c>
      <c r="S202" s="6">
        <f>40+30+31+19+38</f>
        <v>158</v>
      </c>
    </row>
    <row r="203" spans="1:19" ht="12.75" customHeight="1" x14ac:dyDescent="0.2">
      <c r="A203" s="1">
        <v>472103</v>
      </c>
      <c r="B203" s="52">
        <v>96</v>
      </c>
      <c r="C203" s="57" t="s">
        <v>342</v>
      </c>
      <c r="D203" s="53">
        <v>90</v>
      </c>
      <c r="E203" s="53">
        <v>145</v>
      </c>
      <c r="F203" s="10">
        <f t="shared" si="85"/>
        <v>32.190000000000005</v>
      </c>
      <c r="G203" s="94">
        <v>16</v>
      </c>
      <c r="H203" s="94">
        <v>0</v>
      </c>
      <c r="I203" s="54">
        <v>0</v>
      </c>
      <c r="J203" s="54">
        <v>0</v>
      </c>
      <c r="K203" s="94">
        <v>20</v>
      </c>
      <c r="L203" s="94">
        <v>0</v>
      </c>
      <c r="M203" s="94"/>
      <c r="N203" s="10">
        <f t="shared" si="86"/>
        <v>0</v>
      </c>
      <c r="O203" s="10">
        <v>0</v>
      </c>
      <c r="P203" s="94">
        <v>18</v>
      </c>
      <c r="Q203" s="143">
        <f t="shared" si="82"/>
        <v>18</v>
      </c>
    </row>
    <row r="204" spans="1:19" ht="12.75" customHeight="1" x14ac:dyDescent="0.2">
      <c r="A204" s="1">
        <v>508102</v>
      </c>
      <c r="B204" s="52">
        <v>99</v>
      </c>
      <c r="C204" s="57" t="s">
        <v>343</v>
      </c>
      <c r="D204" s="53">
        <v>67</v>
      </c>
      <c r="E204" s="53">
        <v>103</v>
      </c>
      <c r="F204" s="10">
        <f t="shared" si="85"/>
        <v>22.866</v>
      </c>
      <c r="G204" s="94">
        <v>16</v>
      </c>
      <c r="H204" s="94">
        <v>0</v>
      </c>
      <c r="I204" s="54">
        <v>0</v>
      </c>
      <c r="J204" s="54">
        <v>0</v>
      </c>
      <c r="K204" s="94">
        <v>16</v>
      </c>
      <c r="L204" s="94">
        <v>0</v>
      </c>
      <c r="M204" s="94"/>
      <c r="N204" s="10">
        <f t="shared" si="86"/>
        <v>0</v>
      </c>
      <c r="O204" s="10">
        <v>0</v>
      </c>
      <c r="P204" s="94">
        <v>12</v>
      </c>
      <c r="Q204" s="143">
        <f t="shared" si="82"/>
        <v>12</v>
      </c>
      <c r="S204" s="6">
        <f>40+30+31+19+38</f>
        <v>158</v>
      </c>
    </row>
    <row r="205" spans="1:19" ht="12.75" customHeight="1" x14ac:dyDescent="0.2">
      <c r="A205" s="75"/>
      <c r="B205" s="59"/>
      <c r="C205" s="60"/>
      <c r="D205" s="148"/>
      <c r="E205" s="148"/>
      <c r="F205" s="79"/>
      <c r="G205" s="62"/>
      <c r="H205" s="148"/>
      <c r="I205" s="62"/>
      <c r="J205" s="62"/>
      <c r="K205" s="62"/>
      <c r="L205" s="61"/>
      <c r="M205" s="148"/>
      <c r="N205" s="61"/>
      <c r="O205" s="61"/>
      <c r="P205" s="278"/>
      <c r="Q205" s="80"/>
    </row>
    <row r="206" spans="1:19" ht="12.75" customHeight="1" x14ac:dyDescent="0.2">
      <c r="A206" s="43" t="s">
        <v>41</v>
      </c>
      <c r="B206" s="44"/>
      <c r="C206" s="45">
        <f>COUNTA(A198:A204)</f>
        <v>7</v>
      </c>
      <c r="D206" s="48">
        <f t="shared" ref="D206:Q206" si="87">SUM(D198:D204)</f>
        <v>677</v>
      </c>
      <c r="E206" s="48">
        <f t="shared" si="87"/>
        <v>1019</v>
      </c>
      <c r="F206" s="47">
        <f t="shared" si="87"/>
        <v>226.21800000000002</v>
      </c>
      <c r="G206" s="47">
        <f t="shared" si="87"/>
        <v>143</v>
      </c>
      <c r="H206" s="47">
        <f t="shared" si="87"/>
        <v>0</v>
      </c>
      <c r="I206" s="47">
        <f t="shared" si="87"/>
        <v>0</v>
      </c>
      <c r="J206" s="47">
        <f t="shared" si="87"/>
        <v>0</v>
      </c>
      <c r="K206" s="47">
        <f>SUM(K198:K204)</f>
        <v>123</v>
      </c>
      <c r="L206" s="47">
        <f t="shared" si="87"/>
        <v>0</v>
      </c>
      <c r="M206" s="47">
        <f t="shared" si="87"/>
        <v>0</v>
      </c>
      <c r="N206" s="47">
        <f t="shared" si="87"/>
        <v>0</v>
      </c>
      <c r="O206" s="47">
        <f t="shared" si="87"/>
        <v>0</v>
      </c>
      <c r="P206" s="47">
        <f>SUM(P198:P204)</f>
        <v>122</v>
      </c>
      <c r="Q206" s="280">
        <f t="shared" si="87"/>
        <v>122</v>
      </c>
    </row>
    <row r="207" spans="1:19" ht="13.5" customHeight="1" x14ac:dyDescent="0.2">
      <c r="A207" s="165" t="s">
        <v>381</v>
      </c>
      <c r="B207" s="166"/>
      <c r="C207" s="166"/>
      <c r="D207" s="166"/>
      <c r="E207" s="166"/>
      <c r="F207" s="166"/>
      <c r="G207" s="166"/>
      <c r="H207" s="166"/>
      <c r="I207" s="166"/>
      <c r="J207" s="166"/>
      <c r="K207" s="166"/>
      <c r="L207" s="166"/>
      <c r="M207" s="167"/>
      <c r="N207" s="167"/>
      <c r="O207" s="167"/>
      <c r="P207" s="167"/>
      <c r="Q207" s="168"/>
    </row>
    <row r="208" spans="1:19" ht="12.75" customHeight="1" x14ac:dyDescent="0.2">
      <c r="A208" s="272"/>
      <c r="B208" s="117"/>
      <c r="C208" s="118"/>
      <c r="D208" s="119"/>
      <c r="E208" s="119"/>
      <c r="F208" s="120"/>
      <c r="G208" s="119"/>
      <c r="H208" s="119"/>
      <c r="I208" s="119"/>
      <c r="J208" s="119"/>
      <c r="K208" s="119"/>
      <c r="L208" s="121"/>
      <c r="M208" s="88"/>
      <c r="N208" s="89"/>
      <c r="O208" s="89"/>
      <c r="P208" s="83" t="s">
        <v>43</v>
      </c>
      <c r="Q208" s="122">
        <f>Q206+Q207</f>
        <v>122</v>
      </c>
    </row>
    <row r="209" spans="1:17" ht="12.75" customHeight="1" x14ac:dyDescent="0.2">
      <c r="A209" s="123"/>
      <c r="B209" s="86"/>
      <c r="C209" s="87"/>
      <c r="D209" s="88"/>
      <c r="E209" s="88"/>
      <c r="F209" s="89"/>
      <c r="G209" s="88"/>
      <c r="H209" s="88"/>
      <c r="I209" s="88"/>
      <c r="J209" s="88"/>
      <c r="K209" s="88"/>
      <c r="L209" s="89"/>
      <c r="M209" s="88"/>
      <c r="N209" s="89"/>
      <c r="O209" s="89"/>
      <c r="P209" s="81"/>
      <c r="Q209" s="9"/>
    </row>
    <row r="210" spans="1:17" ht="12.75" customHeight="1" x14ac:dyDescent="0.2">
      <c r="A210" s="90"/>
      <c r="B210" s="91" t="s">
        <v>91</v>
      </c>
      <c r="C210" s="92"/>
      <c r="D210" s="124"/>
      <c r="E210" s="46"/>
      <c r="G210" s="46"/>
      <c r="H210" s="46"/>
      <c r="I210" s="93"/>
      <c r="J210" s="93"/>
      <c r="K210" s="46"/>
      <c r="M210" s="46"/>
      <c r="P210" s="94"/>
    </row>
    <row r="211" spans="1:17" ht="12.75" customHeight="1" x14ac:dyDescent="0.2">
      <c r="A211" s="90"/>
      <c r="B211" s="95"/>
      <c r="C211" s="96"/>
      <c r="D211" s="46"/>
      <c r="E211" s="46"/>
      <c r="G211" s="46"/>
      <c r="H211" s="46"/>
      <c r="I211" s="46"/>
      <c r="J211" s="46"/>
      <c r="K211" s="46"/>
      <c r="M211" s="46"/>
      <c r="P211" s="94"/>
    </row>
    <row r="212" spans="1:17" ht="12.75" customHeight="1" x14ac:dyDescent="0.2">
      <c r="A212" s="43"/>
      <c r="B212" s="44"/>
      <c r="C212" s="45"/>
      <c r="D212" s="48"/>
      <c r="E212" s="48"/>
      <c r="F212" s="47"/>
      <c r="G212" s="48"/>
      <c r="H212" s="48"/>
      <c r="I212" s="48"/>
      <c r="J212" s="48"/>
      <c r="K212" s="48"/>
      <c r="L212" s="49"/>
      <c r="M212" s="48"/>
      <c r="N212" s="49"/>
      <c r="O212" s="49"/>
      <c r="P212" s="50"/>
      <c r="Q212" s="51"/>
    </row>
    <row r="213" spans="1:17" ht="12.75" customHeight="1" x14ac:dyDescent="0.2">
      <c r="A213" s="1">
        <v>5101</v>
      </c>
      <c r="B213" s="52">
        <v>28077</v>
      </c>
      <c r="C213" s="57" t="s">
        <v>92</v>
      </c>
      <c r="D213" s="53">
        <v>101</v>
      </c>
      <c r="E213" s="53">
        <v>184</v>
      </c>
      <c r="F213" s="10">
        <f t="shared" ref="F213:F234" si="88">E213*0.666*24/72</f>
        <v>40.848000000000006</v>
      </c>
      <c r="G213" s="94">
        <v>25</v>
      </c>
      <c r="H213" s="94">
        <v>0</v>
      </c>
      <c r="I213" s="54">
        <v>0</v>
      </c>
      <c r="J213" s="54">
        <v>0</v>
      </c>
      <c r="K213" s="94">
        <v>25</v>
      </c>
      <c r="L213" s="10">
        <v>0</v>
      </c>
      <c r="M213" s="94"/>
      <c r="N213" s="10">
        <f t="shared" ref="N213:N234" si="89">ROUND((+F213*M213)/100,0)</f>
        <v>0</v>
      </c>
      <c r="O213" s="10">
        <v>0</v>
      </c>
      <c r="P213" s="94">
        <v>30</v>
      </c>
      <c r="Q213" s="143">
        <f t="shared" ref="Q213:Q234" si="90">+P213</f>
        <v>30</v>
      </c>
    </row>
    <row r="214" spans="1:17" ht="12.75" customHeight="1" x14ac:dyDescent="0.2">
      <c r="A214" s="1">
        <v>5102</v>
      </c>
      <c r="B214" s="52">
        <v>44</v>
      </c>
      <c r="C214" s="57" t="s">
        <v>325</v>
      </c>
      <c r="D214" s="53">
        <v>82</v>
      </c>
      <c r="E214" s="53">
        <v>130</v>
      </c>
      <c r="F214" s="10">
        <f t="shared" si="88"/>
        <v>28.86</v>
      </c>
      <c r="G214" s="94">
        <v>15</v>
      </c>
      <c r="H214" s="94">
        <v>0</v>
      </c>
      <c r="I214" s="54">
        <v>0</v>
      </c>
      <c r="J214" s="54">
        <v>0</v>
      </c>
      <c r="K214" s="94">
        <v>15</v>
      </c>
      <c r="L214" s="10">
        <v>0</v>
      </c>
      <c r="M214" s="94"/>
      <c r="N214" s="10">
        <f t="shared" si="89"/>
        <v>0</v>
      </c>
      <c r="O214" s="10">
        <v>0</v>
      </c>
      <c r="P214" s="94">
        <v>15</v>
      </c>
      <c r="Q214" s="143">
        <f t="shared" si="90"/>
        <v>15</v>
      </c>
    </row>
    <row r="215" spans="1:17" ht="12.75" customHeight="1" x14ac:dyDescent="0.2">
      <c r="A215" s="1">
        <v>43111</v>
      </c>
      <c r="B215" s="52">
        <v>96</v>
      </c>
      <c r="C215" s="57" t="s">
        <v>314</v>
      </c>
      <c r="D215" s="53">
        <v>34</v>
      </c>
      <c r="E215" s="53">
        <v>47</v>
      </c>
      <c r="F215" s="10">
        <f t="shared" si="88"/>
        <v>10.434000000000001</v>
      </c>
      <c r="G215" s="94">
        <v>4</v>
      </c>
      <c r="H215" s="94">
        <v>0</v>
      </c>
      <c r="I215" s="54">
        <v>0</v>
      </c>
      <c r="J215" s="54">
        <v>0</v>
      </c>
      <c r="K215" s="94">
        <v>5</v>
      </c>
      <c r="L215" s="10">
        <v>0</v>
      </c>
      <c r="M215" s="94"/>
      <c r="N215" s="10">
        <f t="shared" si="89"/>
        <v>0</v>
      </c>
      <c r="O215" s="10">
        <v>0</v>
      </c>
      <c r="P215" s="94">
        <v>5</v>
      </c>
      <c r="Q215" s="143">
        <f t="shared" si="90"/>
        <v>5</v>
      </c>
    </row>
    <row r="216" spans="1:17" ht="12.75" customHeight="1" x14ac:dyDescent="0.2">
      <c r="A216" s="1">
        <v>66101</v>
      </c>
      <c r="B216" s="52">
        <v>35</v>
      </c>
      <c r="C216" s="57" t="s">
        <v>93</v>
      </c>
      <c r="D216" s="53">
        <v>53</v>
      </c>
      <c r="E216" s="53">
        <v>90</v>
      </c>
      <c r="F216" s="10">
        <f t="shared" si="88"/>
        <v>19.980000000000004</v>
      </c>
      <c r="G216" s="94">
        <v>14</v>
      </c>
      <c r="H216" s="94">
        <v>0</v>
      </c>
      <c r="I216" s="54">
        <v>0</v>
      </c>
      <c r="J216" s="54">
        <v>0</v>
      </c>
      <c r="K216" s="94">
        <v>11</v>
      </c>
      <c r="L216" s="10">
        <v>0</v>
      </c>
      <c r="M216" s="94"/>
      <c r="N216" s="10">
        <f t="shared" si="89"/>
        <v>0</v>
      </c>
      <c r="O216" s="10">
        <v>0</v>
      </c>
      <c r="P216" s="94">
        <v>12</v>
      </c>
      <c r="Q216" s="143">
        <f t="shared" si="90"/>
        <v>12</v>
      </c>
    </row>
    <row r="217" spans="1:17" ht="12.75" customHeight="1" x14ac:dyDescent="0.2">
      <c r="A217" s="1">
        <v>120212</v>
      </c>
      <c r="B217" s="52">
        <v>61</v>
      </c>
      <c r="C217" s="57" t="s">
        <v>94</v>
      </c>
      <c r="D217" s="53">
        <v>203</v>
      </c>
      <c r="E217" s="53">
        <v>318</v>
      </c>
      <c r="F217" s="10">
        <f t="shared" si="88"/>
        <v>70.596000000000004</v>
      </c>
      <c r="G217" s="94">
        <v>7</v>
      </c>
      <c r="H217" s="94">
        <v>0</v>
      </c>
      <c r="I217" s="54">
        <v>0</v>
      </c>
      <c r="J217" s="54">
        <v>0</v>
      </c>
      <c r="K217" s="94">
        <v>20</v>
      </c>
      <c r="L217" s="10">
        <v>0</v>
      </c>
      <c r="M217" s="94"/>
      <c r="N217" s="10">
        <f t="shared" si="89"/>
        <v>0</v>
      </c>
      <c r="O217" s="10">
        <v>0</v>
      </c>
      <c r="P217" s="94">
        <v>57</v>
      </c>
      <c r="Q217" s="143">
        <f t="shared" si="90"/>
        <v>57</v>
      </c>
    </row>
    <row r="218" spans="1:17" ht="12.75" customHeight="1" x14ac:dyDescent="0.2">
      <c r="A218" s="1">
        <v>130103</v>
      </c>
      <c r="B218" s="52">
        <v>32</v>
      </c>
      <c r="C218" s="57" t="s">
        <v>326</v>
      </c>
      <c r="D218" s="53">
        <v>98</v>
      </c>
      <c r="E218" s="53">
        <v>141</v>
      </c>
      <c r="F218" s="10">
        <f t="shared" si="88"/>
        <v>31.302000000000003</v>
      </c>
      <c r="G218" s="94">
        <v>24</v>
      </c>
      <c r="H218" s="94">
        <v>0</v>
      </c>
      <c r="I218" s="54">
        <v>0</v>
      </c>
      <c r="J218" s="54">
        <v>0</v>
      </c>
      <c r="K218" s="94">
        <v>0</v>
      </c>
      <c r="L218" s="10">
        <v>0</v>
      </c>
      <c r="M218" s="94"/>
      <c r="N218" s="10">
        <f t="shared" si="89"/>
        <v>0</v>
      </c>
      <c r="O218" s="10">
        <v>0</v>
      </c>
      <c r="P218" s="94">
        <v>25</v>
      </c>
      <c r="Q218" s="143">
        <f t="shared" si="90"/>
        <v>25</v>
      </c>
    </row>
    <row r="219" spans="1:17" ht="12.75" customHeight="1" x14ac:dyDescent="0.2">
      <c r="A219" s="1">
        <v>141102</v>
      </c>
      <c r="B219" s="52">
        <v>120</v>
      </c>
      <c r="C219" s="57" t="s">
        <v>240</v>
      </c>
      <c r="D219" s="53">
        <v>71</v>
      </c>
      <c r="E219" s="53">
        <v>109</v>
      </c>
      <c r="F219" s="10">
        <f t="shared" si="88"/>
        <v>24.198000000000004</v>
      </c>
      <c r="G219" s="94">
        <v>5</v>
      </c>
      <c r="H219" s="94">
        <v>0</v>
      </c>
      <c r="I219" s="54">
        <v>0</v>
      </c>
      <c r="J219" s="54">
        <v>0</v>
      </c>
      <c r="K219" s="94">
        <v>6</v>
      </c>
      <c r="L219" s="10">
        <v>0</v>
      </c>
      <c r="M219" s="94"/>
      <c r="N219" s="10">
        <f t="shared" si="89"/>
        <v>0</v>
      </c>
      <c r="O219" s="10">
        <v>0</v>
      </c>
      <c r="P219" s="94">
        <v>7</v>
      </c>
      <c r="Q219" s="143">
        <f t="shared" si="90"/>
        <v>7</v>
      </c>
    </row>
    <row r="220" spans="1:17" ht="12.75" customHeight="1" x14ac:dyDescent="0.2">
      <c r="A220" s="1">
        <v>143104</v>
      </c>
      <c r="B220" s="52">
        <v>12</v>
      </c>
      <c r="C220" s="57" t="s">
        <v>311</v>
      </c>
      <c r="D220" s="53">
        <v>32</v>
      </c>
      <c r="E220" s="53">
        <v>43</v>
      </c>
      <c r="F220" s="10">
        <f t="shared" si="88"/>
        <v>9.5459999999999994</v>
      </c>
      <c r="G220" s="94">
        <v>5</v>
      </c>
      <c r="H220" s="94">
        <v>0</v>
      </c>
      <c r="I220" s="54">
        <v>0</v>
      </c>
      <c r="J220" s="54">
        <v>0</v>
      </c>
      <c r="K220" s="94">
        <v>5</v>
      </c>
      <c r="L220" s="10">
        <v>0</v>
      </c>
      <c r="M220" s="94"/>
      <c r="N220" s="10">
        <f t="shared" si="89"/>
        <v>0</v>
      </c>
      <c r="O220" s="10">
        <v>0</v>
      </c>
      <c r="P220" s="94">
        <v>4</v>
      </c>
      <c r="Q220" s="143">
        <f t="shared" si="90"/>
        <v>4</v>
      </c>
    </row>
    <row r="221" spans="1:17" ht="12.75" customHeight="1" x14ac:dyDescent="0.2">
      <c r="A221" s="1">
        <v>143105</v>
      </c>
      <c r="B221" s="52">
        <v>71</v>
      </c>
      <c r="C221" s="57" t="s">
        <v>312</v>
      </c>
      <c r="D221" s="53">
        <v>103</v>
      </c>
      <c r="E221" s="53">
        <v>157</v>
      </c>
      <c r="F221" s="10">
        <f t="shared" si="88"/>
        <v>34.854000000000006</v>
      </c>
      <c r="G221" s="94">
        <v>26</v>
      </c>
      <c r="H221" s="94">
        <v>0</v>
      </c>
      <c r="I221" s="54">
        <v>0</v>
      </c>
      <c r="J221" s="54">
        <v>0</v>
      </c>
      <c r="K221" s="94">
        <v>25</v>
      </c>
      <c r="L221" s="10">
        <v>0</v>
      </c>
      <c r="M221" s="94"/>
      <c r="N221" s="10">
        <f t="shared" si="89"/>
        <v>0</v>
      </c>
      <c r="O221" s="10">
        <v>0</v>
      </c>
      <c r="P221" s="94">
        <v>25</v>
      </c>
      <c r="Q221" s="143">
        <f t="shared" si="90"/>
        <v>25</v>
      </c>
    </row>
    <row r="222" spans="1:17" ht="12.75" customHeight="1" x14ac:dyDescent="0.2">
      <c r="A222" s="1">
        <v>143106</v>
      </c>
      <c r="B222" s="52">
        <v>14</v>
      </c>
      <c r="C222" s="57" t="s">
        <v>313</v>
      </c>
      <c r="D222" s="53">
        <v>43</v>
      </c>
      <c r="E222" s="53">
        <v>61</v>
      </c>
      <c r="F222" s="10">
        <f t="shared" si="88"/>
        <v>13.542000000000002</v>
      </c>
      <c r="G222" s="94">
        <v>12</v>
      </c>
      <c r="H222" s="94">
        <v>0</v>
      </c>
      <c r="I222" s="54">
        <v>0</v>
      </c>
      <c r="J222" s="54">
        <v>0</v>
      </c>
      <c r="K222" s="94">
        <v>12</v>
      </c>
      <c r="L222" s="10">
        <v>0</v>
      </c>
      <c r="M222" s="94"/>
      <c r="N222" s="10">
        <f t="shared" si="89"/>
        <v>0</v>
      </c>
      <c r="O222" s="10">
        <v>0</v>
      </c>
      <c r="P222" s="94">
        <v>12</v>
      </c>
      <c r="Q222" s="143">
        <f t="shared" si="90"/>
        <v>12</v>
      </c>
    </row>
    <row r="223" spans="1:17" ht="12.75" customHeight="1" x14ac:dyDescent="0.2">
      <c r="A223" s="1">
        <v>265102</v>
      </c>
      <c r="B223" s="52">
        <v>40</v>
      </c>
      <c r="C223" s="57" t="s">
        <v>307</v>
      </c>
      <c r="D223" s="53">
        <v>45</v>
      </c>
      <c r="E223" s="53">
        <v>52</v>
      </c>
      <c r="F223" s="10">
        <f t="shared" si="88"/>
        <v>11.544000000000002</v>
      </c>
      <c r="G223" s="94">
        <v>2</v>
      </c>
      <c r="H223" s="94">
        <v>0</v>
      </c>
      <c r="I223" s="54">
        <v>0</v>
      </c>
      <c r="J223" s="54">
        <v>0</v>
      </c>
      <c r="K223" s="94">
        <v>4</v>
      </c>
      <c r="L223" s="10">
        <v>0</v>
      </c>
      <c r="M223" s="94"/>
      <c r="N223" s="10">
        <f t="shared" si="89"/>
        <v>0</v>
      </c>
      <c r="O223" s="10">
        <v>0</v>
      </c>
      <c r="P223" s="94">
        <v>4</v>
      </c>
      <c r="Q223" s="143">
        <f t="shared" si="90"/>
        <v>4</v>
      </c>
    </row>
    <row r="224" spans="1:17" ht="12.75" customHeight="1" x14ac:dyDescent="0.2">
      <c r="A224" s="1">
        <v>265103</v>
      </c>
      <c r="B224" s="52">
        <v>56</v>
      </c>
      <c r="C224" s="57" t="s">
        <v>327</v>
      </c>
      <c r="D224" s="53">
        <v>32</v>
      </c>
      <c r="E224" s="53">
        <v>43</v>
      </c>
      <c r="F224" s="10">
        <f t="shared" si="88"/>
        <v>9.5459999999999994</v>
      </c>
      <c r="G224" s="94">
        <v>1</v>
      </c>
      <c r="H224" s="94">
        <v>0</v>
      </c>
      <c r="I224" s="54">
        <v>0</v>
      </c>
      <c r="J224" s="54">
        <v>0</v>
      </c>
      <c r="K224" s="94">
        <v>3</v>
      </c>
      <c r="L224" s="10">
        <v>0</v>
      </c>
      <c r="M224" s="94"/>
      <c r="N224" s="10">
        <f t="shared" si="89"/>
        <v>0</v>
      </c>
      <c r="O224" s="10">
        <v>0</v>
      </c>
      <c r="P224" s="94">
        <v>3</v>
      </c>
      <c r="Q224" s="143">
        <f t="shared" si="90"/>
        <v>3</v>
      </c>
    </row>
    <row r="225" spans="1:17" ht="12.75" customHeight="1" x14ac:dyDescent="0.2">
      <c r="A225" s="1">
        <v>265104</v>
      </c>
      <c r="B225" s="52">
        <v>39</v>
      </c>
      <c r="C225" s="57" t="s">
        <v>328</v>
      </c>
      <c r="D225" s="53">
        <v>41</v>
      </c>
      <c r="E225" s="53">
        <v>55</v>
      </c>
      <c r="F225" s="10">
        <f t="shared" si="88"/>
        <v>12.21</v>
      </c>
      <c r="G225" s="94">
        <v>8</v>
      </c>
      <c r="H225" s="94">
        <v>0</v>
      </c>
      <c r="I225" s="54">
        <v>0</v>
      </c>
      <c r="J225" s="54">
        <v>0</v>
      </c>
      <c r="K225" s="94">
        <v>7</v>
      </c>
      <c r="L225" s="10">
        <v>0</v>
      </c>
      <c r="M225" s="94"/>
      <c r="N225" s="10">
        <f t="shared" si="89"/>
        <v>0</v>
      </c>
      <c r="O225" s="10">
        <v>0</v>
      </c>
      <c r="P225" s="94">
        <v>7</v>
      </c>
      <c r="Q225" s="143">
        <f t="shared" si="90"/>
        <v>7</v>
      </c>
    </row>
    <row r="226" spans="1:17" ht="12.75" customHeight="1" x14ac:dyDescent="0.2">
      <c r="A226" s="1">
        <v>265105</v>
      </c>
      <c r="B226" s="52">
        <v>38</v>
      </c>
      <c r="C226" s="57" t="s">
        <v>329</v>
      </c>
      <c r="D226" s="53">
        <v>41</v>
      </c>
      <c r="E226" s="53">
        <v>58</v>
      </c>
      <c r="F226" s="10">
        <f t="shared" si="88"/>
        <v>12.875999999999999</v>
      </c>
      <c r="G226" s="94">
        <v>10</v>
      </c>
      <c r="H226" s="94">
        <v>0</v>
      </c>
      <c r="I226" s="54">
        <v>0</v>
      </c>
      <c r="J226" s="54">
        <v>0</v>
      </c>
      <c r="K226" s="94">
        <v>9</v>
      </c>
      <c r="L226" s="10">
        <v>0</v>
      </c>
      <c r="M226" s="94"/>
      <c r="N226" s="10">
        <f t="shared" si="89"/>
        <v>0</v>
      </c>
      <c r="O226" s="10">
        <v>0</v>
      </c>
      <c r="P226" s="94">
        <v>9</v>
      </c>
      <c r="Q226" s="143">
        <f t="shared" si="90"/>
        <v>9</v>
      </c>
    </row>
    <row r="227" spans="1:17" ht="12.75" customHeight="1" x14ac:dyDescent="0.2">
      <c r="A227" s="1">
        <v>265106</v>
      </c>
      <c r="B227" s="52">
        <v>63</v>
      </c>
      <c r="C227" s="57" t="s">
        <v>330</v>
      </c>
      <c r="D227" s="53">
        <v>27</v>
      </c>
      <c r="E227" s="53">
        <v>44</v>
      </c>
      <c r="F227" s="10">
        <f t="shared" si="88"/>
        <v>9.7680000000000007</v>
      </c>
      <c r="G227" s="94">
        <v>6</v>
      </c>
      <c r="H227" s="94">
        <v>0</v>
      </c>
      <c r="I227" s="54">
        <v>0</v>
      </c>
      <c r="J227" s="54">
        <v>0</v>
      </c>
      <c r="K227" s="94">
        <v>0</v>
      </c>
      <c r="L227" s="10">
        <v>0</v>
      </c>
      <c r="M227" s="94"/>
      <c r="N227" s="10">
        <f t="shared" si="89"/>
        <v>0</v>
      </c>
      <c r="O227" s="10">
        <v>0</v>
      </c>
      <c r="P227" s="94">
        <v>6</v>
      </c>
      <c r="Q227" s="143">
        <f t="shared" si="90"/>
        <v>6</v>
      </c>
    </row>
    <row r="228" spans="1:17" ht="12.75" customHeight="1" x14ac:dyDescent="0.2">
      <c r="A228" s="1">
        <v>265107</v>
      </c>
      <c r="B228" s="52">
        <v>45</v>
      </c>
      <c r="C228" s="57" t="s">
        <v>336</v>
      </c>
      <c r="D228" s="53">
        <v>39</v>
      </c>
      <c r="E228" s="53">
        <v>69</v>
      </c>
      <c r="F228" s="10">
        <f t="shared" si="88"/>
        <v>15.318</v>
      </c>
      <c r="G228" s="94">
        <v>15</v>
      </c>
      <c r="H228" s="94">
        <v>0</v>
      </c>
      <c r="I228" s="54">
        <v>0</v>
      </c>
      <c r="J228" s="54">
        <v>0</v>
      </c>
      <c r="K228" s="94">
        <v>12</v>
      </c>
      <c r="L228" s="10">
        <v>0</v>
      </c>
      <c r="M228" s="94"/>
      <c r="N228" s="10">
        <f t="shared" si="89"/>
        <v>0</v>
      </c>
      <c r="O228" s="10">
        <v>0</v>
      </c>
      <c r="P228" s="94">
        <v>13</v>
      </c>
      <c r="Q228" s="143">
        <f t="shared" si="90"/>
        <v>13</v>
      </c>
    </row>
    <row r="229" spans="1:17" ht="12.75" customHeight="1" x14ac:dyDescent="0.2">
      <c r="A229" s="1">
        <v>265108</v>
      </c>
      <c r="B229" s="52">
        <v>82</v>
      </c>
      <c r="C229" s="57" t="s">
        <v>337</v>
      </c>
      <c r="D229" s="53">
        <v>57</v>
      </c>
      <c r="E229" s="53">
        <v>102</v>
      </c>
      <c r="F229" s="10">
        <f t="shared" si="88"/>
        <v>22.643999999999998</v>
      </c>
      <c r="G229" s="94">
        <v>13</v>
      </c>
      <c r="H229" s="94">
        <v>0</v>
      </c>
      <c r="I229" s="54">
        <v>0</v>
      </c>
      <c r="J229" s="54">
        <v>0</v>
      </c>
      <c r="K229" s="94">
        <v>12</v>
      </c>
      <c r="L229" s="10">
        <v>0</v>
      </c>
      <c r="M229" s="94"/>
      <c r="N229" s="10">
        <f t="shared" si="89"/>
        <v>0</v>
      </c>
      <c r="O229" s="10">
        <v>0</v>
      </c>
      <c r="P229" s="94">
        <v>10</v>
      </c>
      <c r="Q229" s="143">
        <f t="shared" si="90"/>
        <v>10</v>
      </c>
    </row>
    <row r="230" spans="1:17" ht="12.75" customHeight="1" x14ac:dyDescent="0.2">
      <c r="A230" s="312">
        <v>327103</v>
      </c>
      <c r="B230" s="313">
        <v>101</v>
      </c>
      <c r="C230" s="314" t="s">
        <v>395</v>
      </c>
      <c r="D230" s="53">
        <v>82</v>
      </c>
      <c r="E230" s="53">
        <v>100</v>
      </c>
      <c r="F230" s="10">
        <f t="shared" ref="F230" si="91">E230*0.666*24/72</f>
        <v>22.200000000000003</v>
      </c>
      <c r="G230" s="94">
        <v>0</v>
      </c>
      <c r="H230" s="94">
        <v>0</v>
      </c>
      <c r="I230" s="54">
        <v>0</v>
      </c>
      <c r="J230" s="54">
        <v>0</v>
      </c>
      <c r="K230" s="94">
        <v>0</v>
      </c>
      <c r="L230" s="10">
        <v>0</v>
      </c>
      <c r="M230" s="94"/>
      <c r="N230" s="10">
        <f t="shared" ref="N230" si="92">ROUND((+F230*M230)/100,0)</f>
        <v>0</v>
      </c>
      <c r="O230" s="10">
        <v>0</v>
      </c>
      <c r="P230" s="94">
        <v>21</v>
      </c>
      <c r="Q230" s="143">
        <f t="shared" ref="Q230" si="93">+P230</f>
        <v>21</v>
      </c>
    </row>
    <row r="231" spans="1:17" s="53" customFormat="1" ht="12.75" customHeight="1" x14ac:dyDescent="0.2">
      <c r="A231" s="1">
        <v>505101</v>
      </c>
      <c r="B231" s="52">
        <v>21</v>
      </c>
      <c r="C231" s="57" t="s">
        <v>351</v>
      </c>
      <c r="D231" s="53">
        <v>80</v>
      </c>
      <c r="E231" s="53">
        <v>118</v>
      </c>
      <c r="F231" s="10">
        <f t="shared" ref="F231" si="94">E231*0.666*24/72</f>
        <v>26.196000000000002</v>
      </c>
      <c r="G231" s="94">
        <v>12</v>
      </c>
      <c r="H231" s="94">
        <v>0</v>
      </c>
      <c r="I231" s="54">
        <v>0</v>
      </c>
      <c r="J231" s="54">
        <v>0</v>
      </c>
      <c r="K231" s="94">
        <v>10</v>
      </c>
      <c r="L231" s="10">
        <v>0</v>
      </c>
      <c r="M231" s="94"/>
      <c r="N231" s="10">
        <f t="shared" ref="N231" si="95">ROUND((+F231*M231)/100,0)</f>
        <v>0</v>
      </c>
      <c r="O231" s="10">
        <v>0</v>
      </c>
      <c r="P231" s="94">
        <v>10</v>
      </c>
      <c r="Q231" s="143">
        <f t="shared" ref="Q231" si="96">+P231</f>
        <v>10</v>
      </c>
    </row>
    <row r="232" spans="1:17" s="53" customFormat="1" ht="12.75" customHeight="1" x14ac:dyDescent="0.2">
      <c r="A232" s="1">
        <v>525102</v>
      </c>
      <c r="B232" s="52">
        <v>180</v>
      </c>
      <c r="C232" s="57" t="s">
        <v>95</v>
      </c>
      <c r="D232" s="53">
        <v>208</v>
      </c>
      <c r="E232" s="53">
        <v>316</v>
      </c>
      <c r="F232" s="10">
        <f t="shared" si="88"/>
        <v>70.152000000000001</v>
      </c>
      <c r="G232" s="94">
        <v>30</v>
      </c>
      <c r="H232" s="94">
        <v>0</v>
      </c>
      <c r="I232" s="54">
        <v>0</v>
      </c>
      <c r="J232" s="54">
        <v>0</v>
      </c>
      <c r="K232" s="94">
        <v>27</v>
      </c>
      <c r="L232" s="10">
        <v>0</v>
      </c>
      <c r="M232" s="94"/>
      <c r="N232" s="10">
        <f t="shared" si="89"/>
        <v>0</v>
      </c>
      <c r="O232" s="10">
        <v>0</v>
      </c>
      <c r="P232" s="94">
        <v>26</v>
      </c>
      <c r="Q232" s="143">
        <f t="shared" si="90"/>
        <v>26</v>
      </c>
    </row>
    <row r="233" spans="1:17" s="53" customFormat="1" ht="12.75" customHeight="1" x14ac:dyDescent="0.2">
      <c r="A233" s="1">
        <v>525105</v>
      </c>
      <c r="B233" s="52">
        <v>65</v>
      </c>
      <c r="C233" s="57" t="s">
        <v>368</v>
      </c>
      <c r="D233" s="53">
        <v>88</v>
      </c>
      <c r="E233" s="53">
        <v>108</v>
      </c>
      <c r="F233" s="10">
        <f t="shared" ref="F233" si="97">E233*0.666*24/72</f>
        <v>23.975999999999999</v>
      </c>
      <c r="G233" s="94">
        <v>22</v>
      </c>
      <c r="H233" s="94">
        <v>0</v>
      </c>
      <c r="I233" s="54">
        <v>0</v>
      </c>
      <c r="J233" s="54">
        <v>0</v>
      </c>
      <c r="K233" s="94">
        <v>0</v>
      </c>
      <c r="L233" s="10">
        <v>0</v>
      </c>
      <c r="M233" s="94"/>
      <c r="N233" s="10">
        <f t="shared" ref="N233" si="98">ROUND((+F233*M233)/100,0)</f>
        <v>0</v>
      </c>
      <c r="O233" s="10">
        <v>0</v>
      </c>
      <c r="P233" s="94">
        <v>20</v>
      </c>
      <c r="Q233" s="143">
        <f t="shared" ref="Q233" si="99">+P233</f>
        <v>20</v>
      </c>
    </row>
    <row r="234" spans="1:17" s="53" customFormat="1" ht="12.75" customHeight="1" x14ac:dyDescent="0.2">
      <c r="A234" s="1">
        <v>557103</v>
      </c>
      <c r="B234" s="52">
        <v>114</v>
      </c>
      <c r="C234" s="57" t="s">
        <v>290</v>
      </c>
      <c r="D234" s="53">
        <v>158</v>
      </c>
      <c r="E234" s="53">
        <v>218</v>
      </c>
      <c r="F234" s="10">
        <f t="shared" si="88"/>
        <v>48.396000000000008</v>
      </c>
      <c r="G234" s="94">
        <v>15</v>
      </c>
      <c r="H234" s="94">
        <v>0</v>
      </c>
      <c r="I234" s="54">
        <v>0</v>
      </c>
      <c r="J234" s="54">
        <v>0</v>
      </c>
      <c r="K234" s="94">
        <v>12</v>
      </c>
      <c r="L234" s="10">
        <v>0</v>
      </c>
      <c r="M234" s="94"/>
      <c r="N234" s="10">
        <f t="shared" si="89"/>
        <v>0</v>
      </c>
      <c r="O234" s="10">
        <v>0</v>
      </c>
      <c r="P234" s="94">
        <v>12</v>
      </c>
      <c r="Q234" s="143">
        <f t="shared" si="90"/>
        <v>12</v>
      </c>
    </row>
    <row r="235" spans="1:17" ht="12.75" customHeight="1" x14ac:dyDescent="0.2">
      <c r="A235" s="75"/>
      <c r="B235" s="59"/>
      <c r="C235" s="60"/>
      <c r="D235" s="97"/>
      <c r="E235" s="97"/>
      <c r="F235" s="120"/>
      <c r="G235" s="97"/>
      <c r="H235" s="97"/>
      <c r="I235" s="104"/>
      <c r="J235" s="104"/>
      <c r="K235" s="97"/>
      <c r="L235" s="42"/>
      <c r="M235" s="97"/>
      <c r="N235" s="42"/>
      <c r="O235" s="42"/>
      <c r="P235" s="278"/>
      <c r="Q235" s="121"/>
    </row>
    <row r="236" spans="1:17" ht="12.75" customHeight="1" x14ac:dyDescent="0.2">
      <c r="A236" s="43" t="s">
        <v>41</v>
      </c>
      <c r="B236" s="44"/>
      <c r="C236" s="45">
        <f>COUNTA(A213:A234)</f>
        <v>22</v>
      </c>
      <c r="D236" s="48">
        <f t="shared" ref="D236:Q236" si="100">SUM(D213:D234)</f>
        <v>1718</v>
      </c>
      <c r="E236" s="48">
        <f t="shared" si="100"/>
        <v>2563</v>
      </c>
      <c r="F236" s="47">
        <f t="shared" si="100"/>
        <v>568.98599999999988</v>
      </c>
      <c r="G236" s="47">
        <f t="shared" si="100"/>
        <v>271</v>
      </c>
      <c r="H236" s="47">
        <f t="shared" si="100"/>
        <v>0</v>
      </c>
      <c r="I236" s="47">
        <f t="shared" si="100"/>
        <v>0</v>
      </c>
      <c r="J236" s="47">
        <f t="shared" si="100"/>
        <v>0</v>
      </c>
      <c r="K236" s="47">
        <f t="shared" si="100"/>
        <v>220</v>
      </c>
      <c r="L236" s="47">
        <f t="shared" si="100"/>
        <v>0</v>
      </c>
      <c r="M236" s="47">
        <f t="shared" si="100"/>
        <v>0</v>
      </c>
      <c r="N236" s="47">
        <f t="shared" si="100"/>
        <v>0</v>
      </c>
      <c r="O236" s="47">
        <f t="shared" si="100"/>
        <v>0</v>
      </c>
      <c r="P236" s="47">
        <f t="shared" si="100"/>
        <v>333</v>
      </c>
      <c r="Q236" s="47">
        <f t="shared" si="100"/>
        <v>333</v>
      </c>
    </row>
    <row r="237" spans="1:17" ht="17.25" customHeight="1" x14ac:dyDescent="0.2">
      <c r="A237" s="169" t="s">
        <v>42</v>
      </c>
      <c r="B237" s="170"/>
      <c r="C237" s="170"/>
      <c r="D237" s="170"/>
      <c r="E237" s="170"/>
      <c r="F237" s="170"/>
      <c r="G237" s="170"/>
      <c r="H237" s="170"/>
      <c r="I237" s="170"/>
      <c r="J237" s="170"/>
      <c r="K237" s="170"/>
      <c r="L237" s="170"/>
      <c r="M237" s="171"/>
      <c r="N237" s="171"/>
      <c r="O237" s="171"/>
      <c r="P237" s="172"/>
      <c r="Q237" s="74"/>
    </row>
    <row r="238" spans="1:17" ht="17.25" customHeight="1" x14ac:dyDescent="0.2">
      <c r="A238" s="300"/>
      <c r="B238" s="298"/>
      <c r="C238" s="298"/>
      <c r="D238" s="298"/>
      <c r="E238" s="298"/>
      <c r="F238" s="298"/>
      <c r="G238" s="298"/>
      <c r="H238" s="298"/>
      <c r="I238" s="298"/>
      <c r="J238" s="298"/>
      <c r="K238" s="298"/>
      <c r="L238" s="299"/>
      <c r="M238" s="298"/>
      <c r="N238" s="298"/>
      <c r="O238" s="298"/>
      <c r="P238" s="298"/>
      <c r="Q238" s="139"/>
    </row>
    <row r="239" spans="1:17" ht="12.75" customHeight="1" x14ac:dyDescent="0.2">
      <c r="A239" s="208"/>
      <c r="B239" s="176"/>
      <c r="C239" s="177"/>
      <c r="D239" s="178"/>
      <c r="E239" s="178"/>
      <c r="F239" s="139"/>
      <c r="G239" s="178"/>
      <c r="H239" s="178"/>
      <c r="I239" s="178"/>
      <c r="J239" s="178"/>
      <c r="K239" s="178"/>
      <c r="L239" s="143"/>
      <c r="M239" s="81"/>
      <c r="N239" s="82"/>
      <c r="O239" s="82"/>
      <c r="P239" s="83" t="s">
        <v>43</v>
      </c>
      <c r="Q239" s="84">
        <f>Q236+Q237</f>
        <v>333</v>
      </c>
    </row>
    <row r="240" spans="1:17" ht="12.75" customHeight="1" x14ac:dyDescent="0.2">
      <c r="A240" s="292"/>
      <c r="B240" s="76"/>
      <c r="C240" s="77"/>
      <c r="D240" s="78"/>
      <c r="E240" s="78"/>
      <c r="F240" s="79"/>
      <c r="G240" s="78"/>
      <c r="H240" s="78"/>
      <c r="I240" s="78"/>
      <c r="J240" s="78"/>
      <c r="K240" s="78"/>
      <c r="L240" s="80"/>
      <c r="M240" s="81"/>
      <c r="N240" s="82"/>
      <c r="O240" s="82"/>
      <c r="P240" s="83"/>
      <c r="Q240" s="84"/>
    </row>
    <row r="241" spans="1:17" ht="12.75" customHeight="1" x14ac:dyDescent="0.2">
      <c r="A241" s="90" t="s">
        <v>86</v>
      </c>
      <c r="B241" s="95"/>
      <c r="C241" s="96"/>
      <c r="D241" s="174"/>
      <c r="E241" s="174"/>
      <c r="G241" s="46"/>
      <c r="H241" s="46"/>
      <c r="I241" s="46"/>
      <c r="J241" s="46"/>
      <c r="K241" s="46"/>
      <c r="M241" s="46"/>
      <c r="P241" s="94"/>
    </row>
    <row r="242" spans="1:17" ht="12.75" customHeight="1" x14ac:dyDescent="0.2">
      <c r="A242" s="90"/>
      <c r="B242" s="91" t="s">
        <v>96</v>
      </c>
      <c r="C242" s="92"/>
      <c r="D242" s="46"/>
      <c r="E242" s="46"/>
      <c r="G242" s="46"/>
      <c r="H242" s="46"/>
      <c r="I242" s="93"/>
      <c r="J242" s="93"/>
      <c r="K242" s="46"/>
      <c r="M242" s="46"/>
      <c r="P242" s="94"/>
    </row>
    <row r="243" spans="1:17" ht="12.75" customHeight="1" x14ac:dyDescent="0.2">
      <c r="A243" s="90"/>
      <c r="B243" s="95"/>
      <c r="C243" s="96"/>
      <c r="D243" s="46"/>
      <c r="E243" s="46"/>
      <c r="G243" s="46"/>
      <c r="H243" s="46"/>
      <c r="I243" s="93"/>
      <c r="J243" s="93"/>
      <c r="K243" s="46"/>
      <c r="M243" s="46"/>
      <c r="P243" s="94"/>
    </row>
    <row r="244" spans="1:17" s="53" customFormat="1" ht="12.75" customHeight="1" x14ac:dyDescent="0.2">
      <c r="A244" s="43"/>
      <c r="B244" s="44"/>
      <c r="C244" s="45"/>
      <c r="D244" s="48"/>
      <c r="E244" s="48"/>
      <c r="F244" s="47"/>
      <c r="G244" s="48"/>
      <c r="H244" s="48"/>
      <c r="I244" s="100"/>
      <c r="J244" s="100"/>
      <c r="K244" s="48"/>
      <c r="L244" s="49"/>
      <c r="M244" s="48"/>
      <c r="N244" s="49"/>
      <c r="O244" s="49"/>
      <c r="P244" s="50"/>
      <c r="Q244" s="51"/>
    </row>
    <row r="245" spans="1:17" s="53" customFormat="1" ht="12.75" customHeight="1" x14ac:dyDescent="0.2">
      <c r="A245" s="1">
        <v>120272</v>
      </c>
      <c r="B245" s="52">
        <v>57</v>
      </c>
      <c r="C245" s="57" t="s">
        <v>255</v>
      </c>
      <c r="D245" s="53">
        <v>157</v>
      </c>
      <c r="E245" s="53">
        <v>266</v>
      </c>
      <c r="F245" s="10">
        <f t="shared" ref="F245:F259" si="101">E245*0.666*24/72</f>
        <v>59.052000000000007</v>
      </c>
      <c r="G245" s="94">
        <v>0</v>
      </c>
      <c r="H245" s="94">
        <v>0</v>
      </c>
      <c r="I245" s="94">
        <v>0</v>
      </c>
      <c r="J245" s="54">
        <v>0</v>
      </c>
      <c r="K245" s="94">
        <v>50</v>
      </c>
      <c r="L245" s="10">
        <v>0</v>
      </c>
      <c r="M245" s="94"/>
      <c r="N245" s="10">
        <f t="shared" ref="N245:N257" si="102">ROUND((+F245*M245)/100,0)</f>
        <v>0</v>
      </c>
      <c r="O245" s="10">
        <v>0</v>
      </c>
      <c r="P245" s="94">
        <v>40</v>
      </c>
      <c r="Q245" s="143">
        <f t="shared" ref="Q245:Q257" si="103">+P245</f>
        <v>40</v>
      </c>
    </row>
    <row r="246" spans="1:17" ht="12.75" customHeight="1" x14ac:dyDescent="0.2">
      <c r="A246" s="1">
        <v>120523</v>
      </c>
      <c r="B246" s="52">
        <v>76</v>
      </c>
      <c r="C246" s="57" t="s">
        <v>258</v>
      </c>
      <c r="D246" s="53">
        <v>283</v>
      </c>
      <c r="E246" s="53">
        <v>381</v>
      </c>
      <c r="F246" s="10">
        <f t="shared" si="101"/>
        <v>84.582000000000008</v>
      </c>
      <c r="G246" s="94">
        <v>0</v>
      </c>
      <c r="H246" s="94">
        <v>0</v>
      </c>
      <c r="I246" s="94">
        <v>0</v>
      </c>
      <c r="J246" s="54">
        <v>0</v>
      </c>
      <c r="K246" s="94">
        <v>70</v>
      </c>
      <c r="L246" s="10">
        <v>0</v>
      </c>
      <c r="M246" s="94"/>
      <c r="N246" s="10">
        <f t="shared" si="102"/>
        <v>0</v>
      </c>
      <c r="O246" s="10">
        <v>0</v>
      </c>
      <c r="P246" s="94">
        <v>72</v>
      </c>
      <c r="Q246" s="143">
        <f t="shared" si="103"/>
        <v>72</v>
      </c>
    </row>
    <row r="247" spans="1:17" ht="12.75" customHeight="1" x14ac:dyDescent="0.2">
      <c r="A247" s="1">
        <v>120524</v>
      </c>
      <c r="B247" s="52">
        <v>62</v>
      </c>
      <c r="C247" s="57" t="s">
        <v>249</v>
      </c>
      <c r="D247" s="53">
        <v>261</v>
      </c>
      <c r="E247" s="53">
        <v>403</v>
      </c>
      <c r="F247" s="10">
        <f t="shared" si="101"/>
        <v>89.466000000000008</v>
      </c>
      <c r="G247" s="94">
        <v>20</v>
      </c>
      <c r="H247" s="94">
        <v>0</v>
      </c>
      <c r="I247" s="94">
        <v>0</v>
      </c>
      <c r="J247" s="54">
        <v>0</v>
      </c>
      <c r="K247" s="94">
        <v>50</v>
      </c>
      <c r="L247" s="10">
        <v>0</v>
      </c>
      <c r="M247" s="94"/>
      <c r="N247" s="10">
        <f t="shared" si="102"/>
        <v>0</v>
      </c>
      <c r="O247" s="10">
        <v>0</v>
      </c>
      <c r="P247" s="94">
        <v>55</v>
      </c>
      <c r="Q247" s="143">
        <f t="shared" si="103"/>
        <v>55</v>
      </c>
    </row>
    <row r="248" spans="1:17" ht="12.75" customHeight="1" x14ac:dyDescent="0.2">
      <c r="A248" s="1">
        <v>318106</v>
      </c>
      <c r="B248" s="52">
        <v>106</v>
      </c>
      <c r="C248" s="57" t="s">
        <v>266</v>
      </c>
      <c r="D248" s="53">
        <v>128</v>
      </c>
      <c r="E248" s="53">
        <v>215</v>
      </c>
      <c r="F248" s="10">
        <f t="shared" si="101"/>
        <v>47.73</v>
      </c>
      <c r="G248" s="94">
        <v>36</v>
      </c>
      <c r="H248" s="94">
        <v>0</v>
      </c>
      <c r="I248" s="94">
        <v>0</v>
      </c>
      <c r="J248" s="54">
        <v>0</v>
      </c>
      <c r="K248" s="94">
        <v>38</v>
      </c>
      <c r="L248" s="10">
        <v>0</v>
      </c>
      <c r="M248" s="94"/>
      <c r="N248" s="10">
        <f t="shared" si="102"/>
        <v>0</v>
      </c>
      <c r="O248" s="10">
        <v>0</v>
      </c>
      <c r="P248" s="94">
        <v>40</v>
      </c>
      <c r="Q248" s="143">
        <f t="shared" si="103"/>
        <v>40</v>
      </c>
    </row>
    <row r="249" spans="1:17" ht="12.75" customHeight="1" x14ac:dyDescent="0.2">
      <c r="A249" s="1">
        <v>318108</v>
      </c>
      <c r="B249" s="52">
        <v>150</v>
      </c>
      <c r="C249" s="57" t="s">
        <v>321</v>
      </c>
      <c r="D249" s="53">
        <v>69</v>
      </c>
      <c r="E249" s="53">
        <v>110</v>
      </c>
      <c r="F249" s="10">
        <f t="shared" si="101"/>
        <v>24.42</v>
      </c>
      <c r="G249" s="94">
        <v>0</v>
      </c>
      <c r="H249" s="94">
        <v>0</v>
      </c>
      <c r="I249" s="94">
        <v>0</v>
      </c>
      <c r="J249" s="54">
        <v>0</v>
      </c>
      <c r="K249" s="94">
        <v>17</v>
      </c>
      <c r="L249" s="10">
        <v>0</v>
      </c>
      <c r="M249" s="94"/>
      <c r="N249" s="10">
        <f>ROUND((+F249*M249)/100,0)</f>
        <v>0</v>
      </c>
      <c r="O249" s="10">
        <v>0</v>
      </c>
      <c r="P249" s="94">
        <v>18</v>
      </c>
      <c r="Q249" s="143">
        <f>+P249</f>
        <v>18</v>
      </c>
    </row>
    <row r="250" spans="1:17" ht="12.75" customHeight="1" x14ac:dyDescent="0.2">
      <c r="A250" s="1">
        <v>324103</v>
      </c>
      <c r="B250" s="52">
        <v>83</v>
      </c>
      <c r="C250" s="57" t="s">
        <v>267</v>
      </c>
      <c r="D250" s="53">
        <v>560</v>
      </c>
      <c r="E250" s="53">
        <v>871</v>
      </c>
      <c r="F250" s="10">
        <f t="shared" si="101"/>
        <v>193.36199999999999</v>
      </c>
      <c r="G250" s="94">
        <v>0</v>
      </c>
      <c r="H250" s="94">
        <v>0</v>
      </c>
      <c r="I250" s="94">
        <v>0</v>
      </c>
      <c r="J250" s="54">
        <v>0</v>
      </c>
      <c r="K250" s="94">
        <v>90</v>
      </c>
      <c r="L250" s="10">
        <v>0</v>
      </c>
      <c r="M250" s="94"/>
      <c r="N250" s="10">
        <f t="shared" si="102"/>
        <v>0</v>
      </c>
      <c r="O250" s="10">
        <v>0</v>
      </c>
      <c r="P250" s="94">
        <v>80</v>
      </c>
      <c r="Q250" s="143">
        <f t="shared" si="103"/>
        <v>80</v>
      </c>
    </row>
    <row r="251" spans="1:17" ht="12.75" customHeight="1" x14ac:dyDescent="0.2">
      <c r="A251" s="1">
        <v>334127</v>
      </c>
      <c r="B251" s="52">
        <v>134</v>
      </c>
      <c r="C251" s="57" t="s">
        <v>97</v>
      </c>
      <c r="D251" s="53">
        <v>280</v>
      </c>
      <c r="E251" s="53">
        <v>445</v>
      </c>
      <c r="F251" s="10">
        <f t="shared" si="101"/>
        <v>98.79</v>
      </c>
      <c r="G251" s="94">
        <v>0</v>
      </c>
      <c r="H251" s="94">
        <v>0</v>
      </c>
      <c r="I251" s="94">
        <v>0</v>
      </c>
      <c r="J251" s="54">
        <v>0</v>
      </c>
      <c r="K251" s="94">
        <v>90</v>
      </c>
      <c r="L251" s="10">
        <v>0</v>
      </c>
      <c r="M251" s="94"/>
      <c r="N251" s="10">
        <f t="shared" si="102"/>
        <v>0</v>
      </c>
      <c r="O251" s="10">
        <v>0</v>
      </c>
      <c r="P251" s="94">
        <v>94</v>
      </c>
      <c r="Q251" s="143">
        <f t="shared" si="103"/>
        <v>94</v>
      </c>
    </row>
    <row r="252" spans="1:17" ht="12.75" customHeight="1" x14ac:dyDescent="0.2">
      <c r="A252" s="1">
        <v>334130</v>
      </c>
      <c r="B252" s="52">
        <v>97</v>
      </c>
      <c r="C252" s="57" t="s">
        <v>98</v>
      </c>
      <c r="D252" s="53">
        <v>202</v>
      </c>
      <c r="E252" s="53">
        <v>357</v>
      </c>
      <c r="F252" s="10">
        <f t="shared" si="101"/>
        <v>79.254000000000005</v>
      </c>
      <c r="G252" s="94">
        <v>0</v>
      </c>
      <c r="H252" s="94">
        <v>0</v>
      </c>
      <c r="I252" s="94">
        <v>0</v>
      </c>
      <c r="J252" s="54">
        <v>0</v>
      </c>
      <c r="K252" s="94">
        <v>68</v>
      </c>
      <c r="L252" s="10">
        <v>0</v>
      </c>
      <c r="M252" s="94"/>
      <c r="N252" s="10">
        <f t="shared" si="102"/>
        <v>0</v>
      </c>
      <c r="O252" s="10">
        <v>0</v>
      </c>
      <c r="P252" s="94">
        <v>70</v>
      </c>
      <c r="Q252" s="143">
        <f t="shared" si="103"/>
        <v>70</v>
      </c>
    </row>
    <row r="253" spans="1:17" ht="12.75" customHeight="1" x14ac:dyDescent="0.2">
      <c r="A253" s="1">
        <v>334134</v>
      </c>
      <c r="B253" s="52">
        <v>135</v>
      </c>
      <c r="C253" s="57" t="s">
        <v>299</v>
      </c>
      <c r="D253" s="53">
        <v>81</v>
      </c>
      <c r="E253" s="53">
        <v>106</v>
      </c>
      <c r="F253" s="10">
        <f t="shared" si="101"/>
        <v>23.532</v>
      </c>
      <c r="G253" s="94">
        <v>0</v>
      </c>
      <c r="H253" s="94">
        <v>0</v>
      </c>
      <c r="I253" s="94">
        <v>0</v>
      </c>
      <c r="J253" s="54">
        <v>0</v>
      </c>
      <c r="K253" s="94">
        <v>20</v>
      </c>
      <c r="L253" s="10">
        <v>0</v>
      </c>
      <c r="M253" s="94"/>
      <c r="N253" s="10">
        <f>ROUND((+F253*M253)/100,0)</f>
        <v>0</v>
      </c>
      <c r="O253" s="10">
        <v>0</v>
      </c>
      <c r="P253" s="94">
        <v>20</v>
      </c>
      <c r="Q253" s="143">
        <f t="shared" si="103"/>
        <v>20</v>
      </c>
    </row>
    <row r="254" spans="1:17" ht="12.75" customHeight="1" x14ac:dyDescent="0.2">
      <c r="A254" s="1">
        <v>364108</v>
      </c>
      <c r="B254" s="52">
        <v>54</v>
      </c>
      <c r="C254" s="57" t="s">
        <v>300</v>
      </c>
      <c r="D254" s="53">
        <v>48</v>
      </c>
      <c r="E254" s="53">
        <v>59</v>
      </c>
      <c r="F254" s="10">
        <f t="shared" si="101"/>
        <v>13.098000000000001</v>
      </c>
      <c r="G254" s="94">
        <v>0</v>
      </c>
      <c r="H254" s="94">
        <v>0</v>
      </c>
      <c r="I254" s="94">
        <v>0</v>
      </c>
      <c r="J254" s="54">
        <v>0</v>
      </c>
      <c r="K254" s="94">
        <v>11</v>
      </c>
      <c r="L254" s="10">
        <v>0</v>
      </c>
      <c r="M254" s="94"/>
      <c r="N254" s="10">
        <f>ROUND((+F254*M254)/100,0)</f>
        <v>0</v>
      </c>
      <c r="O254" s="10">
        <v>0</v>
      </c>
      <c r="P254" s="94">
        <v>12</v>
      </c>
      <c r="Q254" s="143">
        <f t="shared" si="103"/>
        <v>12</v>
      </c>
    </row>
    <row r="255" spans="1:17" s="53" customFormat="1" ht="12.75" customHeight="1" x14ac:dyDescent="0.2">
      <c r="A255" s="1">
        <v>401101</v>
      </c>
      <c r="B255" s="52">
        <v>65</v>
      </c>
      <c r="C255" s="57" t="s">
        <v>255</v>
      </c>
      <c r="D255" s="53">
        <v>157</v>
      </c>
      <c r="E255" s="53">
        <v>294</v>
      </c>
      <c r="F255" s="10">
        <f t="shared" si="101"/>
        <v>65.268000000000001</v>
      </c>
      <c r="G255" s="94">
        <v>0</v>
      </c>
      <c r="H255" s="94">
        <v>0</v>
      </c>
      <c r="I255" s="94">
        <v>0</v>
      </c>
      <c r="J255" s="54">
        <v>0</v>
      </c>
      <c r="K255" s="94">
        <v>56</v>
      </c>
      <c r="L255" s="10">
        <v>0</v>
      </c>
      <c r="M255" s="94"/>
      <c r="N255" s="10">
        <f t="shared" si="102"/>
        <v>0</v>
      </c>
      <c r="O255" s="10">
        <v>0</v>
      </c>
      <c r="P255" s="94">
        <v>58</v>
      </c>
      <c r="Q255" s="143">
        <f t="shared" si="103"/>
        <v>58</v>
      </c>
    </row>
    <row r="256" spans="1:17" s="53" customFormat="1" ht="12.75" customHeight="1" x14ac:dyDescent="0.2">
      <c r="A256" s="1">
        <v>401105</v>
      </c>
      <c r="B256" s="52">
        <v>89</v>
      </c>
      <c r="C256" s="57" t="s">
        <v>269</v>
      </c>
      <c r="D256" s="53">
        <v>24</v>
      </c>
      <c r="E256" s="53">
        <v>41</v>
      </c>
      <c r="F256" s="10">
        <f t="shared" si="101"/>
        <v>9.1020000000000003</v>
      </c>
      <c r="G256" s="94">
        <v>0</v>
      </c>
      <c r="H256" s="94">
        <v>0</v>
      </c>
      <c r="I256" s="94">
        <v>0</v>
      </c>
      <c r="J256" s="54">
        <v>0</v>
      </c>
      <c r="K256" s="94">
        <v>9</v>
      </c>
      <c r="L256" s="10">
        <v>0</v>
      </c>
      <c r="M256" s="94"/>
      <c r="N256" s="10">
        <f t="shared" si="102"/>
        <v>0</v>
      </c>
      <c r="O256" s="10">
        <v>0</v>
      </c>
      <c r="P256" s="94">
        <v>5</v>
      </c>
      <c r="Q256" s="143">
        <f t="shared" si="103"/>
        <v>5</v>
      </c>
    </row>
    <row r="257" spans="1:20" s="53" customFormat="1" ht="12.75" customHeight="1" x14ac:dyDescent="0.2">
      <c r="A257" s="1">
        <v>401107</v>
      </c>
      <c r="B257" s="52">
        <v>60</v>
      </c>
      <c r="C257" s="57" t="s">
        <v>270</v>
      </c>
      <c r="D257" s="53">
        <v>57</v>
      </c>
      <c r="E257" s="53">
        <v>82</v>
      </c>
      <c r="F257" s="10">
        <f t="shared" si="101"/>
        <v>18.204000000000001</v>
      </c>
      <c r="G257" s="94">
        <v>17</v>
      </c>
      <c r="H257" s="94">
        <v>0</v>
      </c>
      <c r="I257" s="94">
        <v>0</v>
      </c>
      <c r="J257" s="54">
        <v>0</v>
      </c>
      <c r="K257" s="94">
        <v>16</v>
      </c>
      <c r="L257" s="10">
        <v>0</v>
      </c>
      <c r="M257" s="94"/>
      <c r="N257" s="10">
        <f t="shared" si="102"/>
        <v>0</v>
      </c>
      <c r="O257" s="10">
        <v>0</v>
      </c>
      <c r="P257" s="94">
        <v>15</v>
      </c>
      <c r="Q257" s="143">
        <f t="shared" si="103"/>
        <v>15</v>
      </c>
    </row>
    <row r="258" spans="1:20" s="53" customFormat="1" ht="12.75" customHeight="1" x14ac:dyDescent="0.2">
      <c r="A258" s="1">
        <v>401109</v>
      </c>
      <c r="B258" s="52">
        <v>116</v>
      </c>
      <c r="C258" s="57" t="s">
        <v>271</v>
      </c>
      <c r="D258" s="53">
        <v>26</v>
      </c>
      <c r="E258" s="53">
        <v>41</v>
      </c>
      <c r="F258" s="10">
        <f t="shared" ref="F258" si="104">E258*0.666*24/72</f>
        <v>9.1020000000000003</v>
      </c>
      <c r="G258" s="94">
        <v>0</v>
      </c>
      <c r="H258" s="94">
        <v>0</v>
      </c>
      <c r="I258" s="94">
        <v>0</v>
      </c>
      <c r="J258" s="54">
        <v>0</v>
      </c>
      <c r="K258" s="94">
        <v>9</v>
      </c>
      <c r="L258" s="10">
        <v>0</v>
      </c>
      <c r="M258" s="94"/>
      <c r="N258" s="10">
        <f>ROUND((+F258*M258)/100,0)</f>
        <v>0</v>
      </c>
      <c r="O258" s="10">
        <v>0</v>
      </c>
      <c r="P258" s="94">
        <v>8</v>
      </c>
      <c r="Q258" s="143">
        <f>+P258</f>
        <v>8</v>
      </c>
    </row>
    <row r="259" spans="1:20" s="53" customFormat="1" ht="12.75" customHeight="1" x14ac:dyDescent="0.2">
      <c r="A259" s="1">
        <v>401110</v>
      </c>
      <c r="B259" s="52">
        <v>44</v>
      </c>
      <c r="C259" s="57" t="s">
        <v>353</v>
      </c>
      <c r="D259" s="53">
        <v>163</v>
      </c>
      <c r="E259" s="53">
        <v>235</v>
      </c>
      <c r="F259" s="10">
        <f t="shared" si="101"/>
        <v>52.170000000000009</v>
      </c>
      <c r="G259" s="94">
        <v>0</v>
      </c>
      <c r="H259" s="94">
        <v>0</v>
      </c>
      <c r="I259" s="94">
        <v>0</v>
      </c>
      <c r="J259" s="54">
        <v>0</v>
      </c>
      <c r="K259" s="94">
        <v>35</v>
      </c>
      <c r="L259" s="10">
        <v>0</v>
      </c>
      <c r="M259" s="94"/>
      <c r="N259" s="10">
        <f>ROUND((+F259*M259)/100,0)</f>
        <v>0</v>
      </c>
      <c r="O259" s="10">
        <v>0</v>
      </c>
      <c r="P259" s="94">
        <v>0</v>
      </c>
      <c r="Q259" s="143">
        <f>+P259</f>
        <v>0</v>
      </c>
    </row>
    <row r="260" spans="1:20" s="53" customFormat="1" ht="12.75" customHeight="1" x14ac:dyDescent="0.2">
      <c r="A260" s="101"/>
      <c r="B260" s="102"/>
      <c r="C260" s="103"/>
      <c r="D260" s="97"/>
      <c r="E260" s="97"/>
      <c r="F260" s="120"/>
      <c r="G260" s="97"/>
      <c r="H260" s="97"/>
      <c r="I260" s="104"/>
      <c r="J260" s="104"/>
      <c r="K260" s="97"/>
      <c r="L260" s="42"/>
      <c r="M260" s="97"/>
      <c r="N260" s="42"/>
      <c r="O260" s="42"/>
      <c r="P260" s="54"/>
      <c r="Q260" s="121"/>
    </row>
    <row r="261" spans="1:20" ht="12.75" customHeight="1" x14ac:dyDescent="0.2">
      <c r="A261" s="43" t="s">
        <v>41</v>
      </c>
      <c r="B261" s="44"/>
      <c r="C261" s="45">
        <f>COUNTA(A245:A259)</f>
        <v>15</v>
      </c>
      <c r="D261" s="48">
        <f t="shared" ref="D261:Q261" si="105">SUM(D245:D259)</f>
        <v>2496</v>
      </c>
      <c r="E261" s="48">
        <f t="shared" si="105"/>
        <v>3906</v>
      </c>
      <c r="F261" s="47">
        <f t="shared" si="105"/>
        <v>867.13199999999995</v>
      </c>
      <c r="G261" s="47">
        <f t="shared" si="105"/>
        <v>73</v>
      </c>
      <c r="H261" s="47">
        <f t="shared" si="105"/>
        <v>0</v>
      </c>
      <c r="I261" s="47">
        <f t="shared" si="105"/>
        <v>0</v>
      </c>
      <c r="J261" s="47">
        <f t="shared" si="105"/>
        <v>0</v>
      </c>
      <c r="K261" s="47">
        <f t="shared" si="105"/>
        <v>629</v>
      </c>
      <c r="L261" s="47">
        <f t="shared" si="105"/>
        <v>0</v>
      </c>
      <c r="M261" s="47">
        <f t="shared" si="105"/>
        <v>0</v>
      </c>
      <c r="N261" s="47">
        <f t="shared" si="105"/>
        <v>0</v>
      </c>
      <c r="O261" s="47">
        <f t="shared" si="105"/>
        <v>0</v>
      </c>
      <c r="P261" s="47">
        <f t="shared" si="105"/>
        <v>587</v>
      </c>
      <c r="Q261" s="47">
        <f t="shared" si="105"/>
        <v>587</v>
      </c>
    </row>
    <row r="262" spans="1:20" ht="12.75" customHeight="1" x14ac:dyDescent="0.2">
      <c r="A262" s="133" t="s">
        <v>47</v>
      </c>
      <c r="B262" s="67"/>
      <c r="C262" s="175"/>
      <c r="D262" s="69"/>
      <c r="E262" s="69"/>
      <c r="F262" s="70"/>
      <c r="G262" s="69"/>
      <c r="H262" s="69"/>
      <c r="I262" s="69"/>
      <c r="J262" s="69"/>
      <c r="K262" s="69"/>
      <c r="L262" s="70"/>
      <c r="M262" s="69"/>
      <c r="N262" s="70"/>
      <c r="O262" s="70"/>
      <c r="P262" s="284"/>
      <c r="Q262" s="74"/>
    </row>
    <row r="263" spans="1:20" ht="12.75" customHeight="1" x14ac:dyDescent="0.2">
      <c r="A263" s="208"/>
      <c r="B263" s="176"/>
      <c r="C263" s="192"/>
      <c r="D263" s="178"/>
      <c r="E263" s="178"/>
      <c r="F263" s="139"/>
      <c r="G263" s="178"/>
      <c r="H263" s="178"/>
      <c r="I263" s="178"/>
      <c r="J263" s="178"/>
      <c r="K263" s="178"/>
      <c r="L263" s="139"/>
      <c r="M263" s="178"/>
      <c r="N263" s="139"/>
      <c r="O263" s="139"/>
      <c r="P263" s="285"/>
      <c r="Q263" s="139"/>
    </row>
    <row r="264" spans="1:20" ht="12.75" customHeight="1" x14ac:dyDescent="0.2">
      <c r="A264" s="208"/>
      <c r="B264" s="176"/>
      <c r="C264" s="192"/>
      <c r="D264" s="178"/>
      <c r="E264" s="178"/>
      <c r="F264" s="139"/>
      <c r="G264" s="178"/>
      <c r="H264" s="178"/>
      <c r="I264" s="178"/>
      <c r="J264" s="178"/>
      <c r="K264" s="178"/>
      <c r="L264" s="139"/>
      <c r="M264" s="78"/>
      <c r="N264" s="79"/>
      <c r="O264" s="79"/>
      <c r="P264" s="286"/>
      <c r="Q264" s="139"/>
    </row>
    <row r="265" spans="1:20" ht="12.75" customHeight="1" x14ac:dyDescent="0.2">
      <c r="A265" s="208"/>
      <c r="B265" s="176"/>
      <c r="C265" s="177"/>
      <c r="D265" s="178"/>
      <c r="E265" s="178"/>
      <c r="F265" s="139"/>
      <c r="G265" s="178"/>
      <c r="H265" s="178"/>
      <c r="I265" s="178"/>
      <c r="J265" s="178"/>
      <c r="K265" s="178"/>
      <c r="L265" s="143"/>
      <c r="M265" s="81"/>
      <c r="N265" s="82"/>
      <c r="O265" s="82"/>
      <c r="P265" s="83" t="s">
        <v>43</v>
      </c>
      <c r="Q265" s="84">
        <f>Q261+Q262</f>
        <v>587</v>
      </c>
    </row>
    <row r="266" spans="1:20" ht="12.75" customHeight="1" x14ac:dyDescent="0.2">
      <c r="A266" s="75"/>
      <c r="B266" s="76"/>
      <c r="C266" s="77"/>
      <c r="D266" s="78"/>
      <c r="E266" s="78"/>
      <c r="F266" s="79"/>
      <c r="G266" s="78"/>
      <c r="H266" s="78"/>
      <c r="I266" s="78"/>
      <c r="J266" s="78"/>
      <c r="K266" s="78"/>
      <c r="L266" s="80"/>
      <c r="M266" s="81"/>
      <c r="N266" s="82"/>
      <c r="O266" s="82"/>
      <c r="P266" s="83"/>
      <c r="Q266" s="84"/>
    </row>
    <row r="267" spans="1:20" ht="12.75" customHeight="1" x14ac:dyDescent="0.2">
      <c r="A267" s="123"/>
      <c r="B267" s="86"/>
      <c r="C267" s="87"/>
      <c r="D267" s="88"/>
      <c r="E267" s="88"/>
      <c r="F267" s="89"/>
      <c r="G267" s="88"/>
      <c r="H267" s="88"/>
      <c r="I267" s="88"/>
      <c r="J267" s="88"/>
      <c r="K267" s="88"/>
      <c r="L267" s="89"/>
      <c r="M267" s="88"/>
      <c r="N267" s="89"/>
      <c r="O267" s="89"/>
      <c r="P267" s="81"/>
      <c r="Q267" s="9"/>
    </row>
    <row r="268" spans="1:20" ht="12.75" customHeight="1" x14ac:dyDescent="0.2">
      <c r="A268" s="90"/>
      <c r="B268" s="91" t="s">
        <v>99</v>
      </c>
      <c r="C268" s="92"/>
      <c r="D268" s="124"/>
      <c r="E268" s="124"/>
      <c r="G268" s="46"/>
      <c r="H268" s="46"/>
      <c r="I268" s="93"/>
      <c r="J268" s="93"/>
      <c r="K268" s="46"/>
      <c r="M268" s="46"/>
      <c r="P268" s="94"/>
      <c r="T268" s="95"/>
    </row>
    <row r="269" spans="1:20" ht="12.75" customHeight="1" x14ac:dyDescent="0.2">
      <c r="A269" s="90"/>
      <c r="B269" s="151"/>
      <c r="C269" s="96"/>
      <c r="D269" s="46"/>
      <c r="E269" s="46"/>
      <c r="G269" s="46"/>
      <c r="H269" s="46"/>
      <c r="I269" s="93"/>
      <c r="J269" s="93"/>
      <c r="K269" s="46"/>
      <c r="M269" s="46"/>
      <c r="P269" s="94"/>
      <c r="T269" s="95"/>
    </row>
    <row r="270" spans="1:20" ht="12.75" customHeight="1" x14ac:dyDescent="0.2">
      <c r="A270" s="140"/>
      <c r="B270" s="152"/>
      <c r="C270" s="142"/>
      <c r="D270" s="48"/>
      <c r="E270" s="48"/>
      <c r="F270" s="47"/>
      <c r="G270" s="48"/>
      <c r="H270" s="48"/>
      <c r="I270" s="100"/>
      <c r="J270" s="100"/>
      <c r="K270" s="48"/>
      <c r="L270" s="49"/>
      <c r="M270" s="48"/>
      <c r="N270" s="49"/>
      <c r="O270" s="49"/>
      <c r="P270" s="50"/>
      <c r="Q270" s="51"/>
      <c r="T270" s="95"/>
    </row>
    <row r="271" spans="1:20" ht="12.75" customHeight="1" x14ac:dyDescent="0.2">
      <c r="A271" s="2">
        <v>82102</v>
      </c>
      <c r="B271" s="179">
        <v>14</v>
      </c>
      <c r="C271" s="180" t="s">
        <v>100</v>
      </c>
      <c r="D271" s="53">
        <v>29</v>
      </c>
      <c r="E271" s="53">
        <v>46</v>
      </c>
      <c r="F271" s="10">
        <f t="shared" ref="F271:F299" si="106">E271*0.666*24/72</f>
        <v>10.212000000000002</v>
      </c>
      <c r="G271" s="54">
        <v>6</v>
      </c>
      <c r="H271" s="94">
        <v>0</v>
      </c>
      <c r="I271" s="54">
        <v>0</v>
      </c>
      <c r="J271" s="54">
        <v>0</v>
      </c>
      <c r="K271" s="54">
        <v>0</v>
      </c>
      <c r="L271" s="10">
        <v>0</v>
      </c>
      <c r="M271" s="178"/>
      <c r="N271" s="10">
        <f t="shared" ref="N271:N299" si="107">ROUND((+F271*M271)/100,0)</f>
        <v>0</v>
      </c>
      <c r="O271" s="10">
        <v>0</v>
      </c>
      <c r="P271" s="54">
        <v>4</v>
      </c>
      <c r="Q271" s="143">
        <f t="shared" ref="Q271:Q299" si="108">+P271</f>
        <v>4</v>
      </c>
      <c r="T271" s="95"/>
    </row>
    <row r="272" spans="1:20" ht="12.75" customHeight="1" x14ac:dyDescent="0.2">
      <c r="A272" s="2">
        <v>82103</v>
      </c>
      <c r="B272" s="179">
        <v>66</v>
      </c>
      <c r="C272" s="180" t="s">
        <v>101</v>
      </c>
      <c r="D272" s="53">
        <v>26</v>
      </c>
      <c r="E272" s="53">
        <v>49</v>
      </c>
      <c r="F272" s="10">
        <f t="shared" si="106"/>
        <v>10.878</v>
      </c>
      <c r="G272" s="54">
        <v>10</v>
      </c>
      <c r="H272" s="94">
        <v>0</v>
      </c>
      <c r="I272" s="54">
        <v>0</v>
      </c>
      <c r="J272" s="54">
        <v>0</v>
      </c>
      <c r="K272" s="54">
        <v>12</v>
      </c>
      <c r="L272" s="10">
        <v>0</v>
      </c>
      <c r="M272" s="178"/>
      <c r="N272" s="10">
        <f t="shared" si="107"/>
        <v>0</v>
      </c>
      <c r="O272" s="10">
        <v>0</v>
      </c>
      <c r="P272" s="54">
        <v>6</v>
      </c>
      <c r="Q272" s="143">
        <f t="shared" si="108"/>
        <v>6</v>
      </c>
      <c r="T272" s="95"/>
    </row>
    <row r="273" spans="1:20" ht="12.75" customHeight="1" x14ac:dyDescent="0.2">
      <c r="A273" s="2">
        <v>90101</v>
      </c>
      <c r="B273" s="179">
        <v>3</v>
      </c>
      <c r="C273" s="180" t="s">
        <v>102</v>
      </c>
      <c r="D273" s="53">
        <v>167</v>
      </c>
      <c r="E273" s="53">
        <v>227</v>
      </c>
      <c r="F273" s="10">
        <f t="shared" si="106"/>
        <v>50.394000000000005</v>
      </c>
      <c r="G273" s="94">
        <v>44</v>
      </c>
      <c r="H273" s="94">
        <v>0</v>
      </c>
      <c r="I273" s="54">
        <v>0</v>
      </c>
      <c r="J273" s="54">
        <v>0</v>
      </c>
      <c r="K273" s="94">
        <v>40</v>
      </c>
      <c r="L273" s="10">
        <v>0</v>
      </c>
      <c r="M273" s="94"/>
      <c r="N273" s="10">
        <f t="shared" si="107"/>
        <v>0</v>
      </c>
      <c r="O273" s="10">
        <v>0</v>
      </c>
      <c r="P273" s="94">
        <v>40</v>
      </c>
      <c r="Q273" s="143">
        <f t="shared" si="108"/>
        <v>40</v>
      </c>
      <c r="T273" s="95"/>
    </row>
    <row r="274" spans="1:20" ht="12.75" customHeight="1" x14ac:dyDescent="0.2">
      <c r="A274" s="2">
        <v>120326</v>
      </c>
      <c r="B274" s="179">
        <v>54</v>
      </c>
      <c r="C274" s="180" t="s">
        <v>103</v>
      </c>
      <c r="D274" s="53">
        <v>266</v>
      </c>
      <c r="E274" s="53">
        <v>405</v>
      </c>
      <c r="F274" s="10">
        <f t="shared" si="106"/>
        <v>89.910000000000011</v>
      </c>
      <c r="G274" s="94">
        <v>0</v>
      </c>
      <c r="H274" s="94">
        <v>0</v>
      </c>
      <c r="I274" s="54">
        <v>0</v>
      </c>
      <c r="J274" s="54">
        <v>0</v>
      </c>
      <c r="K274" s="94">
        <v>74</v>
      </c>
      <c r="L274" s="10">
        <v>0</v>
      </c>
      <c r="M274" s="94"/>
      <c r="N274" s="10">
        <f t="shared" si="107"/>
        <v>0</v>
      </c>
      <c r="O274" s="10">
        <v>0</v>
      </c>
      <c r="P274" s="94">
        <v>25</v>
      </c>
      <c r="Q274" s="143">
        <f t="shared" si="108"/>
        <v>25</v>
      </c>
      <c r="T274" s="95"/>
    </row>
    <row r="275" spans="1:20" s="53" customFormat="1" ht="12.75" customHeight="1" x14ac:dyDescent="0.2">
      <c r="A275" s="2">
        <v>120339</v>
      </c>
      <c r="B275" s="179">
        <v>17</v>
      </c>
      <c r="C275" s="180" t="s">
        <v>104</v>
      </c>
      <c r="D275" s="53">
        <v>238</v>
      </c>
      <c r="E275" s="53">
        <v>293</v>
      </c>
      <c r="F275" s="10">
        <f t="shared" si="106"/>
        <v>65.045999999999992</v>
      </c>
      <c r="G275" s="94">
        <v>58</v>
      </c>
      <c r="H275" s="94">
        <v>0</v>
      </c>
      <c r="I275" s="54">
        <v>0</v>
      </c>
      <c r="J275" s="54">
        <v>0</v>
      </c>
      <c r="K275" s="94">
        <v>60</v>
      </c>
      <c r="L275" s="10">
        <v>0</v>
      </c>
      <c r="M275" s="94"/>
      <c r="N275" s="10">
        <f t="shared" si="107"/>
        <v>0</v>
      </c>
      <c r="O275" s="10">
        <v>0</v>
      </c>
      <c r="P275" s="94">
        <v>50</v>
      </c>
      <c r="Q275" s="143">
        <f t="shared" si="108"/>
        <v>50</v>
      </c>
      <c r="T275" s="57"/>
    </row>
    <row r="276" spans="1:20" s="53" customFormat="1" ht="12.75" customHeight="1" x14ac:dyDescent="0.2">
      <c r="A276" s="2">
        <v>120343</v>
      </c>
      <c r="B276" s="179">
        <v>42</v>
      </c>
      <c r="C276" s="180" t="s">
        <v>105</v>
      </c>
      <c r="D276" s="53">
        <v>102</v>
      </c>
      <c r="E276" s="53">
        <v>157</v>
      </c>
      <c r="F276" s="10">
        <f t="shared" si="106"/>
        <v>34.854000000000006</v>
      </c>
      <c r="G276" s="94">
        <v>15</v>
      </c>
      <c r="H276" s="94">
        <v>0</v>
      </c>
      <c r="I276" s="54">
        <v>0</v>
      </c>
      <c r="J276" s="54">
        <v>0</v>
      </c>
      <c r="K276" s="94">
        <v>26</v>
      </c>
      <c r="L276" s="10">
        <v>0</v>
      </c>
      <c r="M276" s="94"/>
      <c r="N276" s="10">
        <f t="shared" si="107"/>
        <v>0</v>
      </c>
      <c r="O276" s="10">
        <v>0</v>
      </c>
      <c r="P276" s="94">
        <v>28</v>
      </c>
      <c r="Q276" s="143">
        <f t="shared" si="108"/>
        <v>28</v>
      </c>
      <c r="T276" s="57"/>
    </row>
    <row r="277" spans="1:20" s="53" customFormat="1" ht="12.75" customHeight="1" x14ac:dyDescent="0.2">
      <c r="A277" s="2">
        <v>120344</v>
      </c>
      <c r="B277" s="179">
        <v>136</v>
      </c>
      <c r="C277" s="180" t="s">
        <v>106</v>
      </c>
      <c r="D277" s="53">
        <v>154</v>
      </c>
      <c r="E277" s="53">
        <v>255</v>
      </c>
      <c r="F277" s="10">
        <f t="shared" si="106"/>
        <v>56.61</v>
      </c>
      <c r="G277" s="94">
        <v>48</v>
      </c>
      <c r="H277" s="94">
        <v>0</v>
      </c>
      <c r="I277" s="54">
        <v>0</v>
      </c>
      <c r="J277" s="54">
        <v>0</v>
      </c>
      <c r="K277" s="94">
        <v>42</v>
      </c>
      <c r="L277" s="10">
        <v>0</v>
      </c>
      <c r="M277" s="94"/>
      <c r="N277" s="10">
        <f t="shared" si="107"/>
        <v>0</v>
      </c>
      <c r="O277" s="10">
        <v>0</v>
      </c>
      <c r="P277" s="94">
        <v>34</v>
      </c>
      <c r="Q277" s="143">
        <f t="shared" si="108"/>
        <v>34</v>
      </c>
      <c r="T277" s="57"/>
    </row>
    <row r="278" spans="1:20" s="53" customFormat="1" ht="12.75" customHeight="1" x14ac:dyDescent="0.2">
      <c r="A278" s="2">
        <v>120534</v>
      </c>
      <c r="B278" s="179">
        <v>1</v>
      </c>
      <c r="C278" s="180" t="s">
        <v>107</v>
      </c>
      <c r="D278" s="53">
        <v>486</v>
      </c>
      <c r="E278" s="53">
        <v>726</v>
      </c>
      <c r="F278" s="10">
        <f t="shared" si="106"/>
        <v>161.172</v>
      </c>
      <c r="G278" s="94">
        <v>135</v>
      </c>
      <c r="H278" s="94">
        <v>0</v>
      </c>
      <c r="I278" s="54">
        <v>0</v>
      </c>
      <c r="J278" s="54">
        <v>0</v>
      </c>
      <c r="K278" s="94">
        <v>90</v>
      </c>
      <c r="L278" s="10">
        <v>0</v>
      </c>
      <c r="M278" s="94"/>
      <c r="N278" s="10">
        <f t="shared" si="107"/>
        <v>0</v>
      </c>
      <c r="O278" s="10">
        <v>0</v>
      </c>
      <c r="P278" s="94">
        <v>90</v>
      </c>
      <c r="Q278" s="143">
        <f t="shared" si="108"/>
        <v>90</v>
      </c>
      <c r="T278" s="57"/>
    </row>
    <row r="279" spans="1:20" ht="12.75" customHeight="1" x14ac:dyDescent="0.2">
      <c r="A279" s="2">
        <v>120604</v>
      </c>
      <c r="B279" s="179">
        <v>98</v>
      </c>
      <c r="C279" s="180" t="s">
        <v>108</v>
      </c>
      <c r="D279" s="53">
        <v>347</v>
      </c>
      <c r="E279" s="53">
        <v>667</v>
      </c>
      <c r="F279" s="10">
        <f t="shared" si="106"/>
        <v>148.07400000000001</v>
      </c>
      <c r="G279" s="94">
        <v>135</v>
      </c>
      <c r="H279" s="94">
        <v>0</v>
      </c>
      <c r="I279" s="54">
        <v>0</v>
      </c>
      <c r="J279" s="54">
        <v>0</v>
      </c>
      <c r="K279" s="94">
        <v>120</v>
      </c>
      <c r="L279" s="10">
        <v>0</v>
      </c>
      <c r="M279" s="94"/>
      <c r="N279" s="10">
        <f t="shared" si="107"/>
        <v>0</v>
      </c>
      <c r="O279" s="10">
        <v>0</v>
      </c>
      <c r="P279" s="94">
        <v>100</v>
      </c>
      <c r="Q279" s="143">
        <f t="shared" si="108"/>
        <v>100</v>
      </c>
      <c r="T279" s="96"/>
    </row>
    <row r="280" spans="1:20" s="53" customFormat="1" ht="12.75" customHeight="1" x14ac:dyDescent="0.2">
      <c r="A280" s="2">
        <v>168101</v>
      </c>
      <c r="B280" s="179">
        <v>240</v>
      </c>
      <c r="C280" s="180" t="s">
        <v>109</v>
      </c>
      <c r="D280" s="53">
        <v>115</v>
      </c>
      <c r="E280" s="53">
        <v>167</v>
      </c>
      <c r="F280" s="10">
        <f t="shared" si="106"/>
        <v>37.074000000000005</v>
      </c>
      <c r="G280" s="94">
        <v>30</v>
      </c>
      <c r="H280" s="94">
        <v>0</v>
      </c>
      <c r="I280" s="54">
        <v>0</v>
      </c>
      <c r="J280" s="54">
        <v>0</v>
      </c>
      <c r="K280" s="94">
        <v>25</v>
      </c>
      <c r="L280" s="10">
        <v>0</v>
      </c>
      <c r="M280" s="178"/>
      <c r="N280" s="10">
        <f t="shared" si="107"/>
        <v>0</v>
      </c>
      <c r="O280" s="10">
        <v>0</v>
      </c>
      <c r="P280" s="94">
        <v>10</v>
      </c>
      <c r="Q280" s="143">
        <f t="shared" si="108"/>
        <v>10</v>
      </c>
      <c r="T280" s="57"/>
    </row>
    <row r="281" spans="1:20" s="53" customFormat="1" ht="12.75" customHeight="1" x14ac:dyDescent="0.2">
      <c r="A281" s="2">
        <v>185101</v>
      </c>
      <c r="B281" s="179">
        <v>32</v>
      </c>
      <c r="C281" s="180" t="s">
        <v>110</v>
      </c>
      <c r="D281" s="53">
        <v>55</v>
      </c>
      <c r="E281" s="53">
        <v>62</v>
      </c>
      <c r="F281" s="10">
        <f t="shared" si="106"/>
        <v>13.764000000000001</v>
      </c>
      <c r="G281" s="94">
        <v>10</v>
      </c>
      <c r="H281" s="94">
        <v>0</v>
      </c>
      <c r="I281" s="54">
        <v>0</v>
      </c>
      <c r="J281" s="54">
        <v>0</v>
      </c>
      <c r="K281" s="94">
        <v>10</v>
      </c>
      <c r="L281" s="10">
        <v>0</v>
      </c>
      <c r="M281" s="94"/>
      <c r="N281" s="10">
        <f t="shared" si="107"/>
        <v>0</v>
      </c>
      <c r="O281" s="10">
        <v>0</v>
      </c>
      <c r="P281" s="94">
        <v>12</v>
      </c>
      <c r="Q281" s="143">
        <f t="shared" si="108"/>
        <v>12</v>
      </c>
      <c r="T281" s="57"/>
    </row>
    <row r="282" spans="1:20" ht="12.75" customHeight="1" x14ac:dyDescent="0.2">
      <c r="A282" s="2">
        <v>334108</v>
      </c>
      <c r="B282" s="179">
        <v>216</v>
      </c>
      <c r="C282" s="277" t="s">
        <v>111</v>
      </c>
      <c r="D282" s="53">
        <v>132</v>
      </c>
      <c r="E282" s="53">
        <v>189</v>
      </c>
      <c r="F282" s="10">
        <f t="shared" si="106"/>
        <v>41.957999999999998</v>
      </c>
      <c r="G282" s="94">
        <v>34</v>
      </c>
      <c r="H282" s="94">
        <v>0</v>
      </c>
      <c r="I282" s="54">
        <v>0</v>
      </c>
      <c r="J282" s="54">
        <v>0</v>
      </c>
      <c r="K282" s="94">
        <v>38</v>
      </c>
      <c r="L282" s="10">
        <v>0</v>
      </c>
      <c r="M282" s="178"/>
      <c r="N282" s="10">
        <f t="shared" si="107"/>
        <v>0</v>
      </c>
      <c r="O282" s="10">
        <v>0</v>
      </c>
      <c r="P282" s="94">
        <v>38</v>
      </c>
      <c r="Q282" s="143">
        <f t="shared" si="108"/>
        <v>38</v>
      </c>
    </row>
    <row r="283" spans="1:20" ht="12.75" customHeight="1" x14ac:dyDescent="0.2">
      <c r="A283" s="2">
        <v>334128</v>
      </c>
      <c r="B283" s="179">
        <v>231</v>
      </c>
      <c r="C283" s="180" t="s">
        <v>112</v>
      </c>
      <c r="D283" s="53">
        <v>104</v>
      </c>
      <c r="E283" s="53">
        <v>128</v>
      </c>
      <c r="F283" s="10">
        <f t="shared" si="106"/>
        <v>28.416000000000004</v>
      </c>
      <c r="G283" s="94">
        <v>0</v>
      </c>
      <c r="H283" s="94">
        <v>0</v>
      </c>
      <c r="I283" s="54">
        <v>0</v>
      </c>
      <c r="J283" s="54">
        <v>0</v>
      </c>
      <c r="K283" s="94">
        <v>0</v>
      </c>
      <c r="L283" s="10">
        <v>0</v>
      </c>
      <c r="M283" s="178"/>
      <c r="N283" s="10">
        <f t="shared" si="107"/>
        <v>0</v>
      </c>
      <c r="O283" s="10">
        <v>0</v>
      </c>
      <c r="P283" s="94">
        <v>0</v>
      </c>
      <c r="Q283" s="143">
        <f t="shared" si="108"/>
        <v>0</v>
      </c>
    </row>
    <row r="284" spans="1:20" s="53" customFormat="1" ht="12.75" customHeight="1" x14ac:dyDescent="0.2">
      <c r="A284" s="2">
        <v>334129</v>
      </c>
      <c r="B284" s="179">
        <v>44</v>
      </c>
      <c r="C284" s="180" t="s">
        <v>113</v>
      </c>
      <c r="D284" s="53">
        <v>75</v>
      </c>
      <c r="E284" s="53">
        <v>97</v>
      </c>
      <c r="F284" s="10">
        <f t="shared" si="106"/>
        <v>21.534000000000002</v>
      </c>
      <c r="G284" s="94">
        <v>21</v>
      </c>
      <c r="H284" s="94">
        <v>0</v>
      </c>
      <c r="I284" s="54">
        <v>0</v>
      </c>
      <c r="J284" s="54">
        <v>0</v>
      </c>
      <c r="K284" s="94">
        <v>18</v>
      </c>
      <c r="L284" s="10">
        <v>0</v>
      </c>
      <c r="M284" s="178"/>
      <c r="N284" s="10">
        <f t="shared" si="107"/>
        <v>0</v>
      </c>
      <c r="O284" s="10">
        <v>0</v>
      </c>
      <c r="P284" s="94">
        <v>19</v>
      </c>
      <c r="Q284" s="143">
        <f t="shared" si="108"/>
        <v>19</v>
      </c>
      <c r="T284" s="181"/>
    </row>
    <row r="285" spans="1:20" s="53" customFormat="1" ht="12.75" customHeight="1" x14ac:dyDescent="0.2">
      <c r="A285" s="2">
        <v>334131</v>
      </c>
      <c r="B285" s="179">
        <v>194</v>
      </c>
      <c r="C285" s="180" t="s">
        <v>114</v>
      </c>
      <c r="D285" s="53">
        <v>14</v>
      </c>
      <c r="E285" s="53">
        <v>21</v>
      </c>
      <c r="F285" s="10">
        <f t="shared" si="106"/>
        <v>4.6619999999999999</v>
      </c>
      <c r="G285" s="94">
        <v>0</v>
      </c>
      <c r="H285" s="94">
        <v>0</v>
      </c>
      <c r="I285" s="54">
        <v>0</v>
      </c>
      <c r="J285" s="54">
        <v>0</v>
      </c>
      <c r="K285" s="94">
        <v>0</v>
      </c>
      <c r="L285" s="10">
        <v>0</v>
      </c>
      <c r="M285" s="178"/>
      <c r="N285" s="10">
        <f t="shared" si="107"/>
        <v>0</v>
      </c>
      <c r="O285" s="10">
        <v>0</v>
      </c>
      <c r="P285" s="94">
        <v>0</v>
      </c>
      <c r="Q285" s="143">
        <f t="shared" si="108"/>
        <v>0</v>
      </c>
      <c r="T285" s="181"/>
    </row>
    <row r="286" spans="1:20" s="53" customFormat="1" ht="12.75" customHeight="1" x14ac:dyDescent="0.2">
      <c r="A286" s="2">
        <v>334132</v>
      </c>
      <c r="B286" s="179">
        <v>190</v>
      </c>
      <c r="C286" s="180" t="s">
        <v>115</v>
      </c>
      <c r="D286" s="53">
        <v>109</v>
      </c>
      <c r="E286" s="53">
        <v>151</v>
      </c>
      <c r="F286" s="10">
        <f t="shared" si="106"/>
        <v>33.521999999999998</v>
      </c>
      <c r="G286" s="94">
        <v>27</v>
      </c>
      <c r="H286" s="94">
        <v>0</v>
      </c>
      <c r="I286" s="54">
        <v>0</v>
      </c>
      <c r="J286" s="54">
        <v>0</v>
      </c>
      <c r="K286" s="94">
        <v>27</v>
      </c>
      <c r="L286" s="10">
        <v>0</v>
      </c>
      <c r="M286" s="178"/>
      <c r="N286" s="10">
        <f t="shared" si="107"/>
        <v>0</v>
      </c>
      <c r="O286" s="10">
        <v>0</v>
      </c>
      <c r="P286" s="94">
        <v>27</v>
      </c>
      <c r="Q286" s="143">
        <f t="shared" si="108"/>
        <v>27</v>
      </c>
      <c r="T286" s="181"/>
    </row>
    <row r="287" spans="1:20" s="53" customFormat="1" ht="12.75" customHeight="1" x14ac:dyDescent="0.2">
      <c r="A287" s="2">
        <v>334133</v>
      </c>
      <c r="B287" s="179">
        <v>51</v>
      </c>
      <c r="C287" s="180" t="s">
        <v>244</v>
      </c>
      <c r="D287" s="53">
        <v>72</v>
      </c>
      <c r="E287" s="53">
        <v>104</v>
      </c>
      <c r="F287" s="10">
        <f t="shared" si="106"/>
        <v>23.088000000000005</v>
      </c>
      <c r="G287" s="94">
        <v>0</v>
      </c>
      <c r="H287" s="94">
        <v>0</v>
      </c>
      <c r="I287" s="54">
        <v>0</v>
      </c>
      <c r="J287" s="54">
        <v>0</v>
      </c>
      <c r="K287" s="94">
        <v>0</v>
      </c>
      <c r="L287" s="10">
        <v>0</v>
      </c>
      <c r="M287" s="178"/>
      <c r="N287" s="10">
        <f>ROUND((+F287*M287)/100,0)</f>
        <v>0</v>
      </c>
      <c r="O287" s="10">
        <v>0</v>
      </c>
      <c r="P287" s="94">
        <v>0</v>
      </c>
      <c r="Q287" s="143">
        <f>+P287</f>
        <v>0</v>
      </c>
      <c r="T287" s="181"/>
    </row>
    <row r="288" spans="1:20" s="53" customFormat="1" ht="12.75" customHeight="1" x14ac:dyDescent="0.2">
      <c r="A288" s="2">
        <v>334137</v>
      </c>
      <c r="B288" s="179">
        <v>226</v>
      </c>
      <c r="C288" s="180" t="s">
        <v>322</v>
      </c>
      <c r="D288" s="53">
        <v>27</v>
      </c>
      <c r="E288" s="53">
        <v>53</v>
      </c>
      <c r="F288" s="10">
        <f t="shared" si="106"/>
        <v>11.766</v>
      </c>
      <c r="G288" s="94">
        <v>8</v>
      </c>
      <c r="H288" s="94">
        <v>0</v>
      </c>
      <c r="I288" s="54">
        <v>0</v>
      </c>
      <c r="J288" s="54">
        <v>0</v>
      </c>
      <c r="K288" s="94">
        <v>10</v>
      </c>
      <c r="L288" s="10">
        <v>0</v>
      </c>
      <c r="M288" s="178"/>
      <c r="N288" s="10">
        <f>ROUND((+F288*M288)/100,0)</f>
        <v>0</v>
      </c>
      <c r="O288" s="10">
        <v>0</v>
      </c>
      <c r="P288" s="94">
        <v>10</v>
      </c>
      <c r="Q288" s="143">
        <f>+P288</f>
        <v>10</v>
      </c>
      <c r="T288" s="181"/>
    </row>
    <row r="289" spans="1:20" s="53" customFormat="1" ht="12.75" customHeight="1" x14ac:dyDescent="0.2">
      <c r="A289" s="2">
        <v>334138</v>
      </c>
      <c r="B289" s="179">
        <v>219</v>
      </c>
      <c r="C289" s="180" t="s">
        <v>335</v>
      </c>
      <c r="D289" s="53">
        <v>40</v>
      </c>
      <c r="E289" s="53">
        <v>60</v>
      </c>
      <c r="F289" s="10">
        <f t="shared" si="106"/>
        <v>13.32</v>
      </c>
      <c r="G289" s="94">
        <v>6</v>
      </c>
      <c r="H289" s="94">
        <v>0</v>
      </c>
      <c r="I289" s="54">
        <v>0</v>
      </c>
      <c r="J289" s="54">
        <v>0</v>
      </c>
      <c r="K289" s="94">
        <v>8</v>
      </c>
      <c r="L289" s="10">
        <v>0</v>
      </c>
      <c r="M289" s="178"/>
      <c r="N289" s="10">
        <f>ROUND((+F289*M289)/100,0)</f>
        <v>0</v>
      </c>
      <c r="O289" s="10">
        <v>0</v>
      </c>
      <c r="P289" s="94">
        <v>10</v>
      </c>
      <c r="Q289" s="143">
        <f>+P289</f>
        <v>10</v>
      </c>
      <c r="T289" s="181"/>
    </row>
    <row r="290" spans="1:20" s="53" customFormat="1" ht="12.75" customHeight="1" x14ac:dyDescent="0.2">
      <c r="A290" s="2">
        <v>345103</v>
      </c>
      <c r="B290" s="179">
        <v>61</v>
      </c>
      <c r="C290" s="180" t="s">
        <v>116</v>
      </c>
      <c r="D290" s="53">
        <v>43</v>
      </c>
      <c r="E290" s="53">
        <v>97</v>
      </c>
      <c r="F290" s="10">
        <f t="shared" si="106"/>
        <v>21.534000000000002</v>
      </c>
      <c r="G290" s="94">
        <v>12</v>
      </c>
      <c r="H290" s="94">
        <v>0</v>
      </c>
      <c r="I290" s="54">
        <v>0</v>
      </c>
      <c r="J290" s="54">
        <v>0</v>
      </c>
      <c r="K290" s="94">
        <v>18</v>
      </c>
      <c r="L290" s="10">
        <v>0</v>
      </c>
      <c r="M290" s="178"/>
      <c r="N290" s="10">
        <f t="shared" si="107"/>
        <v>0</v>
      </c>
      <c r="O290" s="10">
        <v>0</v>
      </c>
      <c r="P290" s="94">
        <v>15</v>
      </c>
      <c r="Q290" s="143">
        <f t="shared" si="108"/>
        <v>15</v>
      </c>
      <c r="T290" s="181"/>
    </row>
    <row r="291" spans="1:20" s="53" customFormat="1" ht="12.75" customHeight="1" x14ac:dyDescent="0.2">
      <c r="A291" s="2">
        <v>402101</v>
      </c>
      <c r="B291" s="179">
        <v>202</v>
      </c>
      <c r="C291" s="180" t="s">
        <v>117</v>
      </c>
      <c r="D291" s="53">
        <v>36</v>
      </c>
      <c r="E291" s="53">
        <v>56</v>
      </c>
      <c r="F291" s="10">
        <f t="shared" si="106"/>
        <v>12.432</v>
      </c>
      <c r="G291" s="94">
        <v>0</v>
      </c>
      <c r="H291" s="94">
        <v>0</v>
      </c>
      <c r="I291" s="54">
        <v>0</v>
      </c>
      <c r="J291" s="54">
        <v>0</v>
      </c>
      <c r="K291" s="94">
        <v>10</v>
      </c>
      <c r="L291" s="10">
        <v>0</v>
      </c>
      <c r="M291" s="178"/>
      <c r="N291" s="10">
        <f t="shared" si="107"/>
        <v>0</v>
      </c>
      <c r="O291" s="10">
        <v>0</v>
      </c>
      <c r="P291" s="94">
        <v>10</v>
      </c>
      <c r="Q291" s="143">
        <f t="shared" si="108"/>
        <v>10</v>
      </c>
      <c r="T291" s="181"/>
    </row>
    <row r="292" spans="1:20" s="53" customFormat="1" ht="12.75" customHeight="1" x14ac:dyDescent="0.2">
      <c r="A292" s="2">
        <v>414102</v>
      </c>
      <c r="B292" s="179">
        <v>89</v>
      </c>
      <c r="C292" s="180" t="s">
        <v>118</v>
      </c>
      <c r="D292" s="53">
        <v>79</v>
      </c>
      <c r="E292" s="53">
        <v>109</v>
      </c>
      <c r="F292" s="10">
        <f t="shared" si="106"/>
        <v>24.198000000000004</v>
      </c>
      <c r="G292" s="94">
        <v>22</v>
      </c>
      <c r="H292" s="94">
        <v>0</v>
      </c>
      <c r="I292" s="54">
        <v>0</v>
      </c>
      <c r="J292" s="54">
        <v>0</v>
      </c>
      <c r="K292" s="94">
        <v>14</v>
      </c>
      <c r="L292" s="10">
        <v>0</v>
      </c>
      <c r="M292" s="178"/>
      <c r="N292" s="10">
        <f t="shared" si="107"/>
        <v>0</v>
      </c>
      <c r="O292" s="10">
        <v>0</v>
      </c>
      <c r="P292" s="94">
        <v>20</v>
      </c>
      <c r="Q292" s="143">
        <f t="shared" si="108"/>
        <v>20</v>
      </c>
      <c r="T292" s="181"/>
    </row>
    <row r="293" spans="1:20" s="53" customFormat="1" ht="12.75" customHeight="1" x14ac:dyDescent="0.2">
      <c r="A293" s="2">
        <v>414103</v>
      </c>
      <c r="B293" s="179">
        <v>12</v>
      </c>
      <c r="C293" s="180" t="s">
        <v>119</v>
      </c>
      <c r="D293" s="53">
        <v>96</v>
      </c>
      <c r="E293" s="53">
        <v>126</v>
      </c>
      <c r="F293" s="10">
        <f t="shared" si="106"/>
        <v>27.972000000000005</v>
      </c>
      <c r="G293" s="94">
        <v>26</v>
      </c>
      <c r="H293" s="94">
        <v>0</v>
      </c>
      <c r="I293" s="54">
        <v>0</v>
      </c>
      <c r="J293" s="54">
        <v>0</v>
      </c>
      <c r="K293" s="94">
        <v>26</v>
      </c>
      <c r="L293" s="10">
        <v>0</v>
      </c>
      <c r="M293" s="178"/>
      <c r="N293" s="10">
        <f t="shared" si="107"/>
        <v>0</v>
      </c>
      <c r="O293" s="10">
        <v>0</v>
      </c>
      <c r="P293" s="94">
        <v>24</v>
      </c>
      <c r="Q293" s="143">
        <f t="shared" si="108"/>
        <v>24</v>
      </c>
      <c r="T293" s="181"/>
    </row>
    <row r="294" spans="1:20" s="53" customFormat="1" ht="12.75" customHeight="1" x14ac:dyDescent="0.2">
      <c r="A294" s="2">
        <v>474101</v>
      </c>
      <c r="B294" s="179">
        <v>117</v>
      </c>
      <c r="C294" s="180" t="s">
        <v>120</v>
      </c>
      <c r="D294" s="53">
        <v>132</v>
      </c>
      <c r="E294" s="53">
        <v>272</v>
      </c>
      <c r="F294" s="10">
        <f t="shared" si="106"/>
        <v>60.384</v>
      </c>
      <c r="G294" s="94">
        <v>15</v>
      </c>
      <c r="H294" s="94">
        <v>0</v>
      </c>
      <c r="I294" s="54">
        <v>0</v>
      </c>
      <c r="J294" s="54">
        <v>0</v>
      </c>
      <c r="K294" s="94">
        <v>35</v>
      </c>
      <c r="L294" s="10">
        <v>0</v>
      </c>
      <c r="M294" s="178"/>
      <c r="N294" s="10">
        <f t="shared" si="107"/>
        <v>0</v>
      </c>
      <c r="O294" s="10">
        <v>0</v>
      </c>
      <c r="P294" s="94">
        <v>50</v>
      </c>
      <c r="Q294" s="143">
        <f t="shared" si="108"/>
        <v>50</v>
      </c>
    </row>
    <row r="295" spans="1:20" s="53" customFormat="1" ht="12.75" customHeight="1" x14ac:dyDescent="0.2">
      <c r="A295" s="2">
        <v>474102</v>
      </c>
      <c r="B295" s="179">
        <v>215</v>
      </c>
      <c r="C295" s="180" t="s">
        <v>121</v>
      </c>
      <c r="D295" s="53">
        <v>39</v>
      </c>
      <c r="E295" s="53">
        <v>49</v>
      </c>
      <c r="F295" s="10">
        <f t="shared" si="106"/>
        <v>10.878</v>
      </c>
      <c r="G295" s="94">
        <v>8</v>
      </c>
      <c r="H295" s="94">
        <v>0</v>
      </c>
      <c r="I295" s="54">
        <v>0</v>
      </c>
      <c r="J295" s="54">
        <v>0</v>
      </c>
      <c r="K295" s="94">
        <v>10</v>
      </c>
      <c r="L295" s="10">
        <v>0</v>
      </c>
      <c r="M295" s="178"/>
      <c r="N295" s="10">
        <f t="shared" si="107"/>
        <v>0</v>
      </c>
      <c r="O295" s="10">
        <v>0</v>
      </c>
      <c r="P295" s="94">
        <v>10</v>
      </c>
      <c r="Q295" s="143">
        <f t="shared" si="108"/>
        <v>10</v>
      </c>
    </row>
    <row r="296" spans="1:20" s="53" customFormat="1" ht="12.75" customHeight="1" x14ac:dyDescent="0.2">
      <c r="A296" s="2">
        <v>482105</v>
      </c>
      <c r="B296" s="179">
        <v>107</v>
      </c>
      <c r="C296" s="180" t="s">
        <v>122</v>
      </c>
      <c r="D296" s="53">
        <v>249</v>
      </c>
      <c r="E296" s="53">
        <v>407</v>
      </c>
      <c r="F296" s="10">
        <f t="shared" si="106"/>
        <v>90.353999999999999</v>
      </c>
      <c r="G296" s="94">
        <v>76</v>
      </c>
      <c r="H296" s="94">
        <v>0</v>
      </c>
      <c r="I296" s="54">
        <v>0</v>
      </c>
      <c r="J296" s="54">
        <v>0</v>
      </c>
      <c r="K296" s="94">
        <v>0</v>
      </c>
      <c r="L296" s="10">
        <v>0</v>
      </c>
      <c r="M296" s="178"/>
      <c r="N296" s="10">
        <f t="shared" si="107"/>
        <v>0</v>
      </c>
      <c r="O296" s="10">
        <v>0</v>
      </c>
      <c r="P296" s="94">
        <v>62</v>
      </c>
      <c r="Q296" s="143">
        <f t="shared" si="108"/>
        <v>62</v>
      </c>
    </row>
    <row r="297" spans="1:20" s="53" customFormat="1" ht="12.75" customHeight="1" x14ac:dyDescent="0.2">
      <c r="A297" s="2">
        <v>482106</v>
      </c>
      <c r="B297" s="179">
        <v>92</v>
      </c>
      <c r="C297" s="180" t="s">
        <v>123</v>
      </c>
      <c r="D297" s="53">
        <v>78</v>
      </c>
      <c r="E297" s="53">
        <v>107</v>
      </c>
      <c r="F297" s="10">
        <f t="shared" si="106"/>
        <v>23.754000000000001</v>
      </c>
      <c r="G297" s="94">
        <v>20</v>
      </c>
      <c r="H297" s="94">
        <v>0</v>
      </c>
      <c r="I297" s="54">
        <v>0</v>
      </c>
      <c r="J297" s="54">
        <v>0</v>
      </c>
      <c r="K297" s="94">
        <v>0</v>
      </c>
      <c r="L297" s="10">
        <v>0</v>
      </c>
      <c r="M297" s="178"/>
      <c r="N297" s="10">
        <f t="shared" si="107"/>
        <v>0</v>
      </c>
      <c r="O297" s="10">
        <v>0</v>
      </c>
      <c r="P297" s="94">
        <v>18</v>
      </c>
      <c r="Q297" s="143">
        <f t="shared" si="108"/>
        <v>18</v>
      </c>
    </row>
    <row r="298" spans="1:20" s="53" customFormat="1" ht="12.75" customHeight="1" x14ac:dyDescent="0.2">
      <c r="A298" s="2">
        <v>482107</v>
      </c>
      <c r="B298" s="179">
        <v>104</v>
      </c>
      <c r="C298" s="180" t="s">
        <v>277</v>
      </c>
      <c r="D298" s="53">
        <v>83</v>
      </c>
      <c r="E298" s="53">
        <v>106</v>
      </c>
      <c r="F298" s="10">
        <f t="shared" si="106"/>
        <v>23.532</v>
      </c>
      <c r="G298" s="94">
        <v>20</v>
      </c>
      <c r="H298" s="94">
        <v>0</v>
      </c>
      <c r="I298" s="54">
        <v>0</v>
      </c>
      <c r="J298" s="54">
        <v>0</v>
      </c>
      <c r="K298" s="94">
        <v>18</v>
      </c>
      <c r="L298" s="10">
        <v>0</v>
      </c>
      <c r="M298" s="178"/>
      <c r="N298" s="10">
        <f t="shared" si="107"/>
        <v>0</v>
      </c>
      <c r="O298" s="10">
        <v>0</v>
      </c>
      <c r="P298" s="94">
        <v>16</v>
      </c>
      <c r="Q298" s="143">
        <f t="shared" si="108"/>
        <v>16</v>
      </c>
    </row>
    <row r="299" spans="1:20" s="53" customFormat="1" ht="12.75" customHeight="1" x14ac:dyDescent="0.2">
      <c r="A299" s="2">
        <v>482109</v>
      </c>
      <c r="B299" s="179">
        <v>236</v>
      </c>
      <c r="C299" s="180" t="s">
        <v>124</v>
      </c>
      <c r="D299" s="53">
        <v>81</v>
      </c>
      <c r="E299" s="53">
        <v>116</v>
      </c>
      <c r="F299" s="10">
        <f t="shared" si="106"/>
        <v>25.751999999999999</v>
      </c>
      <c r="G299" s="94">
        <v>10</v>
      </c>
      <c r="H299" s="94">
        <v>0</v>
      </c>
      <c r="I299" s="54">
        <v>0</v>
      </c>
      <c r="J299" s="54">
        <v>0</v>
      </c>
      <c r="K299" s="94">
        <v>10</v>
      </c>
      <c r="L299" s="10">
        <v>0</v>
      </c>
      <c r="M299" s="178"/>
      <c r="N299" s="10">
        <f t="shared" si="107"/>
        <v>0</v>
      </c>
      <c r="O299" s="10">
        <v>0</v>
      </c>
      <c r="P299" s="94">
        <v>0</v>
      </c>
      <c r="Q299" s="143">
        <f t="shared" si="108"/>
        <v>0</v>
      </c>
    </row>
    <row r="300" spans="1:20" s="53" customFormat="1" ht="12.75" customHeight="1" x14ac:dyDescent="0.2">
      <c r="A300" s="1"/>
      <c r="B300" s="52"/>
      <c r="C300" s="57"/>
      <c r="D300" s="61"/>
      <c r="E300" s="61"/>
      <c r="F300" s="79"/>
      <c r="G300" s="94"/>
      <c r="H300" s="94"/>
      <c r="I300" s="54"/>
      <c r="J300" s="54"/>
      <c r="K300" s="94"/>
      <c r="L300" s="61"/>
      <c r="M300" s="78"/>
      <c r="N300" s="61"/>
      <c r="O300" s="61"/>
      <c r="P300" s="94"/>
      <c r="Q300" s="80"/>
    </row>
    <row r="301" spans="1:20" ht="12.75" customHeight="1" x14ac:dyDescent="0.2">
      <c r="A301" s="43" t="s">
        <v>41</v>
      </c>
      <c r="B301" s="44"/>
      <c r="C301" s="45">
        <f>COUNTA(A271:A299)</f>
        <v>29</v>
      </c>
      <c r="D301" s="48">
        <f t="shared" ref="D301:Q301" si="109">SUM(D271:D299)</f>
        <v>3474</v>
      </c>
      <c r="E301" s="48">
        <f t="shared" si="109"/>
        <v>5302</v>
      </c>
      <c r="F301" s="47">
        <f t="shared" si="109"/>
        <v>1177.0439999999999</v>
      </c>
      <c r="G301" s="47">
        <f t="shared" si="109"/>
        <v>796</v>
      </c>
      <c r="H301" s="47">
        <f t="shared" si="109"/>
        <v>0</v>
      </c>
      <c r="I301" s="47">
        <f t="shared" si="109"/>
        <v>0</v>
      </c>
      <c r="J301" s="47">
        <f t="shared" si="109"/>
        <v>0</v>
      </c>
      <c r="K301" s="47">
        <f t="shared" si="109"/>
        <v>741</v>
      </c>
      <c r="L301" s="47">
        <f t="shared" si="109"/>
        <v>0</v>
      </c>
      <c r="M301" s="47">
        <f t="shared" si="109"/>
        <v>0</v>
      </c>
      <c r="N301" s="47">
        <f t="shared" si="109"/>
        <v>0</v>
      </c>
      <c r="O301" s="47">
        <f t="shared" si="109"/>
        <v>0</v>
      </c>
      <c r="P301" s="47">
        <f t="shared" si="109"/>
        <v>728</v>
      </c>
      <c r="Q301" s="47">
        <f t="shared" si="109"/>
        <v>728</v>
      </c>
      <c r="S301" s="6">
        <f>11+20+42+80+35+23+20+12+22+21+22+42+17+29+30+20+15+28+27+150+180+31+19+15+15+32+15+20</f>
        <v>993</v>
      </c>
      <c r="T301" s="8">
        <f>+S301-Q301</f>
        <v>265</v>
      </c>
    </row>
    <row r="302" spans="1:20" ht="12.75" customHeight="1" x14ac:dyDescent="0.2">
      <c r="A302" s="66" t="s">
        <v>378</v>
      </c>
      <c r="B302" s="182"/>
      <c r="C302" s="182"/>
      <c r="D302" s="182"/>
      <c r="E302" s="182"/>
      <c r="F302" s="182"/>
      <c r="G302" s="182"/>
      <c r="H302" s="182"/>
      <c r="I302" s="182"/>
      <c r="J302" s="182"/>
      <c r="K302" s="182"/>
      <c r="L302" s="182"/>
      <c r="M302" s="182"/>
      <c r="N302" s="182"/>
      <c r="O302" s="182"/>
      <c r="P302" s="183"/>
      <c r="Q302" s="184"/>
    </row>
    <row r="303" spans="1:20" ht="12.75" customHeight="1" x14ac:dyDescent="0.2">
      <c r="A303" s="185"/>
      <c r="B303" s="186"/>
      <c r="C303" s="186"/>
      <c r="D303" s="186"/>
      <c r="E303" s="186"/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7"/>
      <c r="Q303" s="276"/>
    </row>
    <row r="304" spans="1:20" ht="12.75" customHeight="1" x14ac:dyDescent="0.2">
      <c r="A304" s="294"/>
      <c r="B304" s="188"/>
      <c r="C304" s="188"/>
      <c r="D304" s="188"/>
      <c r="E304" s="188"/>
      <c r="F304" s="188"/>
      <c r="G304" s="188"/>
      <c r="H304" s="188"/>
      <c r="I304" s="188"/>
      <c r="J304" s="188"/>
      <c r="K304" s="188"/>
      <c r="L304" s="189"/>
      <c r="M304" s="328" t="s">
        <v>43</v>
      </c>
      <c r="N304" s="328"/>
      <c r="O304" s="328"/>
      <c r="P304" s="328"/>
      <c r="Q304" s="84">
        <f>Q301</f>
        <v>728</v>
      </c>
    </row>
    <row r="305" spans="1:17" ht="18" customHeight="1" x14ac:dyDescent="0.2">
      <c r="A305" s="190"/>
      <c r="B305" s="190"/>
      <c r="C305" s="190"/>
      <c r="D305" s="190"/>
      <c r="E305" s="190"/>
      <c r="F305" s="190"/>
      <c r="G305" s="190"/>
      <c r="H305" s="190"/>
      <c r="I305" s="190"/>
      <c r="J305" s="190"/>
      <c r="K305" s="190"/>
      <c r="L305" s="190"/>
      <c r="M305" s="178"/>
      <c r="N305" s="82"/>
      <c r="O305" s="82"/>
      <c r="P305" s="83"/>
      <c r="Q305" s="84"/>
    </row>
    <row r="306" spans="1:17" ht="12.75" customHeight="1" x14ac:dyDescent="0.2">
      <c r="A306" s="90"/>
      <c r="B306" s="91" t="s">
        <v>125</v>
      </c>
      <c r="C306" s="92"/>
      <c r="D306" s="124"/>
      <c r="E306" s="46"/>
      <c r="G306" s="46"/>
      <c r="H306" s="46"/>
      <c r="I306" s="93"/>
      <c r="J306" s="93"/>
      <c r="K306" s="46"/>
      <c r="M306" s="46"/>
      <c r="P306" s="94"/>
    </row>
    <row r="307" spans="1:17" ht="12.75" customHeight="1" x14ac:dyDescent="0.2">
      <c r="A307" s="90"/>
      <c r="B307" s="95"/>
      <c r="C307" s="96"/>
      <c r="D307" s="46"/>
      <c r="E307" s="46"/>
      <c r="G307" s="46"/>
      <c r="H307" s="46"/>
      <c r="I307" s="93"/>
      <c r="J307" s="93"/>
      <c r="K307" s="46"/>
      <c r="M307" s="46"/>
      <c r="P307" s="94"/>
    </row>
    <row r="308" spans="1:17" ht="12.75" customHeight="1" x14ac:dyDescent="0.2">
      <c r="A308" s="43"/>
      <c r="B308" s="44"/>
      <c r="C308" s="45"/>
      <c r="D308" s="48"/>
      <c r="E308" s="48"/>
      <c r="F308" s="47"/>
      <c r="G308" s="48"/>
      <c r="H308" s="48"/>
      <c r="I308" s="100"/>
      <c r="J308" s="100"/>
      <c r="K308" s="48"/>
      <c r="L308" s="49"/>
      <c r="M308" s="48"/>
      <c r="N308" s="49"/>
      <c r="O308" s="49"/>
      <c r="P308" s="50"/>
      <c r="Q308" s="51"/>
    </row>
    <row r="309" spans="1:17" ht="12.75" customHeight="1" x14ac:dyDescent="0.2">
      <c r="A309" s="1">
        <v>120180</v>
      </c>
      <c r="B309" s="52">
        <v>181</v>
      </c>
      <c r="C309" s="57" t="s">
        <v>126</v>
      </c>
      <c r="D309" s="53">
        <v>324</v>
      </c>
      <c r="E309" s="53">
        <v>457</v>
      </c>
      <c r="F309" s="10">
        <f t="shared" ref="F309:F319" si="110">E309*0.666*24/72</f>
        <v>101.45400000000001</v>
      </c>
      <c r="G309" s="94">
        <v>60</v>
      </c>
      <c r="H309" s="94">
        <v>0</v>
      </c>
      <c r="I309" s="54">
        <v>0</v>
      </c>
      <c r="J309" s="54">
        <v>0</v>
      </c>
      <c r="K309" s="94">
        <v>0</v>
      </c>
      <c r="L309" s="10">
        <v>0</v>
      </c>
      <c r="M309" s="94"/>
      <c r="N309" s="10">
        <f t="shared" ref="N309:N319" si="111">ROUND((+F309*M309)/100,0)</f>
        <v>0</v>
      </c>
      <c r="O309" s="10">
        <v>0</v>
      </c>
      <c r="P309" s="94">
        <v>0</v>
      </c>
      <c r="Q309" s="143">
        <f t="shared" ref="Q309:Q319" si="112">+P309</f>
        <v>0</v>
      </c>
    </row>
    <row r="310" spans="1:17" ht="12.75" customHeight="1" x14ac:dyDescent="0.2">
      <c r="A310" s="1">
        <v>120182</v>
      </c>
      <c r="B310" s="52">
        <v>6</v>
      </c>
      <c r="C310" s="57" t="s">
        <v>127</v>
      </c>
      <c r="D310" s="53">
        <v>198</v>
      </c>
      <c r="E310" s="53">
        <v>279</v>
      </c>
      <c r="F310" s="10">
        <f t="shared" si="110"/>
        <v>61.938000000000002</v>
      </c>
      <c r="G310" s="94">
        <v>0</v>
      </c>
      <c r="H310" s="94">
        <v>0</v>
      </c>
      <c r="I310" s="54">
        <v>0</v>
      </c>
      <c r="J310" s="54">
        <v>0</v>
      </c>
      <c r="K310" s="94">
        <v>45</v>
      </c>
      <c r="L310" s="10">
        <v>0</v>
      </c>
      <c r="M310" s="94"/>
      <c r="N310" s="10">
        <f t="shared" si="111"/>
        <v>0</v>
      </c>
      <c r="O310" s="10">
        <v>0</v>
      </c>
      <c r="P310" s="94">
        <v>0</v>
      </c>
      <c r="Q310" s="143">
        <f t="shared" si="112"/>
        <v>0</v>
      </c>
    </row>
    <row r="311" spans="1:17" ht="12.75" customHeight="1" x14ac:dyDescent="0.2">
      <c r="A311" s="1">
        <v>324104</v>
      </c>
      <c r="B311" s="52">
        <v>9</v>
      </c>
      <c r="C311" s="57" t="s">
        <v>128</v>
      </c>
      <c r="D311" s="53">
        <v>75</v>
      </c>
      <c r="E311" s="53">
        <v>85</v>
      </c>
      <c r="F311" s="10">
        <f t="shared" si="110"/>
        <v>18.87</v>
      </c>
      <c r="G311" s="94">
        <v>13</v>
      </c>
      <c r="H311" s="94">
        <v>0</v>
      </c>
      <c r="I311" s="54">
        <v>0</v>
      </c>
      <c r="J311" s="54">
        <v>0</v>
      </c>
      <c r="K311" s="94">
        <v>0</v>
      </c>
      <c r="L311" s="10">
        <v>0</v>
      </c>
      <c r="M311" s="94"/>
      <c r="N311" s="10">
        <f t="shared" si="111"/>
        <v>0</v>
      </c>
      <c r="O311" s="10">
        <v>0</v>
      </c>
      <c r="P311" s="94">
        <v>15</v>
      </c>
      <c r="Q311" s="143">
        <f t="shared" si="112"/>
        <v>15</v>
      </c>
    </row>
    <row r="312" spans="1:17" ht="12.75" customHeight="1" x14ac:dyDescent="0.2">
      <c r="A312" s="1">
        <v>324114</v>
      </c>
      <c r="B312" s="52">
        <v>8</v>
      </c>
      <c r="C312" s="57" t="s">
        <v>129</v>
      </c>
      <c r="D312" s="53">
        <v>38</v>
      </c>
      <c r="E312" s="53">
        <v>56</v>
      </c>
      <c r="F312" s="10">
        <f t="shared" si="110"/>
        <v>12.432</v>
      </c>
      <c r="G312" s="94">
        <v>11</v>
      </c>
      <c r="H312" s="94">
        <v>0</v>
      </c>
      <c r="I312" s="54">
        <v>0</v>
      </c>
      <c r="J312" s="54">
        <v>0</v>
      </c>
      <c r="K312" s="94">
        <v>10</v>
      </c>
      <c r="L312" s="10">
        <v>0</v>
      </c>
      <c r="M312" s="94"/>
      <c r="N312" s="10">
        <f t="shared" si="111"/>
        <v>0</v>
      </c>
      <c r="O312" s="10">
        <v>0</v>
      </c>
      <c r="P312" s="94">
        <v>11</v>
      </c>
      <c r="Q312" s="143">
        <f t="shared" si="112"/>
        <v>11</v>
      </c>
    </row>
    <row r="313" spans="1:17" ht="12.75" customHeight="1" x14ac:dyDescent="0.2">
      <c r="A313" s="1">
        <v>324115</v>
      </c>
      <c r="B313" s="52">
        <v>34</v>
      </c>
      <c r="C313" s="57" t="s">
        <v>130</v>
      </c>
      <c r="D313" s="53">
        <v>131</v>
      </c>
      <c r="E313" s="53">
        <v>195</v>
      </c>
      <c r="F313" s="10">
        <f t="shared" si="110"/>
        <v>43.29</v>
      </c>
      <c r="G313" s="94">
        <v>0</v>
      </c>
      <c r="H313" s="94">
        <v>0</v>
      </c>
      <c r="I313" s="54">
        <v>0</v>
      </c>
      <c r="J313" s="54">
        <v>0</v>
      </c>
      <c r="K313" s="94">
        <v>30</v>
      </c>
      <c r="L313" s="10">
        <v>0</v>
      </c>
      <c r="M313" s="94"/>
      <c r="N313" s="10">
        <f t="shared" si="111"/>
        <v>0</v>
      </c>
      <c r="O313" s="10">
        <v>0</v>
      </c>
      <c r="P313" s="94">
        <v>40</v>
      </c>
      <c r="Q313" s="143">
        <f t="shared" si="112"/>
        <v>40</v>
      </c>
    </row>
    <row r="314" spans="1:17" ht="12.75" customHeight="1" x14ac:dyDescent="0.2">
      <c r="A314" s="1">
        <v>324116</v>
      </c>
      <c r="B314" s="52">
        <v>154</v>
      </c>
      <c r="C314" s="57" t="s">
        <v>309</v>
      </c>
      <c r="D314" s="53">
        <v>67</v>
      </c>
      <c r="E314" s="53">
        <v>95</v>
      </c>
      <c r="F314" s="10">
        <f t="shared" si="110"/>
        <v>21.09</v>
      </c>
      <c r="G314" s="94">
        <v>15</v>
      </c>
      <c r="H314" s="94">
        <v>0</v>
      </c>
      <c r="I314" s="54">
        <v>0</v>
      </c>
      <c r="J314" s="54">
        <v>0</v>
      </c>
      <c r="K314" s="94">
        <v>15</v>
      </c>
      <c r="L314" s="10">
        <v>0</v>
      </c>
      <c r="M314" s="94"/>
      <c r="N314" s="10">
        <f>ROUND((+F314*M314)/100,0)</f>
        <v>0</v>
      </c>
      <c r="O314" s="10">
        <v>0</v>
      </c>
      <c r="P314" s="94">
        <v>15</v>
      </c>
      <c r="Q314" s="143">
        <f>+P314</f>
        <v>15</v>
      </c>
    </row>
    <row r="315" spans="1:17" ht="12.75" customHeight="1" x14ac:dyDescent="0.2">
      <c r="A315" s="1">
        <v>324117</v>
      </c>
      <c r="B315" s="52">
        <v>82</v>
      </c>
      <c r="C315" s="57" t="s">
        <v>360</v>
      </c>
      <c r="D315" s="53">
        <v>133</v>
      </c>
      <c r="E315" s="53">
        <v>196</v>
      </c>
      <c r="F315" s="10">
        <f t="shared" ref="F315" si="113">E315*0.666*24/72</f>
        <v>43.512</v>
      </c>
      <c r="G315" s="94">
        <v>0</v>
      </c>
      <c r="H315" s="94">
        <v>0</v>
      </c>
      <c r="I315" s="54">
        <v>0</v>
      </c>
      <c r="J315" s="54">
        <v>0</v>
      </c>
      <c r="K315" s="94">
        <v>40</v>
      </c>
      <c r="L315" s="10">
        <v>0</v>
      </c>
      <c r="M315" s="94"/>
      <c r="N315" s="10">
        <f>ROUND((+F315*M315)/100,0)</f>
        <v>0</v>
      </c>
      <c r="O315" s="10">
        <v>0</v>
      </c>
      <c r="P315" s="94">
        <v>30</v>
      </c>
      <c r="Q315" s="143">
        <f>+P315</f>
        <v>30</v>
      </c>
    </row>
    <row r="316" spans="1:17" ht="12.75" customHeight="1" x14ac:dyDescent="0.2">
      <c r="A316" s="1">
        <v>324118</v>
      </c>
      <c r="B316" s="52"/>
      <c r="C316" s="57" t="s">
        <v>372</v>
      </c>
      <c r="D316" s="53">
        <v>65</v>
      </c>
      <c r="E316" s="53">
        <v>101</v>
      </c>
      <c r="F316" s="10">
        <f t="shared" ref="F316" si="114">E316*0.666*24/72</f>
        <v>22.422000000000001</v>
      </c>
      <c r="G316" s="94">
        <v>0</v>
      </c>
      <c r="H316" s="94">
        <v>0</v>
      </c>
      <c r="I316" s="54">
        <v>0</v>
      </c>
      <c r="J316" s="54">
        <v>0</v>
      </c>
      <c r="K316" s="94">
        <v>22</v>
      </c>
      <c r="L316" s="10">
        <v>0</v>
      </c>
      <c r="M316" s="94"/>
      <c r="N316" s="10">
        <f>ROUND((+F316*M316)/100,0)</f>
        <v>0</v>
      </c>
      <c r="O316" s="10">
        <v>0</v>
      </c>
      <c r="P316" s="94">
        <v>22</v>
      </c>
      <c r="Q316" s="143">
        <f>+P316</f>
        <v>22</v>
      </c>
    </row>
    <row r="317" spans="1:17" s="53" customFormat="1" ht="12.75" customHeight="1" x14ac:dyDescent="0.2">
      <c r="A317" s="1">
        <v>413110</v>
      </c>
      <c r="B317" s="52">
        <v>90</v>
      </c>
      <c r="C317" s="57" t="s">
        <v>131</v>
      </c>
      <c r="D317" s="53">
        <v>33</v>
      </c>
      <c r="E317" s="53">
        <v>45</v>
      </c>
      <c r="F317" s="10">
        <f t="shared" si="110"/>
        <v>9.990000000000002</v>
      </c>
      <c r="G317" s="94">
        <v>7</v>
      </c>
      <c r="H317" s="94">
        <v>0</v>
      </c>
      <c r="I317" s="54">
        <v>0</v>
      </c>
      <c r="J317" s="54">
        <v>0</v>
      </c>
      <c r="K317" s="94">
        <v>7</v>
      </c>
      <c r="L317" s="10">
        <v>0</v>
      </c>
      <c r="M317" s="94"/>
      <c r="N317" s="10">
        <f>ROUND((+F317*M317)/100,0)</f>
        <v>0</v>
      </c>
      <c r="O317" s="10">
        <v>0</v>
      </c>
      <c r="P317" s="94">
        <v>9</v>
      </c>
      <c r="Q317" s="143">
        <f>+P317</f>
        <v>9</v>
      </c>
    </row>
    <row r="318" spans="1:17" s="53" customFormat="1" ht="12.75" customHeight="1" x14ac:dyDescent="0.2">
      <c r="A318" s="1">
        <v>413113</v>
      </c>
      <c r="B318" s="52">
        <v>191</v>
      </c>
      <c r="C318" s="57" t="s">
        <v>310</v>
      </c>
      <c r="D318" s="53">
        <v>32</v>
      </c>
      <c r="E318" s="53">
        <v>51</v>
      </c>
      <c r="F318" s="10">
        <f t="shared" si="110"/>
        <v>11.321999999999999</v>
      </c>
      <c r="G318" s="94">
        <v>7</v>
      </c>
      <c r="H318" s="94">
        <v>0</v>
      </c>
      <c r="I318" s="54">
        <v>0</v>
      </c>
      <c r="J318" s="54">
        <v>0</v>
      </c>
      <c r="K318" s="94">
        <v>8</v>
      </c>
      <c r="L318" s="10">
        <v>0</v>
      </c>
      <c r="M318" s="94"/>
      <c r="N318" s="10">
        <f>ROUND((+F318*M318)/100,0)</f>
        <v>0</v>
      </c>
      <c r="O318" s="10">
        <v>0</v>
      </c>
      <c r="P318" s="94">
        <v>7</v>
      </c>
      <c r="Q318" s="143">
        <f>+P318</f>
        <v>7</v>
      </c>
    </row>
    <row r="319" spans="1:17" s="53" customFormat="1" ht="12.75" customHeight="1" x14ac:dyDescent="0.2">
      <c r="A319" s="1">
        <v>413114</v>
      </c>
      <c r="B319" s="52">
        <v>133</v>
      </c>
      <c r="C319" s="57" t="s">
        <v>333</v>
      </c>
      <c r="D319" s="53">
        <v>69</v>
      </c>
      <c r="E319" s="53">
        <v>104</v>
      </c>
      <c r="F319" s="10">
        <f t="shared" si="110"/>
        <v>23.088000000000005</v>
      </c>
      <c r="G319" s="94">
        <v>15</v>
      </c>
      <c r="H319" s="94">
        <v>0</v>
      </c>
      <c r="I319" s="54">
        <v>0</v>
      </c>
      <c r="J319" s="54">
        <v>0</v>
      </c>
      <c r="K319" s="94">
        <v>13</v>
      </c>
      <c r="L319" s="10">
        <v>0</v>
      </c>
      <c r="M319" s="94"/>
      <c r="N319" s="10">
        <f t="shared" si="111"/>
        <v>0</v>
      </c>
      <c r="O319" s="10">
        <v>0</v>
      </c>
      <c r="P319" s="94">
        <v>13</v>
      </c>
      <c r="Q319" s="143">
        <f t="shared" si="112"/>
        <v>13</v>
      </c>
    </row>
    <row r="320" spans="1:17" ht="12.75" customHeight="1" x14ac:dyDescent="0.2">
      <c r="A320" s="101"/>
      <c r="B320" s="102"/>
      <c r="C320" s="103"/>
      <c r="D320" s="97"/>
      <c r="E320" s="97"/>
      <c r="F320" s="120"/>
      <c r="G320" s="97"/>
      <c r="H320" s="97"/>
      <c r="I320" s="104"/>
      <c r="J320" s="104"/>
      <c r="K320" s="97"/>
      <c r="L320" s="42"/>
      <c r="M320" s="97"/>
      <c r="N320" s="42"/>
      <c r="O320" s="42"/>
      <c r="P320" s="54"/>
      <c r="Q320" s="121"/>
    </row>
    <row r="321" spans="1:19" ht="12.75" customHeight="1" x14ac:dyDescent="0.2">
      <c r="A321" s="109" t="s">
        <v>41</v>
      </c>
      <c r="B321" s="110"/>
      <c r="C321" s="111">
        <f>COUNTA(A309:A319)</f>
        <v>11</v>
      </c>
      <c r="D321" s="131">
        <f t="shared" ref="D321:Q321" si="115">SUM(D309:D319)</f>
        <v>1165</v>
      </c>
      <c r="E321" s="131">
        <f t="shared" si="115"/>
        <v>1664</v>
      </c>
      <c r="F321" s="132">
        <f t="shared" si="115"/>
        <v>369.40800000000002</v>
      </c>
      <c r="G321" s="132">
        <f t="shared" si="115"/>
        <v>128</v>
      </c>
      <c r="H321" s="132">
        <f t="shared" si="115"/>
        <v>0</v>
      </c>
      <c r="I321" s="132">
        <f t="shared" si="115"/>
        <v>0</v>
      </c>
      <c r="J321" s="132">
        <f t="shared" si="115"/>
        <v>0</v>
      </c>
      <c r="K321" s="132">
        <f t="shared" si="115"/>
        <v>190</v>
      </c>
      <c r="L321" s="132">
        <f t="shared" si="115"/>
        <v>0</v>
      </c>
      <c r="M321" s="132">
        <f t="shared" si="115"/>
        <v>0</v>
      </c>
      <c r="N321" s="132">
        <f t="shared" si="115"/>
        <v>0</v>
      </c>
      <c r="O321" s="132">
        <f t="shared" si="115"/>
        <v>0</v>
      </c>
      <c r="P321" s="132">
        <f t="shared" si="115"/>
        <v>162</v>
      </c>
      <c r="Q321" s="132">
        <f t="shared" si="115"/>
        <v>162</v>
      </c>
    </row>
    <row r="322" spans="1:19" ht="12.75" customHeight="1" x14ac:dyDescent="0.2">
      <c r="A322" s="133" t="s">
        <v>379</v>
      </c>
      <c r="B322" s="67"/>
      <c r="C322" s="175"/>
      <c r="D322" s="69"/>
      <c r="E322" s="69"/>
      <c r="F322" s="70"/>
      <c r="G322" s="69"/>
      <c r="H322" s="149"/>
      <c r="I322" s="149"/>
      <c r="J322" s="149"/>
      <c r="K322" s="69"/>
      <c r="L322" s="70"/>
      <c r="M322" s="69"/>
      <c r="N322" s="70"/>
      <c r="O322" s="70"/>
      <c r="P322" s="69"/>
      <c r="Q322" s="191"/>
    </row>
    <row r="323" spans="1:19" ht="12.75" customHeight="1" x14ac:dyDescent="0.2">
      <c r="A323" s="1"/>
      <c r="B323" s="176"/>
      <c r="C323" s="192"/>
      <c r="D323" s="178"/>
      <c r="E323" s="178"/>
      <c r="F323" s="139"/>
      <c r="G323" s="178"/>
      <c r="H323" s="174"/>
      <c r="I323" s="174"/>
      <c r="J323" s="174"/>
      <c r="K323" s="178"/>
      <c r="L323" s="139"/>
      <c r="M323" s="78"/>
      <c r="N323" s="79"/>
      <c r="O323" s="79"/>
      <c r="P323" s="78"/>
      <c r="Q323" s="80"/>
    </row>
    <row r="324" spans="1:19" ht="12.75" customHeight="1" x14ac:dyDescent="0.2">
      <c r="A324" s="75"/>
      <c r="B324" s="76"/>
      <c r="C324" s="77"/>
      <c r="D324" s="78"/>
      <c r="E324" s="78"/>
      <c r="F324" s="79"/>
      <c r="G324" s="78"/>
      <c r="H324" s="78"/>
      <c r="I324" s="78"/>
      <c r="J324" s="78"/>
      <c r="K324" s="78"/>
      <c r="L324" s="193"/>
      <c r="M324" s="194"/>
      <c r="N324" s="195"/>
      <c r="O324" s="195"/>
      <c r="P324" s="196" t="s">
        <v>43</v>
      </c>
      <c r="Q324" s="197">
        <f>Q321</f>
        <v>162</v>
      </c>
    </row>
    <row r="325" spans="1:19" ht="12.75" customHeight="1" x14ac:dyDescent="0.2">
      <c r="A325" s="123"/>
      <c r="B325" s="86"/>
      <c r="C325" s="87"/>
      <c r="D325" s="88"/>
      <c r="E325" s="88"/>
      <c r="F325" s="89"/>
      <c r="G325" s="88"/>
      <c r="H325" s="88"/>
      <c r="I325" s="88"/>
      <c r="J325" s="88"/>
      <c r="K325" s="88"/>
      <c r="L325" s="89"/>
      <c r="M325" s="88"/>
      <c r="N325" s="89"/>
      <c r="O325" s="89"/>
      <c r="P325" s="81"/>
      <c r="Q325" s="9"/>
    </row>
    <row r="326" spans="1:19" ht="12.75" customHeight="1" x14ac:dyDescent="0.2">
      <c r="A326" s="90"/>
      <c r="B326" s="91" t="s">
        <v>132</v>
      </c>
      <c r="C326" s="92"/>
      <c r="D326" s="124"/>
      <c r="E326" s="46"/>
      <c r="G326" s="198"/>
      <c r="H326" s="46"/>
      <c r="I326" s="93"/>
      <c r="J326" s="93"/>
      <c r="K326" s="198"/>
      <c r="M326" s="46"/>
      <c r="P326" s="94"/>
      <c r="Q326" s="9"/>
    </row>
    <row r="327" spans="1:19" ht="12.75" customHeight="1" x14ac:dyDescent="0.2">
      <c r="A327" s="90"/>
      <c r="B327" s="95"/>
      <c r="C327" s="96"/>
      <c r="D327" s="46"/>
      <c r="E327" s="46"/>
      <c r="G327" s="46"/>
      <c r="H327" s="46"/>
      <c r="I327" s="93"/>
      <c r="J327" s="93"/>
      <c r="K327" s="46"/>
      <c r="M327" s="46"/>
      <c r="P327" s="94"/>
      <c r="Q327" s="199"/>
    </row>
    <row r="328" spans="1:19" ht="12.75" customHeight="1" x14ac:dyDescent="0.2">
      <c r="A328" s="43"/>
      <c r="B328" s="44"/>
      <c r="C328" s="45"/>
      <c r="D328" s="48"/>
      <c r="E328" s="48"/>
      <c r="F328" s="47"/>
      <c r="G328" s="48"/>
      <c r="H328" s="48"/>
      <c r="I328" s="100"/>
      <c r="J328" s="100"/>
      <c r="K328" s="48"/>
      <c r="L328" s="49"/>
      <c r="M328" s="48"/>
      <c r="N328" s="49"/>
      <c r="O328" s="49"/>
      <c r="P328" s="50"/>
      <c r="Q328" s="200"/>
      <c r="R328" s="53"/>
      <c r="S328" s="53"/>
    </row>
    <row r="329" spans="1:19" ht="12.75" customHeight="1" x14ac:dyDescent="0.2">
      <c r="A329" s="1">
        <v>52101</v>
      </c>
      <c r="B329" s="52">
        <v>9056</v>
      </c>
      <c r="C329" s="271" t="s">
        <v>133</v>
      </c>
      <c r="D329" s="53">
        <v>219</v>
      </c>
      <c r="E329" s="53">
        <v>295</v>
      </c>
      <c r="F329" s="10">
        <f t="shared" ref="F329:F335" si="116">E329*0.666*24/72</f>
        <v>65.489999999999995</v>
      </c>
      <c r="G329" s="94">
        <v>50</v>
      </c>
      <c r="H329" s="94">
        <v>0</v>
      </c>
      <c r="I329" s="54">
        <v>0</v>
      </c>
      <c r="J329" s="54">
        <v>0</v>
      </c>
      <c r="K329" s="94">
        <v>40</v>
      </c>
      <c r="L329" s="10">
        <v>0</v>
      </c>
      <c r="M329" s="94"/>
      <c r="N329" s="10">
        <f t="shared" ref="N329:N335" si="117">ROUND((+F329*M329)/100,0)</f>
        <v>0</v>
      </c>
      <c r="O329" s="10">
        <v>0</v>
      </c>
      <c r="P329" s="94">
        <v>45</v>
      </c>
      <c r="Q329" s="143">
        <f t="shared" ref="Q329:Q335" si="118">+P329</f>
        <v>45</v>
      </c>
    </row>
    <row r="330" spans="1:19" ht="12.75" customHeight="1" x14ac:dyDescent="0.2">
      <c r="A330" s="1">
        <v>52104</v>
      </c>
      <c r="B330" s="52">
        <v>9077</v>
      </c>
      <c r="C330" s="57" t="s">
        <v>134</v>
      </c>
      <c r="D330" s="53">
        <v>31</v>
      </c>
      <c r="E330" s="53">
        <v>45</v>
      </c>
      <c r="F330" s="10">
        <f t="shared" si="116"/>
        <v>9.990000000000002</v>
      </c>
      <c r="G330" s="94">
        <v>0</v>
      </c>
      <c r="H330" s="94">
        <v>0</v>
      </c>
      <c r="I330" s="54">
        <v>0</v>
      </c>
      <c r="J330" s="54">
        <v>0</v>
      </c>
      <c r="K330" s="94">
        <v>9</v>
      </c>
      <c r="L330" s="10">
        <v>0</v>
      </c>
      <c r="M330" s="94"/>
      <c r="N330" s="10">
        <f t="shared" si="117"/>
        <v>0</v>
      </c>
      <c r="O330" s="10">
        <v>0</v>
      </c>
      <c r="P330" s="94">
        <v>9</v>
      </c>
      <c r="Q330" s="143">
        <f t="shared" si="118"/>
        <v>9</v>
      </c>
    </row>
    <row r="331" spans="1:19" ht="12.75" customHeight="1" x14ac:dyDescent="0.2">
      <c r="A331" s="1">
        <v>64101</v>
      </c>
      <c r="B331" s="52">
        <v>9020</v>
      </c>
      <c r="C331" s="57" t="s">
        <v>135</v>
      </c>
      <c r="D331" s="53">
        <v>53</v>
      </c>
      <c r="E331" s="53">
        <v>77</v>
      </c>
      <c r="F331" s="10">
        <f t="shared" si="116"/>
        <v>17.094000000000001</v>
      </c>
      <c r="G331" s="94">
        <v>15</v>
      </c>
      <c r="H331" s="94">
        <v>0</v>
      </c>
      <c r="I331" s="54">
        <v>0</v>
      </c>
      <c r="J331" s="54">
        <v>0</v>
      </c>
      <c r="K331" s="94">
        <v>0</v>
      </c>
      <c r="L331" s="10">
        <v>0</v>
      </c>
      <c r="M331" s="94"/>
      <c r="N331" s="10">
        <f t="shared" si="117"/>
        <v>0</v>
      </c>
      <c r="O331" s="10">
        <v>0</v>
      </c>
      <c r="P331" s="94">
        <v>15</v>
      </c>
      <c r="Q331" s="143">
        <f t="shared" si="118"/>
        <v>15</v>
      </c>
    </row>
    <row r="332" spans="1:19" ht="12.75" customHeight="1" x14ac:dyDescent="0.2">
      <c r="A332" s="1">
        <v>204101</v>
      </c>
      <c r="B332" s="52">
        <v>1</v>
      </c>
      <c r="C332" s="57" t="s">
        <v>319</v>
      </c>
      <c r="D332" s="53">
        <v>17</v>
      </c>
      <c r="E332" s="53">
        <v>28</v>
      </c>
      <c r="F332" s="10">
        <f t="shared" si="116"/>
        <v>6.2160000000000002</v>
      </c>
      <c r="G332" s="94">
        <v>4</v>
      </c>
      <c r="H332" s="94">
        <v>0</v>
      </c>
      <c r="I332" s="54">
        <v>0</v>
      </c>
      <c r="J332" s="54">
        <v>0</v>
      </c>
      <c r="K332" s="94">
        <v>4</v>
      </c>
      <c r="L332" s="10">
        <v>0</v>
      </c>
      <c r="M332" s="94"/>
      <c r="N332" s="10">
        <f>ROUND((+F332*M332)/100,0)</f>
        <v>0</v>
      </c>
      <c r="O332" s="10">
        <v>0</v>
      </c>
      <c r="P332" s="94">
        <v>4</v>
      </c>
      <c r="Q332" s="143">
        <f>+P332</f>
        <v>4</v>
      </c>
    </row>
    <row r="333" spans="1:19" ht="12.75" customHeight="1" x14ac:dyDescent="0.2">
      <c r="A333" s="1">
        <v>410103</v>
      </c>
      <c r="B333" s="52">
        <v>9003</v>
      </c>
      <c r="C333" s="57" t="s">
        <v>241</v>
      </c>
      <c r="D333" s="53">
        <v>29</v>
      </c>
      <c r="E333" s="53">
        <v>41</v>
      </c>
      <c r="F333" s="10">
        <f t="shared" si="116"/>
        <v>9.1020000000000003</v>
      </c>
      <c r="G333" s="94">
        <v>0</v>
      </c>
      <c r="H333" s="94">
        <v>0</v>
      </c>
      <c r="I333" s="54">
        <v>0</v>
      </c>
      <c r="J333" s="54">
        <v>0</v>
      </c>
      <c r="K333" s="94">
        <v>6</v>
      </c>
      <c r="L333" s="10">
        <v>0</v>
      </c>
      <c r="M333" s="94"/>
      <c r="N333" s="10">
        <f>ROUND((+F333*M333)/100,0)</f>
        <v>0</v>
      </c>
      <c r="O333" s="10">
        <v>0</v>
      </c>
      <c r="P333" s="94">
        <v>0</v>
      </c>
      <c r="Q333" s="143">
        <f>+P333</f>
        <v>0</v>
      </c>
    </row>
    <row r="334" spans="1:19" s="53" customFormat="1" ht="12.75" customHeight="1" x14ac:dyDescent="0.2">
      <c r="A334" s="1">
        <v>418101</v>
      </c>
      <c r="B334" s="52">
        <v>9361</v>
      </c>
      <c r="C334" s="57" t="s">
        <v>251</v>
      </c>
      <c r="D334" s="53">
        <v>201</v>
      </c>
      <c r="E334" s="53">
        <v>312</v>
      </c>
      <c r="F334" s="10">
        <f t="shared" si="116"/>
        <v>69.263999999999996</v>
      </c>
      <c r="G334" s="94">
        <v>50</v>
      </c>
      <c r="H334" s="94">
        <v>0</v>
      </c>
      <c r="I334" s="54">
        <v>0</v>
      </c>
      <c r="J334" s="54">
        <v>0</v>
      </c>
      <c r="K334" s="94">
        <v>45</v>
      </c>
      <c r="L334" s="10">
        <v>0</v>
      </c>
      <c r="M334" s="94"/>
      <c r="N334" s="10">
        <f>ROUND((+F334*M334)/100,0)</f>
        <v>0</v>
      </c>
      <c r="O334" s="10">
        <v>0</v>
      </c>
      <c r="P334" s="94">
        <v>45</v>
      </c>
      <c r="Q334" s="143">
        <f>+P334</f>
        <v>45</v>
      </c>
    </row>
    <row r="335" spans="1:19" s="53" customFormat="1" ht="12.75" customHeight="1" x14ac:dyDescent="0.2">
      <c r="A335" s="1">
        <v>418102</v>
      </c>
      <c r="B335" s="52">
        <v>33</v>
      </c>
      <c r="C335" s="57" t="s">
        <v>308</v>
      </c>
      <c r="D335" s="53">
        <v>50</v>
      </c>
      <c r="E335" s="53">
        <v>60</v>
      </c>
      <c r="F335" s="10">
        <f t="shared" si="116"/>
        <v>13.32</v>
      </c>
      <c r="G335" s="94">
        <v>9</v>
      </c>
      <c r="H335" s="94">
        <v>0</v>
      </c>
      <c r="I335" s="54">
        <v>0</v>
      </c>
      <c r="J335" s="54">
        <v>0</v>
      </c>
      <c r="K335" s="94">
        <v>0</v>
      </c>
      <c r="L335" s="10">
        <v>0</v>
      </c>
      <c r="M335" s="94"/>
      <c r="N335" s="10">
        <f t="shared" si="117"/>
        <v>0</v>
      </c>
      <c r="O335" s="10">
        <v>0</v>
      </c>
      <c r="P335" s="94">
        <v>7</v>
      </c>
      <c r="Q335" s="143">
        <f t="shared" si="118"/>
        <v>7</v>
      </c>
    </row>
    <row r="336" spans="1:19" ht="12.75" customHeight="1" x14ac:dyDescent="0.2">
      <c r="A336" s="101"/>
      <c r="B336" s="102"/>
      <c r="C336" s="103"/>
      <c r="D336" s="97"/>
      <c r="E336" s="97"/>
      <c r="F336" s="120"/>
      <c r="G336" s="97"/>
      <c r="H336" s="97"/>
      <c r="I336" s="104"/>
      <c r="J336" s="104"/>
      <c r="K336" s="97"/>
      <c r="L336" s="42"/>
      <c r="M336" s="97"/>
      <c r="N336" s="42"/>
      <c r="O336" s="42"/>
      <c r="P336" s="54"/>
      <c r="Q336" s="121"/>
    </row>
    <row r="337" spans="1:17" ht="12.75" customHeight="1" x14ac:dyDescent="0.2">
      <c r="A337" s="43" t="s">
        <v>41</v>
      </c>
      <c r="B337" s="44"/>
      <c r="C337" s="45">
        <f>COUNTA(A329:A335)</f>
        <v>7</v>
      </c>
      <c r="D337" s="48">
        <f t="shared" ref="D337:Q337" si="119">SUM(D329:D335)</f>
        <v>600</v>
      </c>
      <c r="E337" s="48">
        <f t="shared" si="119"/>
        <v>858</v>
      </c>
      <c r="F337" s="47">
        <f t="shared" si="119"/>
        <v>190.47599999999997</v>
      </c>
      <c r="G337" s="47">
        <f t="shared" si="119"/>
        <v>128</v>
      </c>
      <c r="H337" s="47">
        <f t="shared" si="119"/>
        <v>0</v>
      </c>
      <c r="I337" s="47">
        <f t="shared" si="119"/>
        <v>0</v>
      </c>
      <c r="J337" s="47">
        <f t="shared" si="119"/>
        <v>0</v>
      </c>
      <c r="K337" s="47">
        <f t="shared" si="119"/>
        <v>104</v>
      </c>
      <c r="L337" s="47">
        <f t="shared" si="119"/>
        <v>0</v>
      </c>
      <c r="M337" s="47">
        <f t="shared" si="119"/>
        <v>0</v>
      </c>
      <c r="N337" s="47">
        <f t="shared" si="119"/>
        <v>0</v>
      </c>
      <c r="O337" s="47">
        <f t="shared" si="119"/>
        <v>0</v>
      </c>
      <c r="P337" s="47">
        <f t="shared" si="119"/>
        <v>125</v>
      </c>
      <c r="Q337" s="47">
        <f t="shared" si="119"/>
        <v>125</v>
      </c>
    </row>
    <row r="338" spans="1:17" ht="12.75" customHeight="1" x14ac:dyDescent="0.2">
      <c r="A338" s="66" t="s">
        <v>47</v>
      </c>
      <c r="B338" s="182"/>
      <c r="C338" s="182"/>
      <c r="D338" s="182"/>
      <c r="E338" s="182"/>
      <c r="F338" s="182"/>
      <c r="G338" s="182"/>
      <c r="H338" s="182"/>
      <c r="I338" s="182"/>
      <c r="J338" s="182"/>
      <c r="K338" s="182"/>
      <c r="L338" s="182"/>
      <c r="M338" s="201"/>
      <c r="N338" s="201"/>
      <c r="O338" s="201"/>
      <c r="P338" s="202"/>
      <c r="Q338" s="74"/>
    </row>
    <row r="339" spans="1:17" ht="12.75" customHeight="1" x14ac:dyDescent="0.2">
      <c r="A339" s="173"/>
      <c r="B339" s="76"/>
      <c r="C339" s="77"/>
      <c r="D339" s="78"/>
      <c r="E339" s="78"/>
      <c r="F339" s="79"/>
      <c r="G339" s="78"/>
      <c r="H339" s="78"/>
      <c r="I339" s="78"/>
      <c r="J339" s="78"/>
      <c r="K339" s="78"/>
      <c r="L339" s="121"/>
      <c r="M339" s="88"/>
      <c r="N339" s="89"/>
      <c r="O339" s="89"/>
      <c r="P339" s="83" t="s">
        <v>43</v>
      </c>
      <c r="Q339" s="122">
        <f>Q337</f>
        <v>125</v>
      </c>
    </row>
    <row r="340" spans="1:17" ht="12.75" customHeight="1" x14ac:dyDescent="0.2">
      <c r="A340" s="123"/>
      <c r="B340" s="86"/>
      <c r="C340" s="87"/>
      <c r="D340" s="88"/>
      <c r="E340" s="88"/>
      <c r="F340" s="89"/>
      <c r="G340" s="88"/>
      <c r="H340" s="88"/>
      <c r="I340" s="88"/>
      <c r="J340" s="88"/>
      <c r="K340" s="88"/>
      <c r="L340" s="89"/>
      <c r="M340" s="88"/>
      <c r="N340" s="89"/>
      <c r="O340" s="89"/>
      <c r="P340" s="81"/>
      <c r="Q340" s="9"/>
    </row>
    <row r="341" spans="1:17" ht="12.75" customHeight="1" x14ac:dyDescent="0.2">
      <c r="A341" s="90"/>
      <c r="B341" s="91" t="s">
        <v>136</v>
      </c>
      <c r="C341" s="92"/>
      <c r="D341" s="46"/>
      <c r="E341" s="46"/>
      <c r="G341" s="198"/>
      <c r="H341" s="46"/>
      <c r="I341" s="93"/>
      <c r="J341" s="93"/>
      <c r="K341" s="198"/>
      <c r="M341" s="46"/>
      <c r="P341" s="94"/>
      <c r="Q341" s="199"/>
    </row>
    <row r="342" spans="1:17" ht="12.75" customHeight="1" x14ac:dyDescent="0.2">
      <c r="A342" s="90"/>
      <c r="B342" s="204"/>
      <c r="C342" s="57"/>
      <c r="D342" s="46"/>
      <c r="E342" s="46"/>
      <c r="G342" s="198"/>
      <c r="H342" s="46"/>
      <c r="I342" s="93"/>
      <c r="J342" s="93"/>
      <c r="K342" s="198"/>
      <c r="M342" s="46"/>
      <c r="P342" s="94"/>
      <c r="Q342" s="199"/>
    </row>
    <row r="343" spans="1:17" ht="12.75" customHeight="1" x14ac:dyDescent="0.2">
      <c r="A343" s="43"/>
      <c r="B343" s="44"/>
      <c r="C343" s="45"/>
      <c r="D343" s="48"/>
      <c r="E343" s="48"/>
      <c r="F343" s="47"/>
      <c r="G343" s="48"/>
      <c r="H343" s="48"/>
      <c r="I343" s="100"/>
      <c r="J343" s="100"/>
      <c r="K343" s="48"/>
      <c r="L343" s="49"/>
      <c r="M343" s="48"/>
      <c r="N343" s="49"/>
      <c r="O343" s="49"/>
      <c r="P343" s="50"/>
      <c r="Q343" s="200"/>
    </row>
    <row r="344" spans="1:17" ht="12.75" customHeight="1" x14ac:dyDescent="0.2">
      <c r="A344" s="101"/>
      <c r="B344" s="102"/>
      <c r="C344" s="103"/>
      <c r="D344" s="97"/>
      <c r="E344" s="97"/>
      <c r="F344" s="120"/>
      <c r="G344" s="97"/>
      <c r="H344" s="119"/>
      <c r="I344" s="104"/>
      <c r="J344" s="104"/>
      <c r="K344" s="97"/>
      <c r="L344" s="42"/>
      <c r="M344" s="97"/>
      <c r="N344" s="42"/>
      <c r="O344" s="42"/>
      <c r="P344" s="54"/>
      <c r="Q344" s="121"/>
    </row>
    <row r="345" spans="1:17" ht="12.75" customHeight="1" x14ac:dyDescent="0.2">
      <c r="A345" s="43" t="s">
        <v>41</v>
      </c>
      <c r="B345" s="44"/>
      <c r="C345" s="45">
        <v>0</v>
      </c>
      <c r="D345" s="48">
        <f t="shared" ref="D345:O345" si="120">SUM(D343:D344)</f>
        <v>0</v>
      </c>
      <c r="E345" s="48">
        <f t="shared" si="120"/>
        <v>0</v>
      </c>
      <c r="F345" s="47">
        <f t="shared" si="120"/>
        <v>0</v>
      </c>
      <c r="G345" s="47">
        <f t="shared" si="120"/>
        <v>0</v>
      </c>
      <c r="H345" s="47">
        <f t="shared" si="120"/>
        <v>0</v>
      </c>
      <c r="I345" s="47">
        <f t="shared" si="120"/>
        <v>0</v>
      </c>
      <c r="J345" s="47">
        <f t="shared" si="120"/>
        <v>0</v>
      </c>
      <c r="K345" s="47">
        <f t="shared" si="120"/>
        <v>0</v>
      </c>
      <c r="L345" s="47">
        <f t="shared" si="120"/>
        <v>0</v>
      </c>
      <c r="M345" s="47">
        <f t="shared" si="120"/>
        <v>0</v>
      </c>
      <c r="N345" s="47">
        <f t="shared" si="120"/>
        <v>0</v>
      </c>
      <c r="O345" s="47">
        <f t="shared" si="120"/>
        <v>0</v>
      </c>
      <c r="P345" s="47"/>
      <c r="Q345" s="47">
        <f>SUM(Q343:Q344)</f>
        <v>0</v>
      </c>
    </row>
    <row r="346" spans="1:17" ht="12.75" customHeight="1" x14ac:dyDescent="0.2">
      <c r="A346" s="133" t="s">
        <v>42</v>
      </c>
      <c r="B346" s="67"/>
      <c r="C346" s="68"/>
      <c r="D346" s="69"/>
      <c r="E346" s="69"/>
      <c r="F346" s="70"/>
      <c r="G346" s="69"/>
      <c r="H346" s="69"/>
      <c r="I346" s="69"/>
      <c r="J346" s="69"/>
      <c r="K346" s="69"/>
      <c r="L346" s="70"/>
      <c r="M346" s="114"/>
      <c r="N346" s="72"/>
      <c r="O346" s="72"/>
      <c r="P346" s="73"/>
      <c r="Q346" s="74"/>
    </row>
    <row r="347" spans="1:17" ht="12.75" customHeight="1" x14ac:dyDescent="0.2">
      <c r="A347" s="205"/>
      <c r="B347" s="206"/>
      <c r="C347" s="207"/>
      <c r="D347" s="79"/>
      <c r="E347" s="79"/>
      <c r="F347" s="79"/>
      <c r="G347" s="79"/>
      <c r="H347" s="79"/>
      <c r="I347" s="79"/>
      <c r="J347" s="79"/>
      <c r="K347" s="79"/>
      <c r="L347" s="80"/>
      <c r="M347" s="88"/>
      <c r="N347" s="89"/>
      <c r="O347" s="89"/>
      <c r="P347" s="83" t="s">
        <v>43</v>
      </c>
      <c r="Q347" s="122">
        <f>Q345+Q346</f>
        <v>0</v>
      </c>
    </row>
    <row r="348" spans="1:17" ht="12.75" customHeight="1" x14ac:dyDescent="0.2">
      <c r="A348" s="85"/>
      <c r="B348" s="86"/>
      <c r="C348" s="87"/>
      <c r="D348" s="88"/>
      <c r="E348" s="88"/>
      <c r="F348" s="89"/>
      <c r="G348" s="88"/>
      <c r="H348" s="88"/>
      <c r="I348" s="88"/>
      <c r="J348" s="88"/>
      <c r="K348" s="88"/>
      <c r="L348" s="89"/>
      <c r="M348" s="88"/>
      <c r="N348" s="89"/>
      <c r="O348" s="89"/>
      <c r="P348" s="81"/>
      <c r="Q348" s="9"/>
    </row>
    <row r="349" spans="1:17" ht="12.75" customHeight="1" x14ac:dyDescent="0.2">
      <c r="A349" s="90"/>
      <c r="B349" s="91" t="s">
        <v>137</v>
      </c>
      <c r="C349" s="92"/>
      <c r="D349" s="124"/>
      <c r="E349" s="46"/>
      <c r="G349" s="198"/>
      <c r="H349" s="46"/>
      <c r="I349" s="93"/>
      <c r="J349" s="93"/>
      <c r="K349" s="198"/>
      <c r="M349" s="46"/>
      <c r="P349" s="94"/>
      <c r="Q349" s="9"/>
    </row>
    <row r="350" spans="1:17" ht="12.75" customHeight="1" x14ac:dyDescent="0.2">
      <c r="A350" s="90"/>
      <c r="B350" s="95"/>
      <c r="C350" s="96"/>
      <c r="D350" s="46"/>
      <c r="E350" s="46"/>
      <c r="G350" s="46"/>
      <c r="H350" s="46"/>
      <c r="I350" s="93"/>
      <c r="J350" s="93"/>
      <c r="K350" s="46"/>
      <c r="M350" s="46"/>
      <c r="P350" s="94"/>
    </row>
    <row r="351" spans="1:17" s="53" customFormat="1" ht="12.75" customHeight="1" x14ac:dyDescent="0.2">
      <c r="A351" s="43"/>
      <c r="B351" s="44"/>
      <c r="C351" s="45"/>
      <c r="D351" s="48"/>
      <c r="E351" s="48"/>
      <c r="F351" s="47"/>
      <c r="G351" s="48"/>
      <c r="H351" s="48"/>
      <c r="I351" s="100"/>
      <c r="J351" s="100"/>
      <c r="K351" s="48"/>
      <c r="L351" s="49"/>
      <c r="M351" s="48"/>
      <c r="N351" s="49"/>
      <c r="O351" s="49"/>
      <c r="P351" s="50"/>
      <c r="Q351" s="51"/>
    </row>
    <row r="352" spans="1:17" ht="12.75" customHeight="1" x14ac:dyDescent="0.2">
      <c r="A352" s="1">
        <v>2102</v>
      </c>
      <c r="B352" s="52">
        <v>101</v>
      </c>
      <c r="C352" s="57" t="s">
        <v>138</v>
      </c>
      <c r="D352" s="53">
        <v>103</v>
      </c>
      <c r="E352" s="53">
        <v>157</v>
      </c>
      <c r="F352" s="10">
        <f t="shared" ref="F352:F362" si="121">E352*0.666*24/72</f>
        <v>34.854000000000006</v>
      </c>
      <c r="G352" s="10">
        <v>0</v>
      </c>
      <c r="H352" s="94">
        <v>0</v>
      </c>
      <c r="I352" s="54">
        <v>0</v>
      </c>
      <c r="J352" s="54">
        <v>0</v>
      </c>
      <c r="K352" s="10">
        <v>33</v>
      </c>
      <c r="L352" s="10">
        <v>0</v>
      </c>
      <c r="M352" s="94"/>
      <c r="N352" s="10">
        <f t="shared" ref="N352:N362" si="122">ROUND((+F352*M352)/100,0)</f>
        <v>0</v>
      </c>
      <c r="O352" s="10">
        <v>0</v>
      </c>
      <c r="P352" s="10">
        <v>33</v>
      </c>
      <c r="Q352" s="143">
        <f t="shared" ref="Q352:Q362" si="123">P352</f>
        <v>33</v>
      </c>
    </row>
    <row r="353" spans="1:18" ht="12.75" customHeight="1" x14ac:dyDescent="0.2">
      <c r="A353" s="1">
        <v>9102</v>
      </c>
      <c r="B353" s="52">
        <v>39</v>
      </c>
      <c r="C353" s="57" t="s">
        <v>294</v>
      </c>
      <c r="D353" s="53">
        <v>80</v>
      </c>
      <c r="E353" s="53">
        <v>157</v>
      </c>
      <c r="F353" s="10">
        <f t="shared" si="121"/>
        <v>34.854000000000006</v>
      </c>
      <c r="G353" s="10">
        <v>15</v>
      </c>
      <c r="H353" s="94">
        <v>0</v>
      </c>
      <c r="I353" s="54">
        <v>0</v>
      </c>
      <c r="J353" s="54">
        <v>0</v>
      </c>
      <c r="K353" s="10">
        <v>23</v>
      </c>
      <c r="L353" s="10">
        <v>0</v>
      </c>
      <c r="M353" s="94"/>
      <c r="N353" s="10">
        <f>ROUND((+F353*M353)/100,0)</f>
        <v>0</v>
      </c>
      <c r="O353" s="10">
        <v>0</v>
      </c>
      <c r="P353" s="10">
        <v>25</v>
      </c>
      <c r="Q353" s="143">
        <f>P353</f>
        <v>25</v>
      </c>
    </row>
    <row r="354" spans="1:18" ht="12.75" customHeight="1" x14ac:dyDescent="0.2">
      <c r="A354" s="1">
        <v>9103</v>
      </c>
      <c r="B354" s="52">
        <v>59</v>
      </c>
      <c r="C354" s="57" t="s">
        <v>363</v>
      </c>
      <c r="D354" s="53">
        <v>53</v>
      </c>
      <c r="E354" s="53">
        <v>88</v>
      </c>
      <c r="F354" s="10">
        <f t="shared" ref="F354" si="124">E354*0.666*24/72</f>
        <v>19.536000000000001</v>
      </c>
      <c r="G354" s="10">
        <v>20</v>
      </c>
      <c r="H354" s="94">
        <v>0</v>
      </c>
      <c r="I354" s="54">
        <v>0</v>
      </c>
      <c r="J354" s="54">
        <v>0</v>
      </c>
      <c r="K354" s="10">
        <v>14</v>
      </c>
      <c r="L354" s="10">
        <v>0</v>
      </c>
      <c r="M354" s="94"/>
      <c r="N354" s="10">
        <f>ROUND((+F354*M354)/100,0)</f>
        <v>0</v>
      </c>
      <c r="O354" s="10">
        <v>0</v>
      </c>
      <c r="P354" s="10">
        <v>14</v>
      </c>
      <c r="Q354" s="143">
        <f>P354</f>
        <v>14</v>
      </c>
    </row>
    <row r="355" spans="1:18" ht="12.75" customHeight="1" x14ac:dyDescent="0.2">
      <c r="A355" s="1">
        <v>120432</v>
      </c>
      <c r="B355" s="52">
        <v>217</v>
      </c>
      <c r="C355" s="57" t="s">
        <v>139</v>
      </c>
      <c r="D355" s="53">
        <v>269</v>
      </c>
      <c r="E355" s="53">
        <v>457</v>
      </c>
      <c r="F355" s="10">
        <f t="shared" si="121"/>
        <v>101.45400000000001</v>
      </c>
      <c r="G355" s="10">
        <v>35</v>
      </c>
      <c r="H355" s="94">
        <v>0</v>
      </c>
      <c r="I355" s="54">
        <v>0</v>
      </c>
      <c r="J355" s="54">
        <v>0</v>
      </c>
      <c r="K355" s="10">
        <v>55</v>
      </c>
      <c r="L355" s="10">
        <v>0</v>
      </c>
      <c r="M355" s="94"/>
      <c r="N355" s="10">
        <f t="shared" si="122"/>
        <v>0</v>
      </c>
      <c r="O355" s="10">
        <v>0</v>
      </c>
      <c r="P355" s="10">
        <v>55</v>
      </c>
      <c r="Q355" s="143">
        <f t="shared" si="123"/>
        <v>55</v>
      </c>
    </row>
    <row r="356" spans="1:18" ht="12.75" customHeight="1" x14ac:dyDescent="0.2">
      <c r="A356" s="1">
        <v>120562</v>
      </c>
      <c r="B356" s="52">
        <v>223</v>
      </c>
      <c r="C356" s="57" t="s">
        <v>283</v>
      </c>
      <c r="D356" s="53">
        <v>68</v>
      </c>
      <c r="E356" s="53">
        <v>116</v>
      </c>
      <c r="F356" s="10">
        <f t="shared" si="121"/>
        <v>25.751999999999999</v>
      </c>
      <c r="G356" s="10">
        <v>23</v>
      </c>
      <c r="H356" s="94">
        <v>0</v>
      </c>
      <c r="I356" s="54">
        <v>0</v>
      </c>
      <c r="J356" s="54">
        <v>0</v>
      </c>
      <c r="K356" s="10">
        <v>23</v>
      </c>
      <c r="L356" s="10">
        <v>0</v>
      </c>
      <c r="M356" s="94"/>
      <c r="N356" s="10">
        <f>ROUND((+F356*M356)/100,0)</f>
        <v>0</v>
      </c>
      <c r="O356" s="10">
        <v>0</v>
      </c>
      <c r="P356" s="10">
        <v>24</v>
      </c>
      <c r="Q356" s="143">
        <f t="shared" si="123"/>
        <v>24</v>
      </c>
    </row>
    <row r="357" spans="1:18" ht="12.75" customHeight="1" x14ac:dyDescent="0.2">
      <c r="A357" s="1">
        <v>166103</v>
      </c>
      <c r="B357" s="52">
        <v>276</v>
      </c>
      <c r="C357" s="57" t="s">
        <v>331</v>
      </c>
      <c r="D357" s="53">
        <v>21</v>
      </c>
      <c r="E357" s="53">
        <v>28</v>
      </c>
      <c r="F357" s="10">
        <f t="shared" si="121"/>
        <v>6.2160000000000002</v>
      </c>
      <c r="G357" s="10">
        <v>4</v>
      </c>
      <c r="H357" s="94">
        <v>0</v>
      </c>
      <c r="I357" s="54">
        <v>0</v>
      </c>
      <c r="J357" s="54">
        <v>0</v>
      </c>
      <c r="K357" s="10">
        <v>4</v>
      </c>
      <c r="L357" s="10">
        <v>0</v>
      </c>
      <c r="M357" s="94"/>
      <c r="N357" s="10">
        <f>ROUND((+F357*M357)/100,0)</f>
        <v>0</v>
      </c>
      <c r="O357" s="10">
        <v>0</v>
      </c>
      <c r="P357" s="10">
        <v>4</v>
      </c>
      <c r="Q357" s="143">
        <f>P357</f>
        <v>4</v>
      </c>
    </row>
    <row r="358" spans="1:18" ht="12.75" customHeight="1" x14ac:dyDescent="0.2">
      <c r="A358" s="1">
        <v>184163</v>
      </c>
      <c r="B358" s="52">
        <v>251</v>
      </c>
      <c r="C358" s="57" t="s">
        <v>263</v>
      </c>
      <c r="D358" s="53">
        <v>49</v>
      </c>
      <c r="E358" s="53">
        <v>74</v>
      </c>
      <c r="F358" s="10">
        <f t="shared" si="121"/>
        <v>16.428000000000004</v>
      </c>
      <c r="G358" s="10">
        <v>0</v>
      </c>
      <c r="H358" s="94">
        <v>0</v>
      </c>
      <c r="I358" s="54">
        <v>0</v>
      </c>
      <c r="J358" s="54">
        <v>0</v>
      </c>
      <c r="K358" s="10">
        <v>10</v>
      </c>
      <c r="L358" s="10">
        <v>0</v>
      </c>
      <c r="M358" s="94"/>
      <c r="N358" s="10">
        <f t="shared" si="122"/>
        <v>0</v>
      </c>
      <c r="O358" s="10">
        <v>0</v>
      </c>
      <c r="P358" s="10">
        <v>10</v>
      </c>
      <c r="Q358" s="143">
        <f t="shared" si="123"/>
        <v>10</v>
      </c>
    </row>
    <row r="359" spans="1:18" ht="12.75" customHeight="1" x14ac:dyDescent="0.2">
      <c r="A359" s="1">
        <v>184164</v>
      </c>
      <c r="B359" s="52">
        <v>253</v>
      </c>
      <c r="C359" s="57" t="s">
        <v>140</v>
      </c>
      <c r="D359" s="53">
        <v>70</v>
      </c>
      <c r="E359" s="53">
        <v>100</v>
      </c>
      <c r="F359" s="10">
        <f t="shared" si="121"/>
        <v>22.200000000000003</v>
      </c>
      <c r="G359" s="10">
        <v>18</v>
      </c>
      <c r="H359" s="94">
        <v>0</v>
      </c>
      <c r="I359" s="54">
        <v>0</v>
      </c>
      <c r="J359" s="54">
        <v>0</v>
      </c>
      <c r="K359" s="10">
        <v>18</v>
      </c>
      <c r="L359" s="10">
        <v>0</v>
      </c>
      <c r="M359" s="94"/>
      <c r="N359" s="10">
        <f t="shared" si="122"/>
        <v>0</v>
      </c>
      <c r="O359" s="10">
        <v>0</v>
      </c>
      <c r="P359" s="10">
        <v>18</v>
      </c>
      <c r="Q359" s="143">
        <f t="shared" si="123"/>
        <v>18</v>
      </c>
    </row>
    <row r="360" spans="1:18" ht="12.75" customHeight="1" x14ac:dyDescent="0.2">
      <c r="A360" s="1">
        <v>184165</v>
      </c>
      <c r="B360" s="52">
        <v>273</v>
      </c>
      <c r="C360" s="57" t="s">
        <v>141</v>
      </c>
      <c r="D360" s="53">
        <v>59</v>
      </c>
      <c r="E360" s="53">
        <v>73</v>
      </c>
      <c r="F360" s="10">
        <f t="shared" si="121"/>
        <v>16.206000000000003</v>
      </c>
      <c r="G360" s="10">
        <v>10</v>
      </c>
      <c r="H360" s="94">
        <v>0</v>
      </c>
      <c r="I360" s="54">
        <v>0</v>
      </c>
      <c r="J360" s="54">
        <v>0</v>
      </c>
      <c r="K360" s="10">
        <v>10</v>
      </c>
      <c r="L360" s="10">
        <v>0</v>
      </c>
      <c r="M360" s="94"/>
      <c r="N360" s="10">
        <f t="shared" si="122"/>
        <v>0</v>
      </c>
      <c r="O360" s="10">
        <v>0</v>
      </c>
      <c r="P360" s="10">
        <v>12</v>
      </c>
      <c r="Q360" s="143">
        <f t="shared" si="123"/>
        <v>12</v>
      </c>
    </row>
    <row r="361" spans="1:18" ht="12.75" customHeight="1" x14ac:dyDescent="0.2">
      <c r="A361" s="1">
        <v>278102</v>
      </c>
      <c r="B361" s="52">
        <v>169</v>
      </c>
      <c r="C361" s="57" t="s">
        <v>142</v>
      </c>
      <c r="D361" s="53">
        <v>58</v>
      </c>
      <c r="E361" s="53">
        <v>70</v>
      </c>
      <c r="F361" s="10">
        <f t="shared" si="121"/>
        <v>15.540000000000001</v>
      </c>
      <c r="G361" s="10">
        <v>15</v>
      </c>
      <c r="H361" s="94">
        <v>0</v>
      </c>
      <c r="I361" s="54">
        <v>0</v>
      </c>
      <c r="J361" s="54">
        <v>0</v>
      </c>
      <c r="K361" s="10">
        <v>15</v>
      </c>
      <c r="L361" s="10">
        <v>0</v>
      </c>
      <c r="M361" s="94"/>
      <c r="N361" s="10">
        <f t="shared" si="122"/>
        <v>0</v>
      </c>
      <c r="O361" s="10">
        <v>0</v>
      </c>
      <c r="P361" s="10">
        <v>14</v>
      </c>
      <c r="Q361" s="143">
        <f t="shared" si="123"/>
        <v>14</v>
      </c>
    </row>
    <row r="362" spans="1:18" ht="12.75" customHeight="1" x14ac:dyDescent="0.2">
      <c r="A362" s="1">
        <v>810581</v>
      </c>
      <c r="B362" s="52">
        <v>165</v>
      </c>
      <c r="C362" s="57" t="s">
        <v>143</v>
      </c>
      <c r="D362" s="53">
        <v>104</v>
      </c>
      <c r="E362" s="53">
        <v>192</v>
      </c>
      <c r="F362" s="10">
        <f t="shared" si="121"/>
        <v>42.624000000000002</v>
      </c>
      <c r="G362" s="10">
        <v>35</v>
      </c>
      <c r="H362" s="94">
        <v>0</v>
      </c>
      <c r="I362" s="54">
        <v>0</v>
      </c>
      <c r="J362" s="54">
        <v>0</v>
      </c>
      <c r="K362" s="10">
        <v>33</v>
      </c>
      <c r="L362" s="10">
        <v>0</v>
      </c>
      <c r="M362" s="94"/>
      <c r="N362" s="10">
        <f t="shared" si="122"/>
        <v>0</v>
      </c>
      <c r="O362" s="10">
        <v>0</v>
      </c>
      <c r="P362" s="10">
        <v>37</v>
      </c>
      <c r="Q362" s="143">
        <f t="shared" si="123"/>
        <v>37</v>
      </c>
    </row>
    <row r="363" spans="1:18" s="53" customFormat="1" ht="12.75" customHeight="1" x14ac:dyDescent="0.2">
      <c r="A363" s="101"/>
      <c r="B363" s="102"/>
      <c r="C363" s="103"/>
      <c r="D363" s="97"/>
      <c r="E363" s="97"/>
      <c r="F363" s="120"/>
      <c r="G363" s="97"/>
      <c r="H363" s="97"/>
      <c r="I363" s="104"/>
      <c r="J363" s="104"/>
      <c r="K363" s="97"/>
      <c r="L363" s="42"/>
      <c r="M363" s="97"/>
      <c r="N363" s="42"/>
      <c r="O363" s="42"/>
      <c r="P363" s="62"/>
      <c r="Q363" s="121"/>
      <c r="R363" s="6"/>
    </row>
    <row r="364" spans="1:18" s="53" customFormat="1" ht="12.75" customHeight="1" x14ac:dyDescent="0.2">
      <c r="A364" s="109" t="s">
        <v>41</v>
      </c>
      <c r="B364" s="110"/>
      <c r="C364" s="111">
        <f>COUNTA(A352:A362)</f>
        <v>11</v>
      </c>
      <c r="D364" s="131">
        <f t="shared" ref="D364:Q364" si="125">SUM(D352:D362)</f>
        <v>934</v>
      </c>
      <c r="E364" s="131">
        <f t="shared" si="125"/>
        <v>1512</v>
      </c>
      <c r="F364" s="132">
        <f t="shared" si="125"/>
        <v>335.6640000000001</v>
      </c>
      <c r="G364" s="132">
        <f t="shared" si="125"/>
        <v>175</v>
      </c>
      <c r="H364" s="132">
        <f t="shared" si="125"/>
        <v>0</v>
      </c>
      <c r="I364" s="132">
        <f t="shared" si="125"/>
        <v>0</v>
      </c>
      <c r="J364" s="132">
        <f t="shared" si="125"/>
        <v>0</v>
      </c>
      <c r="K364" s="132">
        <f t="shared" si="125"/>
        <v>238</v>
      </c>
      <c r="L364" s="132">
        <f t="shared" si="125"/>
        <v>0</v>
      </c>
      <c r="M364" s="132">
        <f t="shared" si="125"/>
        <v>0</v>
      </c>
      <c r="N364" s="132">
        <f t="shared" si="125"/>
        <v>0</v>
      </c>
      <c r="O364" s="132">
        <f t="shared" si="125"/>
        <v>0</v>
      </c>
      <c r="P364" s="72">
        <f t="shared" si="125"/>
        <v>246</v>
      </c>
      <c r="Q364" s="132">
        <f t="shared" si="125"/>
        <v>246</v>
      </c>
      <c r="R364" s="6"/>
    </row>
    <row r="365" spans="1:18" s="53" customFormat="1" ht="14.25" customHeight="1" x14ac:dyDescent="0.2">
      <c r="A365" s="66" t="s">
        <v>47</v>
      </c>
      <c r="B365" s="67"/>
      <c r="C365" s="175"/>
      <c r="D365" s="69"/>
      <c r="E365" s="69"/>
      <c r="F365" s="70"/>
      <c r="G365" s="69"/>
      <c r="H365" s="69"/>
      <c r="I365" s="69"/>
      <c r="J365" s="69"/>
      <c r="K365" s="69"/>
      <c r="L365" s="70"/>
      <c r="M365" s="114"/>
      <c r="N365" s="72"/>
      <c r="O365" s="72"/>
      <c r="P365" s="73"/>
      <c r="Q365" s="115"/>
      <c r="R365" s="6"/>
    </row>
    <row r="366" spans="1:18" ht="18.75" customHeight="1" x14ac:dyDescent="0.2">
      <c r="A366" s="208"/>
      <c r="B366" s="209"/>
      <c r="C366" s="192"/>
      <c r="D366" s="210"/>
      <c r="E366" s="210"/>
      <c r="F366" s="211"/>
      <c r="G366" s="210"/>
      <c r="H366" s="210"/>
      <c r="I366" s="210"/>
      <c r="J366" s="210"/>
      <c r="K366" s="210"/>
      <c r="L366" s="212"/>
      <c r="M366" s="88"/>
      <c r="N366" s="89"/>
      <c r="O366" s="89"/>
      <c r="P366" s="83" t="s">
        <v>43</v>
      </c>
      <c r="Q366" s="122">
        <f>Q364</f>
        <v>246</v>
      </c>
    </row>
    <row r="367" spans="1:18" ht="18.75" customHeight="1" x14ac:dyDescent="0.2">
      <c r="A367" s="208"/>
      <c r="B367" s="209"/>
      <c r="C367" s="192"/>
      <c r="D367" s="210"/>
      <c r="E367" s="210"/>
      <c r="F367" s="211"/>
      <c r="G367" s="210"/>
      <c r="H367" s="210"/>
      <c r="I367" s="210"/>
      <c r="J367" s="210"/>
      <c r="K367" s="210"/>
      <c r="L367" s="212"/>
      <c r="M367" s="88"/>
      <c r="N367" s="89"/>
      <c r="O367" s="89"/>
      <c r="P367" s="83"/>
      <c r="Q367" s="122"/>
    </row>
    <row r="368" spans="1:18" ht="18.75" customHeight="1" x14ac:dyDescent="0.2">
      <c r="A368" s="173"/>
      <c r="B368" s="213"/>
      <c r="C368" s="214"/>
      <c r="D368" s="215"/>
      <c r="E368" s="215"/>
      <c r="F368" s="216"/>
      <c r="G368" s="215"/>
      <c r="H368" s="215"/>
      <c r="I368" s="215"/>
      <c r="J368" s="215"/>
      <c r="K368" s="215"/>
      <c r="L368" s="217"/>
      <c r="M368" s="88"/>
      <c r="N368" s="89"/>
      <c r="O368" s="89"/>
      <c r="P368" s="83"/>
      <c r="Q368" s="122"/>
    </row>
    <row r="369" spans="1:18" ht="12.75" customHeight="1" x14ac:dyDescent="0.2">
      <c r="A369" s="218"/>
      <c r="B369" s="86"/>
      <c r="C369" s="87"/>
      <c r="D369" s="88"/>
      <c r="E369" s="88"/>
      <c r="F369" s="89"/>
      <c r="G369" s="88"/>
      <c r="H369" s="88"/>
      <c r="I369" s="88"/>
      <c r="J369" s="88"/>
      <c r="K369" s="88"/>
      <c r="L369" s="89"/>
      <c r="M369" s="88"/>
      <c r="N369" s="89"/>
      <c r="O369" s="89"/>
      <c r="P369" s="81"/>
      <c r="Q369" s="9"/>
    </row>
    <row r="370" spans="1:18" s="53" customFormat="1" ht="12.75" customHeight="1" x14ac:dyDescent="0.2">
      <c r="A370" s="90"/>
      <c r="B370" s="91" t="s">
        <v>144</v>
      </c>
      <c r="C370" s="92"/>
      <c r="D370" s="124"/>
      <c r="E370" s="46"/>
      <c r="F370" s="9"/>
      <c r="G370" s="46"/>
      <c r="H370" s="46"/>
      <c r="I370" s="93"/>
      <c r="J370" s="93"/>
      <c r="K370" s="46"/>
      <c r="L370" s="8"/>
      <c r="M370" s="46"/>
      <c r="N370" s="8"/>
      <c r="O370" s="8"/>
      <c r="P370" s="94"/>
      <c r="Q370" s="8"/>
      <c r="R370" s="6"/>
    </row>
    <row r="371" spans="1:18" ht="12.75" customHeight="1" x14ac:dyDescent="0.2">
      <c r="A371" s="90"/>
      <c r="B371" s="95"/>
      <c r="C371" s="96"/>
      <c r="D371" s="46"/>
      <c r="E371" s="46"/>
      <c r="G371" s="46"/>
      <c r="H371" s="46"/>
      <c r="I371" s="93"/>
      <c r="J371" s="93"/>
      <c r="K371" s="46"/>
      <c r="M371" s="46"/>
      <c r="P371" s="94"/>
      <c r="Q371" s="199"/>
    </row>
    <row r="372" spans="1:18" ht="12.75" customHeight="1" x14ac:dyDescent="0.2">
      <c r="A372" s="43"/>
      <c r="B372" s="44"/>
      <c r="C372" s="45"/>
      <c r="D372" s="48"/>
      <c r="E372" s="48"/>
      <c r="F372" s="47"/>
      <c r="G372" s="48"/>
      <c r="H372" s="48"/>
      <c r="I372" s="100"/>
      <c r="J372" s="100"/>
      <c r="K372" s="48"/>
      <c r="L372" s="49"/>
      <c r="M372" s="48"/>
      <c r="N372" s="49"/>
      <c r="O372" s="49"/>
      <c r="P372" s="50"/>
      <c r="Q372" s="200"/>
    </row>
    <row r="373" spans="1:18" ht="12.75" customHeight="1" x14ac:dyDescent="0.2">
      <c r="A373" s="1">
        <v>110073</v>
      </c>
      <c r="B373" s="52">
        <v>35</v>
      </c>
      <c r="C373" s="57" t="s">
        <v>145</v>
      </c>
      <c r="D373" s="53">
        <v>102</v>
      </c>
      <c r="E373" s="53">
        <v>139</v>
      </c>
      <c r="F373" s="10">
        <f>E373*0.666*24/72</f>
        <v>30.857999999999997</v>
      </c>
      <c r="G373" s="94">
        <v>24</v>
      </c>
      <c r="H373" s="94">
        <v>0</v>
      </c>
      <c r="I373" s="54">
        <v>0</v>
      </c>
      <c r="J373" s="54">
        <v>0</v>
      </c>
      <c r="K373" s="94">
        <v>20</v>
      </c>
      <c r="L373" s="10">
        <v>0</v>
      </c>
      <c r="M373" s="94"/>
      <c r="N373" s="10">
        <f>ROUND((+F373*M373)/100,0)</f>
        <v>0</v>
      </c>
      <c r="O373" s="10">
        <v>0</v>
      </c>
      <c r="P373" s="94">
        <v>0</v>
      </c>
      <c r="Q373" s="143">
        <f>P373</f>
        <v>0</v>
      </c>
    </row>
    <row r="374" spans="1:18" ht="12.75" customHeight="1" x14ac:dyDescent="0.2">
      <c r="A374" s="1">
        <v>135103</v>
      </c>
      <c r="B374" s="52">
        <v>142</v>
      </c>
      <c r="C374" s="57" t="s">
        <v>306</v>
      </c>
      <c r="D374" s="53">
        <v>72</v>
      </c>
      <c r="E374" s="53">
        <v>102</v>
      </c>
      <c r="F374" s="10">
        <f>E374*0.666*24/72</f>
        <v>22.643999999999998</v>
      </c>
      <c r="G374" s="94">
        <v>10</v>
      </c>
      <c r="H374" s="94">
        <v>0</v>
      </c>
      <c r="I374" s="54">
        <v>0</v>
      </c>
      <c r="J374" s="54">
        <v>0</v>
      </c>
      <c r="K374" s="94">
        <v>7</v>
      </c>
      <c r="L374" s="10">
        <v>0</v>
      </c>
      <c r="M374" s="94"/>
      <c r="N374" s="10">
        <f>ROUND((+F374*M374)/100,0)</f>
        <v>0</v>
      </c>
      <c r="O374" s="10">
        <v>0</v>
      </c>
      <c r="P374" s="94">
        <v>12</v>
      </c>
      <c r="Q374" s="143">
        <f>P374</f>
        <v>12</v>
      </c>
    </row>
    <row r="375" spans="1:18" ht="12.75" customHeight="1" x14ac:dyDescent="0.2">
      <c r="A375" s="1">
        <v>358101</v>
      </c>
      <c r="B375" s="52">
        <v>92</v>
      </c>
      <c r="C375" s="57" t="s">
        <v>282</v>
      </c>
      <c r="D375" s="53">
        <v>85</v>
      </c>
      <c r="E375" s="53">
        <v>128</v>
      </c>
      <c r="F375" s="10">
        <f>E375*0.666*24/72</f>
        <v>28.416000000000004</v>
      </c>
      <c r="G375" s="94">
        <v>24</v>
      </c>
      <c r="H375" s="94">
        <v>0</v>
      </c>
      <c r="I375" s="54">
        <v>0</v>
      </c>
      <c r="J375" s="54">
        <v>0</v>
      </c>
      <c r="K375" s="94">
        <v>23</v>
      </c>
      <c r="L375" s="10">
        <v>0</v>
      </c>
      <c r="M375" s="94"/>
      <c r="N375" s="10">
        <f>ROUND((+F375*M375)/100,0)</f>
        <v>0</v>
      </c>
      <c r="O375" s="10">
        <v>0</v>
      </c>
      <c r="P375" s="94">
        <v>13</v>
      </c>
      <c r="Q375" s="143">
        <f>P375</f>
        <v>13</v>
      </c>
    </row>
    <row r="376" spans="1:18" ht="12.75" customHeight="1" x14ac:dyDescent="0.2">
      <c r="A376" s="1">
        <v>378102</v>
      </c>
      <c r="B376" s="52">
        <v>200</v>
      </c>
      <c r="C376" s="57" t="s">
        <v>146</v>
      </c>
      <c r="D376" s="53">
        <v>55</v>
      </c>
      <c r="E376" s="53">
        <v>77</v>
      </c>
      <c r="F376" s="10">
        <f>E376*0.666*24/72</f>
        <v>17.094000000000001</v>
      </c>
      <c r="G376" s="94">
        <v>14</v>
      </c>
      <c r="H376" s="94">
        <v>0</v>
      </c>
      <c r="I376" s="54">
        <v>0</v>
      </c>
      <c r="J376" s="54">
        <v>0</v>
      </c>
      <c r="K376" s="94">
        <v>14</v>
      </c>
      <c r="L376" s="10">
        <v>0</v>
      </c>
      <c r="M376" s="94"/>
      <c r="N376" s="10">
        <f>ROUND((+F376*M376)/100,0)</f>
        <v>0</v>
      </c>
      <c r="O376" s="10">
        <v>0</v>
      </c>
      <c r="P376" s="94">
        <v>0</v>
      </c>
      <c r="Q376" s="143">
        <f>P376</f>
        <v>0</v>
      </c>
    </row>
    <row r="377" spans="1:18" ht="12.75" customHeight="1" x14ac:dyDescent="0.2">
      <c r="A377" s="1">
        <v>487101</v>
      </c>
      <c r="B377" s="52">
        <v>169</v>
      </c>
      <c r="C377" s="57" t="s">
        <v>147</v>
      </c>
      <c r="D377" s="53">
        <v>53</v>
      </c>
      <c r="E377" s="53">
        <v>77</v>
      </c>
      <c r="F377" s="10">
        <f>E377*0.666*24/72</f>
        <v>17.094000000000001</v>
      </c>
      <c r="G377" s="94">
        <v>13</v>
      </c>
      <c r="H377" s="94">
        <v>0</v>
      </c>
      <c r="I377" s="54">
        <v>0</v>
      </c>
      <c r="J377" s="54">
        <v>0</v>
      </c>
      <c r="K377" s="94">
        <v>10</v>
      </c>
      <c r="L377" s="10">
        <v>0</v>
      </c>
      <c r="M377" s="94"/>
      <c r="N377" s="10">
        <f>ROUND((+F377*M377)/100,0)</f>
        <v>0</v>
      </c>
      <c r="O377" s="10">
        <v>0</v>
      </c>
      <c r="P377" s="94">
        <v>12</v>
      </c>
      <c r="Q377" s="143">
        <f>P377</f>
        <v>12</v>
      </c>
    </row>
    <row r="378" spans="1:18" ht="12.75" customHeight="1" x14ac:dyDescent="0.2">
      <c r="A378" s="75"/>
      <c r="B378" s="59"/>
      <c r="C378" s="60"/>
      <c r="D378" s="61"/>
      <c r="E378" s="61"/>
      <c r="F378" s="79"/>
      <c r="G378" s="148"/>
      <c r="H378" s="148"/>
      <c r="I378" s="62"/>
      <c r="J378" s="62"/>
      <c r="K378" s="148"/>
      <c r="L378" s="61"/>
      <c r="M378" s="148"/>
      <c r="N378" s="61"/>
      <c r="O378" s="61"/>
      <c r="P378" s="148"/>
      <c r="Q378" s="80"/>
    </row>
    <row r="379" spans="1:18" ht="12.75" customHeight="1" x14ac:dyDescent="0.2">
      <c r="A379" s="109" t="s">
        <v>41</v>
      </c>
      <c r="B379" s="110"/>
      <c r="C379" s="111">
        <f>COUNTA(A373:A377)</f>
        <v>5</v>
      </c>
      <c r="D379" s="131">
        <f t="shared" ref="D379:Q379" si="126">SUM(D373:D377)</f>
        <v>367</v>
      </c>
      <c r="E379" s="131">
        <f t="shared" si="126"/>
        <v>523</v>
      </c>
      <c r="F379" s="132">
        <f t="shared" si="126"/>
        <v>116.10599999999999</v>
      </c>
      <c r="G379" s="132">
        <f t="shared" si="126"/>
        <v>85</v>
      </c>
      <c r="H379" s="132">
        <f t="shared" si="126"/>
        <v>0</v>
      </c>
      <c r="I379" s="132">
        <f t="shared" si="126"/>
        <v>0</v>
      </c>
      <c r="J379" s="132">
        <f t="shared" si="126"/>
        <v>0</v>
      </c>
      <c r="K379" s="132">
        <f t="shared" si="126"/>
        <v>74</v>
      </c>
      <c r="L379" s="132">
        <f t="shared" si="126"/>
        <v>0</v>
      </c>
      <c r="M379" s="132">
        <f t="shared" si="126"/>
        <v>0</v>
      </c>
      <c r="N379" s="132">
        <f t="shared" si="126"/>
        <v>0</v>
      </c>
      <c r="O379" s="132">
        <f t="shared" si="126"/>
        <v>0</v>
      </c>
      <c r="P379" s="132">
        <f t="shared" si="126"/>
        <v>37</v>
      </c>
      <c r="Q379" s="132">
        <f t="shared" si="126"/>
        <v>37</v>
      </c>
    </row>
    <row r="380" spans="1:18" ht="12.75" customHeight="1" x14ac:dyDescent="0.2">
      <c r="A380" s="219" t="s">
        <v>388</v>
      </c>
      <c r="B380" s="220"/>
      <c r="C380" s="221"/>
      <c r="D380" s="149"/>
      <c r="E380" s="149"/>
      <c r="F380" s="47"/>
      <c r="G380" s="149"/>
      <c r="H380" s="149"/>
      <c r="I380" s="149"/>
      <c r="J380" s="149"/>
      <c r="K380" s="149"/>
      <c r="L380" s="47"/>
      <c r="M380" s="150"/>
      <c r="N380" s="132"/>
      <c r="O380" s="132"/>
      <c r="P380" s="73"/>
      <c r="Q380" s="137"/>
    </row>
    <row r="381" spans="1:18" ht="12.75" customHeight="1" x14ac:dyDescent="0.2">
      <c r="A381" s="272" t="s">
        <v>389</v>
      </c>
      <c r="B381" s="117"/>
      <c r="C381" s="118"/>
      <c r="D381" s="119"/>
      <c r="E381" s="119"/>
      <c r="F381" s="120"/>
      <c r="G381" s="119"/>
      <c r="H381" s="119"/>
      <c r="I381" s="119"/>
      <c r="J381" s="119"/>
      <c r="K381" s="119"/>
      <c r="L381" s="121"/>
      <c r="M381" s="88"/>
      <c r="N381" s="89"/>
      <c r="O381" s="89"/>
      <c r="P381" s="83" t="s">
        <v>43</v>
      </c>
      <c r="Q381" s="122">
        <f>Q379</f>
        <v>37</v>
      </c>
    </row>
    <row r="382" spans="1:18" ht="12.75" customHeight="1" x14ac:dyDescent="0.2">
      <c r="A382" s="123"/>
      <c r="B382" s="86"/>
      <c r="C382" s="87"/>
      <c r="D382" s="88"/>
      <c r="E382" s="88"/>
      <c r="F382" s="89"/>
      <c r="G382" s="88"/>
      <c r="H382" s="88"/>
      <c r="I382" s="88"/>
      <c r="J382" s="88"/>
      <c r="K382" s="88"/>
      <c r="L382" s="89"/>
      <c r="M382" s="88"/>
      <c r="N382" s="89"/>
      <c r="O382" s="89"/>
      <c r="P382" s="81"/>
      <c r="Q382" s="9"/>
    </row>
    <row r="383" spans="1:18" ht="12.75" customHeight="1" x14ac:dyDescent="0.2">
      <c r="A383" s="90"/>
      <c r="B383" s="91" t="s">
        <v>148</v>
      </c>
      <c r="C383" s="92"/>
      <c r="D383" s="124"/>
      <c r="E383" s="46"/>
      <c r="G383" s="46"/>
      <c r="H383" s="46"/>
      <c r="I383" s="93"/>
      <c r="J383" s="93"/>
      <c r="K383" s="46"/>
      <c r="M383" s="46"/>
      <c r="P383" s="94"/>
      <c r="Q383" s="199"/>
    </row>
    <row r="384" spans="1:18" ht="12.75" customHeight="1" x14ac:dyDescent="0.2">
      <c r="A384" s="90"/>
      <c r="B384" s="95"/>
      <c r="C384" s="96"/>
      <c r="D384" s="46"/>
      <c r="E384" s="46"/>
      <c r="G384" s="46"/>
      <c r="H384" s="46"/>
      <c r="I384" s="93"/>
      <c r="J384" s="93"/>
      <c r="K384" s="46"/>
      <c r="M384" s="46"/>
      <c r="P384" s="94"/>
      <c r="Q384" s="199"/>
    </row>
    <row r="385" spans="1:17" s="53" customFormat="1" ht="12.75" customHeight="1" x14ac:dyDescent="0.2">
      <c r="A385" s="43"/>
      <c r="B385" s="44"/>
      <c r="C385" s="45"/>
      <c r="D385" s="48"/>
      <c r="E385" s="48"/>
      <c r="F385" s="47"/>
      <c r="G385" s="48"/>
      <c r="H385" s="48"/>
      <c r="I385" s="100"/>
      <c r="J385" s="100"/>
      <c r="K385" s="48"/>
      <c r="L385" s="49"/>
      <c r="M385" s="48"/>
      <c r="N385" s="49"/>
      <c r="O385" s="49"/>
      <c r="P385" s="50"/>
      <c r="Q385" s="200"/>
    </row>
    <row r="386" spans="1:17" ht="12.75" customHeight="1" x14ac:dyDescent="0.2">
      <c r="A386" s="1">
        <v>41106</v>
      </c>
      <c r="B386" s="52">
        <v>110</v>
      </c>
      <c r="C386" s="57" t="s">
        <v>149</v>
      </c>
      <c r="D386" s="53">
        <v>83</v>
      </c>
      <c r="E386" s="53">
        <v>124</v>
      </c>
      <c r="F386" s="10">
        <f>E386*0.666*24/72</f>
        <v>27.528000000000002</v>
      </c>
      <c r="G386" s="94">
        <v>14</v>
      </c>
      <c r="H386" s="94">
        <v>0</v>
      </c>
      <c r="I386" s="54">
        <v>0</v>
      </c>
      <c r="J386" s="54">
        <v>0</v>
      </c>
      <c r="K386" s="94">
        <v>0</v>
      </c>
      <c r="L386" s="10">
        <v>0</v>
      </c>
      <c r="M386" s="94"/>
      <c r="N386" s="10">
        <f>ROUND((+F386*M386)/100,0)</f>
        <v>0</v>
      </c>
      <c r="O386" s="10">
        <v>0</v>
      </c>
      <c r="P386" s="94">
        <v>18</v>
      </c>
      <c r="Q386" s="143">
        <f>+P386</f>
        <v>18</v>
      </c>
    </row>
    <row r="387" spans="1:17" ht="12.75" customHeight="1" x14ac:dyDescent="0.2">
      <c r="A387" s="1">
        <v>41109</v>
      </c>
      <c r="B387" s="52">
        <v>197</v>
      </c>
      <c r="C387" s="57" t="s">
        <v>238</v>
      </c>
      <c r="D387" s="53">
        <v>38</v>
      </c>
      <c r="E387" s="53">
        <v>40</v>
      </c>
      <c r="F387" s="10">
        <f>E387*0.666*24/72</f>
        <v>8.8800000000000008</v>
      </c>
      <c r="G387" s="94">
        <v>10</v>
      </c>
      <c r="H387" s="94">
        <v>0</v>
      </c>
      <c r="I387" s="54">
        <v>0</v>
      </c>
      <c r="J387" s="54">
        <v>0</v>
      </c>
      <c r="K387" s="94">
        <v>7</v>
      </c>
      <c r="L387" s="10">
        <v>0</v>
      </c>
      <c r="M387" s="94"/>
      <c r="N387" s="10">
        <f>ROUND((+F387*M387)/100,0)</f>
        <v>0</v>
      </c>
      <c r="O387" s="10">
        <v>0</v>
      </c>
      <c r="P387" s="94">
        <v>0</v>
      </c>
      <c r="Q387" s="143">
        <f>+P387</f>
        <v>0</v>
      </c>
    </row>
    <row r="388" spans="1:17" ht="12.75" customHeight="1" x14ac:dyDescent="0.2">
      <c r="A388" s="1">
        <v>41110</v>
      </c>
      <c r="B388" s="52">
        <v>56</v>
      </c>
      <c r="C388" s="57" t="s">
        <v>239</v>
      </c>
      <c r="D388" s="53">
        <v>88</v>
      </c>
      <c r="E388" s="53">
        <v>127</v>
      </c>
      <c r="F388" s="10">
        <f>E388*0.666*24/72</f>
        <v>28.194000000000003</v>
      </c>
      <c r="G388" s="94">
        <v>10</v>
      </c>
      <c r="H388" s="94">
        <v>0</v>
      </c>
      <c r="I388" s="54">
        <v>0</v>
      </c>
      <c r="J388" s="54">
        <v>0</v>
      </c>
      <c r="K388" s="94">
        <v>16</v>
      </c>
      <c r="L388" s="10">
        <v>0</v>
      </c>
      <c r="M388" s="94"/>
      <c r="N388" s="10">
        <f>ROUND((+F388*M388)/100,0)</f>
        <v>0</v>
      </c>
      <c r="O388" s="10">
        <v>0</v>
      </c>
      <c r="P388" s="94">
        <v>17</v>
      </c>
      <c r="Q388" s="143">
        <f>+P388</f>
        <v>17</v>
      </c>
    </row>
    <row r="389" spans="1:17" ht="12.75" customHeight="1" x14ac:dyDescent="0.2">
      <c r="A389" s="1">
        <v>41111</v>
      </c>
      <c r="B389" s="52">
        <v>186</v>
      </c>
      <c r="C389" s="57" t="s">
        <v>227</v>
      </c>
      <c r="D389" s="53">
        <v>101</v>
      </c>
      <c r="E389" s="53">
        <v>127</v>
      </c>
      <c r="F389" s="10">
        <f>E389*0.666*24/72</f>
        <v>28.194000000000003</v>
      </c>
      <c r="G389" s="94">
        <v>23</v>
      </c>
      <c r="H389" s="94">
        <v>0</v>
      </c>
      <c r="I389" s="54">
        <v>0</v>
      </c>
      <c r="J389" s="54">
        <v>0</v>
      </c>
      <c r="K389" s="94">
        <v>22</v>
      </c>
      <c r="L389" s="10">
        <v>0</v>
      </c>
      <c r="M389" s="94"/>
      <c r="N389" s="10">
        <f>ROUND((+F389*M389)/100,0)</f>
        <v>0</v>
      </c>
      <c r="O389" s="10">
        <v>0</v>
      </c>
      <c r="P389" s="94">
        <v>23</v>
      </c>
      <c r="Q389" s="143">
        <f>+P389</f>
        <v>23</v>
      </c>
    </row>
    <row r="390" spans="1:17" ht="12.75" customHeight="1" x14ac:dyDescent="0.2">
      <c r="A390" s="75"/>
      <c r="B390" s="59"/>
      <c r="C390" s="60"/>
      <c r="D390" s="148"/>
      <c r="E390" s="148"/>
      <c r="F390" s="79"/>
      <c r="G390" s="148"/>
      <c r="H390" s="148"/>
      <c r="I390" s="62"/>
      <c r="J390" s="62"/>
      <c r="K390" s="62"/>
      <c r="L390" s="61"/>
      <c r="M390" s="148"/>
      <c r="N390" s="61"/>
      <c r="O390" s="61"/>
      <c r="P390" s="62"/>
      <c r="Q390" s="80"/>
    </row>
    <row r="391" spans="1:17" ht="12.75" customHeight="1" x14ac:dyDescent="0.2">
      <c r="A391" s="109" t="s">
        <v>41</v>
      </c>
      <c r="B391" s="110"/>
      <c r="C391" s="111">
        <f>COUNTA(A386:A389)</f>
        <v>4</v>
      </c>
      <c r="D391" s="131">
        <f t="shared" ref="D391:L391" si="127">SUM(D386:D389)</f>
        <v>310</v>
      </c>
      <c r="E391" s="131">
        <f t="shared" si="127"/>
        <v>418</v>
      </c>
      <c r="F391" s="132">
        <f t="shared" si="127"/>
        <v>92.796000000000006</v>
      </c>
      <c r="G391" s="132">
        <f t="shared" si="127"/>
        <v>57</v>
      </c>
      <c r="H391" s="132">
        <f t="shared" si="127"/>
        <v>0</v>
      </c>
      <c r="I391" s="132">
        <f t="shared" si="127"/>
        <v>0</v>
      </c>
      <c r="J391" s="132">
        <f t="shared" si="127"/>
        <v>0</v>
      </c>
      <c r="K391" s="132">
        <f t="shared" si="127"/>
        <v>45</v>
      </c>
      <c r="L391" s="132">
        <f t="shared" si="127"/>
        <v>0</v>
      </c>
      <c r="M391" s="132">
        <f>SUM(M386:M386)</f>
        <v>0</v>
      </c>
      <c r="N391" s="132">
        <f>SUM(N386:N389)</f>
        <v>0</v>
      </c>
      <c r="O391" s="132">
        <f>SUM(O386:O389)</f>
        <v>0</v>
      </c>
      <c r="P391" s="132">
        <f>SUM(P386:P389)</f>
        <v>58</v>
      </c>
      <c r="Q391" s="132">
        <f>SUM(Q386:Q389)</f>
        <v>58</v>
      </c>
    </row>
    <row r="392" spans="1:17" ht="12.75" customHeight="1" x14ac:dyDescent="0.2">
      <c r="A392" s="133" t="s">
        <v>376</v>
      </c>
      <c r="B392" s="67"/>
      <c r="C392" s="68"/>
      <c r="D392" s="69"/>
      <c r="E392" s="69"/>
      <c r="F392" s="70"/>
      <c r="G392" s="69"/>
      <c r="H392" s="69"/>
      <c r="I392" s="69"/>
      <c r="J392" s="69"/>
      <c r="K392" s="69"/>
      <c r="L392" s="70"/>
      <c r="M392" s="114"/>
      <c r="N392" s="72"/>
      <c r="O392" s="72"/>
      <c r="P392" s="73"/>
      <c r="Q392" s="115"/>
    </row>
    <row r="393" spans="1:17" ht="12.75" customHeight="1" x14ac:dyDescent="0.2">
      <c r="A393" s="153"/>
      <c r="B393" s="154"/>
      <c r="C393" s="155"/>
      <c r="D393" s="156"/>
      <c r="E393" s="156"/>
      <c r="F393" s="157"/>
      <c r="G393" s="156"/>
      <c r="H393" s="156"/>
      <c r="I393" s="156"/>
      <c r="J393" s="156"/>
      <c r="K393" s="156"/>
      <c r="L393" s="158"/>
      <c r="M393" s="88"/>
      <c r="N393" s="89"/>
      <c r="O393" s="89"/>
      <c r="P393" s="83" t="s">
        <v>43</v>
      </c>
      <c r="Q393" s="122">
        <f>Q391</f>
        <v>58</v>
      </c>
    </row>
    <row r="394" spans="1:17" ht="12.75" customHeight="1" x14ac:dyDescent="0.2">
      <c r="A394" s="85"/>
      <c r="B394" s="86"/>
      <c r="C394" s="87"/>
      <c r="D394" s="88"/>
      <c r="E394" s="88"/>
      <c r="F394" s="89"/>
      <c r="G394" s="88"/>
      <c r="H394" s="88"/>
      <c r="I394" s="88"/>
      <c r="J394" s="88"/>
      <c r="K394" s="88"/>
      <c r="L394" s="89"/>
      <c r="M394" s="88"/>
      <c r="N394" s="89"/>
      <c r="O394" s="89"/>
      <c r="P394" s="81"/>
      <c r="Q394" s="9"/>
    </row>
    <row r="395" spans="1:17" ht="12.75" customHeight="1" x14ac:dyDescent="0.2">
      <c r="A395" s="123"/>
      <c r="B395" s="86"/>
      <c r="C395" s="87"/>
      <c r="D395" s="88"/>
      <c r="E395" s="88"/>
      <c r="F395" s="89"/>
      <c r="G395" s="88"/>
      <c r="H395" s="88"/>
      <c r="I395" s="88"/>
      <c r="J395" s="88"/>
      <c r="K395" s="88"/>
      <c r="L395" s="89"/>
      <c r="M395" s="88"/>
      <c r="N395" s="89"/>
      <c r="O395" s="89"/>
      <c r="P395" s="81"/>
      <c r="Q395" s="9"/>
    </row>
    <row r="396" spans="1:17" ht="12.75" customHeight="1" x14ac:dyDescent="0.2">
      <c r="A396" s="90" t="s">
        <v>86</v>
      </c>
      <c r="B396" s="95"/>
      <c r="C396" s="96"/>
      <c r="D396" s="46"/>
      <c r="E396" s="46"/>
      <c r="G396" s="198"/>
      <c r="H396" s="46"/>
      <c r="I396" s="93"/>
      <c r="J396" s="93"/>
      <c r="K396" s="198"/>
      <c r="M396" s="46"/>
      <c r="P396" s="94"/>
      <c r="Q396" s="222"/>
    </row>
    <row r="397" spans="1:17" ht="12.75" customHeight="1" x14ac:dyDescent="0.2">
      <c r="A397" s="90"/>
      <c r="B397" s="91" t="s">
        <v>150</v>
      </c>
      <c r="C397" s="92"/>
      <c r="D397" s="124"/>
      <c r="E397" s="46"/>
      <c r="G397" s="46"/>
      <c r="H397" s="46"/>
      <c r="I397" s="93"/>
      <c r="J397" s="93"/>
      <c r="K397" s="46"/>
      <c r="M397" s="46"/>
      <c r="P397" s="94"/>
    </row>
    <row r="398" spans="1:17" ht="12.75" customHeight="1" x14ac:dyDescent="0.2">
      <c r="A398" s="90"/>
      <c r="B398" s="95"/>
      <c r="C398" s="96"/>
      <c r="D398" s="46"/>
      <c r="E398" s="46"/>
      <c r="G398" s="46"/>
      <c r="H398" s="46"/>
      <c r="I398" s="93"/>
      <c r="J398" s="93"/>
      <c r="K398" s="46"/>
      <c r="M398" s="46"/>
      <c r="P398" s="94"/>
      <c r="Q398" s="199"/>
    </row>
    <row r="399" spans="1:17" ht="12.75" customHeight="1" x14ac:dyDescent="0.2">
      <c r="A399" s="43"/>
      <c r="B399" s="44"/>
      <c r="C399" s="45"/>
      <c r="D399" s="48"/>
      <c r="E399" s="48"/>
      <c r="F399" s="47"/>
      <c r="G399" s="48"/>
      <c r="H399" s="48"/>
      <c r="I399" s="100"/>
      <c r="J399" s="100"/>
      <c r="K399" s="48"/>
      <c r="L399" s="49"/>
      <c r="M399" s="48"/>
      <c r="N399" s="49"/>
      <c r="O399" s="49"/>
      <c r="P399" s="50"/>
      <c r="Q399" s="200"/>
    </row>
    <row r="400" spans="1:17" ht="12.75" customHeight="1" x14ac:dyDescent="0.2">
      <c r="A400" s="1">
        <v>120275</v>
      </c>
      <c r="B400" s="52">
        <v>24</v>
      </c>
      <c r="C400" s="57" t="s">
        <v>151</v>
      </c>
      <c r="D400" s="53">
        <v>76</v>
      </c>
      <c r="E400" s="53">
        <v>138</v>
      </c>
      <c r="F400" s="10">
        <f>E400*0.666*24/72</f>
        <v>30.635999999999999</v>
      </c>
      <c r="G400" s="94">
        <v>28</v>
      </c>
      <c r="H400" s="94">
        <v>0</v>
      </c>
      <c r="I400" s="54">
        <v>0</v>
      </c>
      <c r="J400" s="54">
        <v>0</v>
      </c>
      <c r="K400" s="94">
        <v>28</v>
      </c>
      <c r="L400" s="10">
        <v>0</v>
      </c>
      <c r="M400" s="94"/>
      <c r="N400" s="10">
        <f>ROUND((+F400*M400)/100,0)</f>
        <v>0</v>
      </c>
      <c r="O400" s="10">
        <f>IF(L400&gt;N400,+L400-N400,0)</f>
        <v>0</v>
      </c>
      <c r="P400" s="94">
        <v>27</v>
      </c>
      <c r="Q400" s="143">
        <f>+P400</f>
        <v>27</v>
      </c>
    </row>
    <row r="401" spans="1:17" ht="12.75" customHeight="1" x14ac:dyDescent="0.2">
      <c r="A401" s="1">
        <v>177103</v>
      </c>
      <c r="B401" s="52">
        <v>19</v>
      </c>
      <c r="C401" s="53" t="s">
        <v>1</v>
      </c>
      <c r="D401" s="53">
        <v>62</v>
      </c>
      <c r="E401" s="53">
        <v>100</v>
      </c>
      <c r="F401" s="10">
        <f>E401*0.666*24/72</f>
        <v>22.200000000000003</v>
      </c>
      <c r="G401" s="94">
        <v>18</v>
      </c>
      <c r="H401" s="94">
        <v>0</v>
      </c>
      <c r="I401" s="54">
        <v>0</v>
      </c>
      <c r="J401" s="54">
        <v>0</v>
      </c>
      <c r="K401" s="94">
        <v>4</v>
      </c>
      <c r="L401" s="10">
        <v>0</v>
      </c>
      <c r="M401" s="94"/>
      <c r="N401" s="10">
        <f>ROUND((+F401*M401)/100,0)</f>
        <v>0</v>
      </c>
      <c r="O401" s="10">
        <f>IF(L401&gt;N401,+L401-N401,0)</f>
        <v>0</v>
      </c>
      <c r="P401" s="94">
        <v>0</v>
      </c>
      <c r="Q401" s="143">
        <f>+P401</f>
        <v>0</v>
      </c>
    </row>
    <row r="402" spans="1:17" ht="12.75" customHeight="1" x14ac:dyDescent="0.2">
      <c r="A402" s="1">
        <v>177104</v>
      </c>
      <c r="B402" s="52">
        <v>79</v>
      </c>
      <c r="C402" s="53" t="s">
        <v>152</v>
      </c>
      <c r="D402" s="53">
        <v>190</v>
      </c>
      <c r="E402" s="53">
        <v>314</v>
      </c>
      <c r="F402" s="10">
        <f>E402*0.666*24/72</f>
        <v>69.708000000000013</v>
      </c>
      <c r="G402" s="94">
        <v>55</v>
      </c>
      <c r="H402" s="94">
        <v>0</v>
      </c>
      <c r="I402" s="54">
        <v>0</v>
      </c>
      <c r="J402" s="54">
        <v>0</v>
      </c>
      <c r="K402" s="94">
        <v>48</v>
      </c>
      <c r="L402" s="10">
        <v>0</v>
      </c>
      <c r="M402" s="94"/>
      <c r="N402" s="10">
        <f>ROUND((+F402*M402)/100,0)</f>
        <v>0</v>
      </c>
      <c r="O402" s="10">
        <f>IF(L402&gt;N402,+L402-N402,0)</f>
        <v>0</v>
      </c>
      <c r="P402" s="94">
        <v>50</v>
      </c>
      <c r="Q402" s="143">
        <f>+P402</f>
        <v>50</v>
      </c>
    </row>
    <row r="403" spans="1:17" ht="12.75" customHeight="1" x14ac:dyDescent="0.2">
      <c r="A403" s="1">
        <v>558101</v>
      </c>
      <c r="B403" s="52">
        <v>3</v>
      </c>
      <c r="C403" s="57" t="s">
        <v>153</v>
      </c>
      <c r="D403" s="53">
        <v>95</v>
      </c>
      <c r="E403" s="53">
        <v>152</v>
      </c>
      <c r="F403" s="10">
        <f>E403*0.666*24/72</f>
        <v>33.744</v>
      </c>
      <c r="G403" s="296">
        <v>28</v>
      </c>
      <c r="H403" s="94">
        <v>0</v>
      </c>
      <c r="I403" s="54">
        <v>0</v>
      </c>
      <c r="J403" s="54">
        <v>0</v>
      </c>
      <c r="K403" s="296">
        <v>27</v>
      </c>
      <c r="L403" s="10">
        <v>0</v>
      </c>
      <c r="M403" s="94"/>
      <c r="N403" s="10">
        <f>ROUND((+F403*M403)/100,0)</f>
        <v>0</v>
      </c>
      <c r="O403" s="10">
        <v>0</v>
      </c>
      <c r="P403" s="296">
        <v>26</v>
      </c>
      <c r="Q403" s="143">
        <f>+P403</f>
        <v>26</v>
      </c>
    </row>
    <row r="404" spans="1:17" ht="12.75" customHeight="1" x14ac:dyDescent="0.2">
      <c r="A404" s="75"/>
      <c r="B404" s="59"/>
      <c r="C404" s="60"/>
      <c r="D404" s="148"/>
      <c r="E404" s="148"/>
      <c r="F404" s="79"/>
      <c r="G404" s="148"/>
      <c r="H404" s="148"/>
      <c r="I404" s="62"/>
      <c r="J404" s="62"/>
      <c r="K404" s="94"/>
      <c r="L404" s="61"/>
      <c r="M404" s="148"/>
      <c r="N404" s="61"/>
      <c r="O404" s="61"/>
      <c r="P404" s="62"/>
      <c r="Q404" s="80"/>
    </row>
    <row r="405" spans="1:17" ht="12.75" customHeight="1" x14ac:dyDescent="0.2">
      <c r="A405" s="109" t="s">
        <v>41</v>
      </c>
      <c r="B405" s="110"/>
      <c r="C405" s="111">
        <f>COUNTA(A400:A403)</f>
        <v>4</v>
      </c>
      <c r="D405" s="131">
        <f t="shared" ref="D405:Q405" si="128">SUM(D400:D403)</f>
        <v>423</v>
      </c>
      <c r="E405" s="131">
        <f t="shared" si="128"/>
        <v>704</v>
      </c>
      <c r="F405" s="132">
        <f t="shared" si="128"/>
        <v>156.28800000000001</v>
      </c>
      <c r="G405" s="132">
        <f t="shared" si="128"/>
        <v>129</v>
      </c>
      <c r="H405" s="132">
        <f t="shared" si="128"/>
        <v>0</v>
      </c>
      <c r="I405" s="132">
        <f t="shared" si="128"/>
        <v>0</v>
      </c>
      <c r="J405" s="132">
        <f t="shared" si="128"/>
        <v>0</v>
      </c>
      <c r="K405" s="132">
        <f t="shared" si="128"/>
        <v>107</v>
      </c>
      <c r="L405" s="132">
        <f t="shared" si="128"/>
        <v>0</v>
      </c>
      <c r="M405" s="132">
        <f t="shared" si="128"/>
        <v>0</v>
      </c>
      <c r="N405" s="132">
        <f t="shared" si="128"/>
        <v>0</v>
      </c>
      <c r="O405" s="132">
        <f t="shared" si="128"/>
        <v>0</v>
      </c>
      <c r="P405" s="132">
        <f t="shared" si="128"/>
        <v>103</v>
      </c>
      <c r="Q405" s="132">
        <f t="shared" si="128"/>
        <v>103</v>
      </c>
    </row>
    <row r="406" spans="1:17" ht="12.75" customHeight="1" x14ac:dyDescent="0.2">
      <c r="A406" s="219" t="s">
        <v>377</v>
      </c>
      <c r="B406" s="220"/>
      <c r="C406" s="221"/>
      <c r="D406" s="149"/>
      <c r="E406" s="149"/>
      <c r="F406" s="47"/>
      <c r="G406" s="149"/>
      <c r="H406" s="149"/>
      <c r="I406" s="149"/>
      <c r="J406" s="149"/>
      <c r="K406" s="149"/>
      <c r="L406" s="47"/>
      <c r="M406" s="150"/>
      <c r="N406" s="132"/>
      <c r="O406" s="132"/>
      <c r="P406" s="73"/>
      <c r="Q406" s="137"/>
    </row>
    <row r="407" spans="1:17" ht="12.75" customHeight="1" x14ac:dyDescent="0.2">
      <c r="A407" s="272"/>
      <c r="B407" s="117"/>
      <c r="C407" s="118"/>
      <c r="D407" s="119"/>
      <c r="E407" s="119"/>
      <c r="F407" s="120"/>
      <c r="G407" s="119"/>
      <c r="H407" s="119"/>
      <c r="I407" s="119"/>
      <c r="J407" s="119"/>
      <c r="K407" s="119"/>
      <c r="L407" s="121"/>
      <c r="M407" s="88"/>
      <c r="N407" s="89"/>
      <c r="O407" s="89"/>
      <c r="P407" s="83" t="s">
        <v>43</v>
      </c>
      <c r="Q407" s="122">
        <f>Q405</f>
        <v>103</v>
      </c>
    </row>
    <row r="408" spans="1:17" ht="12.75" customHeight="1" x14ac:dyDescent="0.2">
      <c r="A408" s="123"/>
      <c r="B408" s="86"/>
      <c r="C408" s="87"/>
      <c r="D408" s="88"/>
      <c r="E408" s="88"/>
      <c r="F408" s="89"/>
      <c r="G408" s="88"/>
      <c r="H408" s="88"/>
      <c r="I408" s="88"/>
      <c r="J408" s="88"/>
      <c r="K408" s="88"/>
      <c r="L408" s="89"/>
      <c r="M408" s="88"/>
      <c r="N408" s="89"/>
      <c r="O408" s="89"/>
      <c r="P408" s="81"/>
      <c r="Q408" s="9"/>
    </row>
    <row r="409" spans="1:17" ht="12.75" customHeight="1" x14ac:dyDescent="0.2">
      <c r="A409" s="90"/>
      <c r="B409" s="91" t="s">
        <v>154</v>
      </c>
      <c r="C409" s="92"/>
      <c r="D409" s="124"/>
      <c r="E409" s="124"/>
      <c r="G409" s="46"/>
      <c r="H409" s="46"/>
      <c r="I409" s="93"/>
      <c r="J409" s="93"/>
      <c r="K409" s="46"/>
      <c r="M409" s="46"/>
      <c r="P409" s="94"/>
      <c r="Q409" s="222"/>
    </row>
    <row r="410" spans="1:17" ht="12.75" customHeight="1" x14ac:dyDescent="0.2">
      <c r="A410" s="90"/>
      <c r="B410" s="95"/>
      <c r="C410" s="96"/>
      <c r="D410" s="46"/>
      <c r="E410" s="46"/>
      <c r="G410" s="46"/>
      <c r="H410" s="46"/>
      <c r="I410" s="93"/>
      <c r="J410" s="93"/>
      <c r="K410" s="46"/>
      <c r="M410" s="46"/>
      <c r="P410" s="94"/>
      <c r="Q410" s="199"/>
    </row>
    <row r="411" spans="1:17" ht="12.75" customHeight="1" x14ac:dyDescent="0.2">
      <c r="A411" s="43"/>
      <c r="B411" s="44"/>
      <c r="C411" s="45"/>
      <c r="D411" s="48"/>
      <c r="E411" s="48"/>
      <c r="F411" s="47"/>
      <c r="G411" s="48"/>
      <c r="H411" s="48"/>
      <c r="I411" s="100"/>
      <c r="J411" s="100"/>
      <c r="K411" s="48"/>
      <c r="L411" s="49"/>
      <c r="M411" s="48"/>
      <c r="N411" s="49"/>
      <c r="O411" s="49"/>
      <c r="P411" s="50"/>
      <c r="Q411" s="200"/>
    </row>
    <row r="412" spans="1:17" ht="12.75" customHeight="1" x14ac:dyDescent="0.2">
      <c r="A412" s="1">
        <v>41105</v>
      </c>
      <c r="B412" s="52">
        <v>23</v>
      </c>
      <c r="C412" s="57" t="s">
        <v>155</v>
      </c>
      <c r="D412" s="53">
        <v>91</v>
      </c>
      <c r="E412" s="53">
        <v>117</v>
      </c>
      <c r="F412" s="10">
        <f t="shared" ref="F412:F417" si="129">E412*0.666*24/72</f>
        <v>25.974000000000004</v>
      </c>
      <c r="G412" s="94">
        <v>20</v>
      </c>
      <c r="H412" s="94">
        <v>0</v>
      </c>
      <c r="I412" s="54">
        <v>0</v>
      </c>
      <c r="J412" s="54">
        <v>0</v>
      </c>
      <c r="K412" s="94">
        <v>20</v>
      </c>
      <c r="L412" s="10">
        <v>0</v>
      </c>
      <c r="M412" s="94"/>
      <c r="N412" s="10">
        <f t="shared" ref="N412:N417" si="130">ROUND((+F412*M412)/100,0)</f>
        <v>0</v>
      </c>
      <c r="O412" s="10">
        <v>0</v>
      </c>
      <c r="P412" s="94">
        <v>18</v>
      </c>
      <c r="Q412" s="143">
        <f t="shared" ref="Q412:Q417" si="131">+P412</f>
        <v>18</v>
      </c>
    </row>
    <row r="413" spans="1:17" ht="12.75" customHeight="1" x14ac:dyDescent="0.2">
      <c r="A413" s="1">
        <v>120549</v>
      </c>
      <c r="B413" s="52">
        <v>12</v>
      </c>
      <c r="C413" s="57" t="s">
        <v>156</v>
      </c>
      <c r="D413" s="53">
        <v>81</v>
      </c>
      <c r="E413" s="53">
        <v>103</v>
      </c>
      <c r="F413" s="10">
        <f t="shared" si="129"/>
        <v>22.866</v>
      </c>
      <c r="G413" s="94">
        <v>13</v>
      </c>
      <c r="H413" s="94">
        <v>0</v>
      </c>
      <c r="I413" s="54">
        <v>0</v>
      </c>
      <c r="J413" s="54">
        <v>0</v>
      </c>
      <c r="K413" s="94">
        <v>13</v>
      </c>
      <c r="L413" s="10">
        <v>0</v>
      </c>
      <c r="M413" s="94"/>
      <c r="N413" s="10">
        <f t="shared" si="130"/>
        <v>0</v>
      </c>
      <c r="O413" s="10">
        <v>0</v>
      </c>
      <c r="P413" s="94">
        <v>13</v>
      </c>
      <c r="Q413" s="143">
        <f t="shared" si="131"/>
        <v>13</v>
      </c>
    </row>
    <row r="414" spans="1:17" ht="12.75" customHeight="1" x14ac:dyDescent="0.2">
      <c r="A414" s="1">
        <v>163101</v>
      </c>
      <c r="B414" s="52">
        <v>5</v>
      </c>
      <c r="C414" s="57" t="s">
        <v>157</v>
      </c>
      <c r="D414" s="53">
        <v>38</v>
      </c>
      <c r="E414" s="53">
        <v>54</v>
      </c>
      <c r="F414" s="10">
        <f t="shared" si="129"/>
        <v>11.988</v>
      </c>
      <c r="G414" s="94">
        <v>11</v>
      </c>
      <c r="H414" s="94">
        <v>0</v>
      </c>
      <c r="I414" s="54">
        <v>0</v>
      </c>
      <c r="J414" s="54">
        <v>0</v>
      </c>
      <c r="K414" s="94">
        <v>10</v>
      </c>
      <c r="L414" s="10">
        <v>0</v>
      </c>
      <c r="M414" s="94"/>
      <c r="N414" s="10">
        <f t="shared" si="130"/>
        <v>0</v>
      </c>
      <c r="O414" s="10">
        <v>0</v>
      </c>
      <c r="P414" s="94">
        <v>11</v>
      </c>
      <c r="Q414" s="143">
        <f t="shared" si="131"/>
        <v>11</v>
      </c>
    </row>
    <row r="415" spans="1:17" s="53" customFormat="1" ht="12.75" customHeight="1" x14ac:dyDescent="0.2">
      <c r="A415" s="1">
        <v>249101</v>
      </c>
      <c r="B415" s="52">
        <v>29</v>
      </c>
      <c r="C415" s="57" t="s">
        <v>158</v>
      </c>
      <c r="D415" s="53">
        <v>99</v>
      </c>
      <c r="E415" s="53">
        <v>118</v>
      </c>
      <c r="F415" s="10">
        <f t="shared" si="129"/>
        <v>26.196000000000002</v>
      </c>
      <c r="G415" s="94">
        <v>20</v>
      </c>
      <c r="H415" s="94">
        <v>0</v>
      </c>
      <c r="I415" s="54">
        <v>0</v>
      </c>
      <c r="J415" s="54">
        <v>0</v>
      </c>
      <c r="K415" s="94">
        <v>20</v>
      </c>
      <c r="L415" s="10">
        <v>0</v>
      </c>
      <c r="M415" s="94"/>
      <c r="N415" s="10">
        <f t="shared" si="130"/>
        <v>0</v>
      </c>
      <c r="O415" s="10">
        <v>0</v>
      </c>
      <c r="P415" s="94">
        <v>18</v>
      </c>
      <c r="Q415" s="143">
        <f t="shared" si="131"/>
        <v>18</v>
      </c>
    </row>
    <row r="416" spans="1:17" s="53" customFormat="1" ht="12.75" customHeight="1" x14ac:dyDescent="0.2">
      <c r="A416" s="1">
        <v>249102</v>
      </c>
      <c r="B416" s="52">
        <v>32</v>
      </c>
      <c r="C416" s="57" t="s">
        <v>301</v>
      </c>
      <c r="D416" s="53">
        <v>61</v>
      </c>
      <c r="E416" s="53">
        <v>82</v>
      </c>
      <c r="F416" s="10">
        <f t="shared" si="129"/>
        <v>18.204000000000001</v>
      </c>
      <c r="G416" s="94">
        <v>15</v>
      </c>
      <c r="H416" s="94">
        <v>0</v>
      </c>
      <c r="I416" s="54">
        <v>0</v>
      </c>
      <c r="J416" s="54">
        <v>0</v>
      </c>
      <c r="K416" s="94">
        <v>10</v>
      </c>
      <c r="L416" s="10">
        <v>0</v>
      </c>
      <c r="M416" s="94"/>
      <c r="N416" s="10">
        <f t="shared" si="130"/>
        <v>0</v>
      </c>
      <c r="O416" s="10">
        <v>0</v>
      </c>
      <c r="P416" s="94">
        <v>10</v>
      </c>
      <c r="Q416" s="143">
        <f t="shared" si="131"/>
        <v>10</v>
      </c>
    </row>
    <row r="417" spans="1:17" ht="12.75" customHeight="1" x14ac:dyDescent="0.2">
      <c r="A417" s="1">
        <v>545101</v>
      </c>
      <c r="B417" s="52">
        <v>101</v>
      </c>
      <c r="C417" s="57" t="s">
        <v>159</v>
      </c>
      <c r="D417" s="53">
        <v>384</v>
      </c>
      <c r="E417" s="53">
        <v>563</v>
      </c>
      <c r="F417" s="10">
        <f t="shared" si="129"/>
        <v>124.986</v>
      </c>
      <c r="G417" s="94">
        <v>90</v>
      </c>
      <c r="H417" s="94">
        <v>0</v>
      </c>
      <c r="I417" s="54">
        <v>0</v>
      </c>
      <c r="J417" s="54">
        <v>0</v>
      </c>
      <c r="K417" s="94">
        <v>95</v>
      </c>
      <c r="L417" s="10">
        <v>0</v>
      </c>
      <c r="M417" s="94"/>
      <c r="N417" s="10">
        <f t="shared" si="130"/>
        <v>0</v>
      </c>
      <c r="O417" s="10">
        <v>0</v>
      </c>
      <c r="P417" s="94">
        <v>90</v>
      </c>
      <c r="Q417" s="143">
        <f t="shared" si="131"/>
        <v>90</v>
      </c>
    </row>
    <row r="418" spans="1:17" ht="12.75" customHeight="1" x14ac:dyDescent="0.2">
      <c r="A418" s="101"/>
      <c r="B418" s="102"/>
      <c r="C418" s="103"/>
      <c r="D418" s="97"/>
      <c r="E418" s="97"/>
      <c r="F418" s="120"/>
      <c r="G418" s="97"/>
      <c r="H418" s="97"/>
      <c r="I418" s="104"/>
      <c r="J418" s="104"/>
      <c r="K418" s="97"/>
      <c r="L418" s="42"/>
      <c r="M418" s="97"/>
      <c r="N418" s="42"/>
      <c r="O418" s="42"/>
      <c r="P418" s="62"/>
      <c r="Q418" s="121"/>
    </row>
    <row r="419" spans="1:17" ht="12.75" customHeight="1" x14ac:dyDescent="0.2">
      <c r="A419" s="109" t="s">
        <v>41</v>
      </c>
      <c r="B419" s="110"/>
      <c r="C419" s="111">
        <f>COUNTA(A412:A417)</f>
        <v>6</v>
      </c>
      <c r="D419" s="131">
        <f t="shared" ref="D419:Q419" si="132">SUM(D412:D417)</f>
        <v>754</v>
      </c>
      <c r="E419" s="131">
        <f t="shared" si="132"/>
        <v>1037</v>
      </c>
      <c r="F419" s="132">
        <f t="shared" si="132"/>
        <v>230.214</v>
      </c>
      <c r="G419" s="132">
        <f t="shared" si="132"/>
        <v>169</v>
      </c>
      <c r="H419" s="132">
        <f t="shared" si="132"/>
        <v>0</v>
      </c>
      <c r="I419" s="132">
        <f t="shared" si="132"/>
        <v>0</v>
      </c>
      <c r="J419" s="132">
        <f t="shared" si="132"/>
        <v>0</v>
      </c>
      <c r="K419" s="132">
        <f t="shared" si="132"/>
        <v>168</v>
      </c>
      <c r="L419" s="132">
        <f t="shared" si="132"/>
        <v>0</v>
      </c>
      <c r="M419" s="132">
        <f t="shared" si="132"/>
        <v>0</v>
      </c>
      <c r="N419" s="132">
        <f t="shared" si="132"/>
        <v>0</v>
      </c>
      <c r="O419" s="132">
        <f t="shared" si="132"/>
        <v>0</v>
      </c>
      <c r="P419" s="132">
        <f t="shared" si="132"/>
        <v>160</v>
      </c>
      <c r="Q419" s="132">
        <f t="shared" si="132"/>
        <v>160</v>
      </c>
    </row>
    <row r="420" spans="1:17" ht="12.75" customHeight="1" x14ac:dyDescent="0.2">
      <c r="A420" s="133" t="s">
        <v>42</v>
      </c>
      <c r="B420" s="67"/>
      <c r="C420" s="68"/>
      <c r="D420" s="69"/>
      <c r="E420" s="69"/>
      <c r="F420" s="70"/>
      <c r="G420" s="69"/>
      <c r="H420" s="69"/>
      <c r="I420" s="69"/>
      <c r="J420" s="69"/>
      <c r="K420" s="69"/>
      <c r="L420" s="70"/>
      <c r="M420" s="114"/>
      <c r="N420" s="72"/>
      <c r="O420" s="72"/>
      <c r="P420" s="73"/>
      <c r="Q420" s="115"/>
    </row>
    <row r="421" spans="1:17" ht="12.75" customHeight="1" x14ac:dyDescent="0.2">
      <c r="A421" s="272"/>
      <c r="B421" s="154"/>
      <c r="C421" s="155"/>
      <c r="D421" s="156"/>
      <c r="E421" s="156"/>
      <c r="F421" s="157"/>
      <c r="G421" s="156"/>
      <c r="H421" s="156"/>
      <c r="I421" s="156"/>
      <c r="J421" s="156"/>
      <c r="K421" s="156"/>
      <c r="L421" s="158"/>
      <c r="M421" s="88"/>
      <c r="N421" s="89"/>
      <c r="O421" s="89"/>
      <c r="P421" s="83" t="s">
        <v>43</v>
      </c>
      <c r="Q421" s="122">
        <f>Q419</f>
        <v>160</v>
      </c>
    </row>
    <row r="422" spans="1:17" ht="12.75" customHeight="1" x14ac:dyDescent="0.2">
      <c r="A422" s="85"/>
      <c r="B422" s="86"/>
      <c r="C422" s="87"/>
      <c r="D422" s="88"/>
      <c r="E422" s="88"/>
      <c r="F422" s="89"/>
      <c r="G422" s="88"/>
      <c r="H422" s="88"/>
      <c r="I422" s="88"/>
      <c r="J422" s="88"/>
      <c r="K422" s="88"/>
      <c r="L422" s="89"/>
      <c r="M422" s="88"/>
      <c r="N422" s="89"/>
      <c r="O422" s="89"/>
      <c r="P422" s="81"/>
      <c r="Q422" s="9"/>
    </row>
    <row r="423" spans="1:17" ht="12.75" customHeight="1" x14ac:dyDescent="0.2">
      <c r="A423" s="90"/>
      <c r="B423" s="91" t="s">
        <v>160</v>
      </c>
      <c r="C423" s="92"/>
      <c r="D423" s="46"/>
      <c r="E423" s="46"/>
      <c r="G423" s="46"/>
      <c r="H423" s="46"/>
      <c r="I423" s="93"/>
      <c r="J423" s="93"/>
      <c r="K423" s="46"/>
      <c r="M423" s="46"/>
      <c r="P423" s="94"/>
    </row>
    <row r="424" spans="1:17" ht="12.75" customHeight="1" x14ac:dyDescent="0.2">
      <c r="A424" s="90"/>
      <c r="B424" s="95"/>
      <c r="C424" s="96"/>
      <c r="D424" s="46"/>
      <c r="E424" s="46"/>
      <c r="G424" s="46"/>
      <c r="H424" s="46"/>
      <c r="I424" s="93"/>
      <c r="J424" s="93"/>
      <c r="K424" s="46"/>
      <c r="M424" s="46"/>
      <c r="P424" s="94"/>
      <c r="Q424" s="199"/>
    </row>
    <row r="425" spans="1:17" ht="12.75" customHeight="1" x14ac:dyDescent="0.2">
      <c r="A425" s="43"/>
      <c r="B425" s="44"/>
      <c r="C425" s="45"/>
      <c r="D425" s="48"/>
      <c r="E425" s="48"/>
      <c r="F425" s="47"/>
      <c r="G425" s="48"/>
      <c r="H425" s="48"/>
      <c r="I425" s="100"/>
      <c r="J425" s="100"/>
      <c r="K425" s="48"/>
      <c r="L425" s="49"/>
      <c r="M425" s="48"/>
      <c r="N425" s="49"/>
      <c r="O425" s="49"/>
      <c r="P425" s="50"/>
      <c r="Q425" s="200"/>
    </row>
    <row r="426" spans="1:17" s="53" customFormat="1" ht="12.75" customHeight="1" x14ac:dyDescent="0.2">
      <c r="A426" s="1">
        <v>31104</v>
      </c>
      <c r="B426" s="52">
        <v>4</v>
      </c>
      <c r="C426" s="57" t="s">
        <v>162</v>
      </c>
      <c r="D426" s="53">
        <v>48</v>
      </c>
      <c r="E426" s="53">
        <v>67</v>
      </c>
      <c r="F426" s="10">
        <f>E426*0.666*24/72</f>
        <v>14.873999999999999</v>
      </c>
      <c r="G426" s="94">
        <v>9</v>
      </c>
      <c r="H426" s="94">
        <v>0</v>
      </c>
      <c r="I426" s="54">
        <v>0</v>
      </c>
      <c r="J426" s="54">
        <v>0</v>
      </c>
      <c r="K426" s="94">
        <v>9</v>
      </c>
      <c r="L426" s="10">
        <v>0</v>
      </c>
      <c r="M426" s="94"/>
      <c r="N426" s="10">
        <f t="shared" ref="N426:N430" si="133">ROUND((+F426*M426)/100,0)</f>
        <v>0</v>
      </c>
      <c r="O426" s="10">
        <v>0</v>
      </c>
      <c r="P426" s="94">
        <v>9</v>
      </c>
      <c r="Q426" s="143">
        <f t="shared" ref="Q426:Q430" si="134">+P426</f>
        <v>9</v>
      </c>
    </row>
    <row r="427" spans="1:17" s="53" customFormat="1" ht="12.75" customHeight="1" x14ac:dyDescent="0.2">
      <c r="A427" s="1">
        <v>120281</v>
      </c>
      <c r="B427" s="52">
        <v>9</v>
      </c>
      <c r="C427" s="57" t="s">
        <v>161</v>
      </c>
      <c r="D427" s="53">
        <v>275</v>
      </c>
      <c r="E427" s="53">
        <v>379</v>
      </c>
      <c r="F427" s="10">
        <f>E427*0.666*24/72</f>
        <v>84.138000000000005</v>
      </c>
      <c r="G427" s="94">
        <v>58</v>
      </c>
      <c r="H427" s="94">
        <v>0</v>
      </c>
      <c r="I427" s="54">
        <v>0</v>
      </c>
      <c r="J427" s="54">
        <v>0</v>
      </c>
      <c r="K427" s="94">
        <v>60</v>
      </c>
      <c r="L427" s="10">
        <v>0</v>
      </c>
      <c r="M427" s="94"/>
      <c r="N427" s="10">
        <f t="shared" si="133"/>
        <v>0</v>
      </c>
      <c r="O427" s="10">
        <v>0</v>
      </c>
      <c r="P427" s="94">
        <v>60</v>
      </c>
      <c r="Q427" s="143">
        <f t="shared" si="134"/>
        <v>60</v>
      </c>
    </row>
    <row r="428" spans="1:17" s="53" customFormat="1" ht="12.75" customHeight="1" x14ac:dyDescent="0.2">
      <c r="A428" s="312">
        <v>394102</v>
      </c>
      <c r="B428" s="313">
        <v>54</v>
      </c>
      <c r="C428" s="314" t="s">
        <v>396</v>
      </c>
      <c r="D428" s="53">
        <v>51</v>
      </c>
      <c r="E428" s="53">
        <v>71</v>
      </c>
      <c r="F428" s="10">
        <f>E428*0.666*24/72</f>
        <v>15.762</v>
      </c>
      <c r="G428" s="94">
        <v>0</v>
      </c>
      <c r="H428" s="94">
        <v>0</v>
      </c>
      <c r="I428" s="54">
        <v>0</v>
      </c>
      <c r="J428" s="54">
        <v>0</v>
      </c>
      <c r="K428" s="94">
        <v>0</v>
      </c>
      <c r="L428" s="10">
        <v>0</v>
      </c>
      <c r="M428" s="94"/>
      <c r="N428" s="10">
        <f t="shared" ref="N428" si="135">ROUND((+F428*M428)/100,0)</f>
        <v>0</v>
      </c>
      <c r="O428" s="10">
        <v>0</v>
      </c>
      <c r="P428" s="94">
        <v>20</v>
      </c>
      <c r="Q428" s="143">
        <f t="shared" ref="Q428" si="136">+P428</f>
        <v>20</v>
      </c>
    </row>
    <row r="429" spans="1:17" s="53" customFormat="1" ht="12.75" customHeight="1" x14ac:dyDescent="0.2">
      <c r="A429" s="1">
        <v>437101</v>
      </c>
      <c r="B429" s="52">
        <v>6</v>
      </c>
      <c r="C429" s="57" t="s">
        <v>291</v>
      </c>
      <c r="D429" s="53">
        <v>41</v>
      </c>
      <c r="E429" s="53">
        <v>51</v>
      </c>
      <c r="F429" s="10">
        <f>E429*0.666*24/72</f>
        <v>11.321999999999999</v>
      </c>
      <c r="G429" s="94">
        <v>8</v>
      </c>
      <c r="H429" s="94">
        <v>0</v>
      </c>
      <c r="I429" s="54">
        <v>0</v>
      </c>
      <c r="J429" s="54">
        <v>0</v>
      </c>
      <c r="K429" s="94">
        <v>7</v>
      </c>
      <c r="L429" s="10">
        <v>0</v>
      </c>
      <c r="M429" s="94"/>
      <c r="N429" s="10">
        <f t="shared" si="133"/>
        <v>0</v>
      </c>
      <c r="O429" s="10">
        <v>0</v>
      </c>
      <c r="P429" s="94">
        <v>7</v>
      </c>
      <c r="Q429" s="143">
        <f t="shared" si="134"/>
        <v>7</v>
      </c>
    </row>
    <row r="430" spans="1:17" s="53" customFormat="1" ht="12.75" customHeight="1" x14ac:dyDescent="0.2">
      <c r="A430" s="1">
        <v>437102</v>
      </c>
      <c r="B430" s="52">
        <v>110</v>
      </c>
      <c r="C430" s="57" t="s">
        <v>332</v>
      </c>
      <c r="D430" s="53">
        <v>63</v>
      </c>
      <c r="E430" s="53">
        <v>75</v>
      </c>
      <c r="F430" s="10"/>
      <c r="G430" s="94">
        <v>11</v>
      </c>
      <c r="H430" s="94">
        <v>0</v>
      </c>
      <c r="I430" s="54">
        <v>0</v>
      </c>
      <c r="J430" s="54">
        <v>0</v>
      </c>
      <c r="K430" s="94">
        <v>11</v>
      </c>
      <c r="L430" s="10">
        <v>0</v>
      </c>
      <c r="M430" s="94"/>
      <c r="N430" s="10">
        <f t="shared" si="133"/>
        <v>0</v>
      </c>
      <c r="O430" s="10">
        <v>0</v>
      </c>
      <c r="P430" s="94">
        <v>11</v>
      </c>
      <c r="Q430" s="143">
        <f t="shared" si="134"/>
        <v>11</v>
      </c>
    </row>
    <row r="431" spans="1:17" ht="12.75" customHeight="1" x14ac:dyDescent="0.2">
      <c r="A431" s="75"/>
      <c r="B431" s="59"/>
      <c r="C431" s="60"/>
      <c r="D431" s="148"/>
      <c r="E431" s="148"/>
      <c r="F431" s="79"/>
      <c r="G431" s="62"/>
      <c r="H431" s="148"/>
      <c r="I431" s="62"/>
      <c r="J431" s="62"/>
      <c r="K431" s="62"/>
      <c r="L431" s="61"/>
      <c r="M431" s="148"/>
      <c r="N431" s="61"/>
      <c r="O431" s="61"/>
      <c r="P431" s="62"/>
      <c r="Q431" s="223"/>
    </row>
    <row r="432" spans="1:17" ht="12.75" customHeight="1" x14ac:dyDescent="0.2">
      <c r="A432" s="109" t="s">
        <v>41</v>
      </c>
      <c r="B432" s="110"/>
      <c r="C432" s="111">
        <f>COUNTA(A426:A430)</f>
        <v>5</v>
      </c>
      <c r="D432" s="131">
        <f t="shared" ref="D432:Q432" si="137">SUM(D426:D430)</f>
        <v>478</v>
      </c>
      <c r="E432" s="131">
        <f t="shared" si="137"/>
        <v>643</v>
      </c>
      <c r="F432" s="132">
        <f t="shared" si="137"/>
        <v>126.096</v>
      </c>
      <c r="G432" s="132">
        <f t="shared" si="137"/>
        <v>86</v>
      </c>
      <c r="H432" s="132">
        <f t="shared" si="137"/>
        <v>0</v>
      </c>
      <c r="I432" s="132">
        <f t="shared" si="137"/>
        <v>0</v>
      </c>
      <c r="J432" s="132">
        <f t="shared" si="137"/>
        <v>0</v>
      </c>
      <c r="K432" s="132">
        <f t="shared" si="137"/>
        <v>87</v>
      </c>
      <c r="L432" s="132">
        <f t="shared" si="137"/>
        <v>0</v>
      </c>
      <c r="M432" s="132">
        <f t="shared" si="137"/>
        <v>0</v>
      </c>
      <c r="N432" s="132">
        <f t="shared" si="137"/>
        <v>0</v>
      </c>
      <c r="O432" s="132">
        <f t="shared" si="137"/>
        <v>0</v>
      </c>
      <c r="P432" s="132">
        <f t="shared" si="137"/>
        <v>107</v>
      </c>
      <c r="Q432" s="132">
        <f t="shared" si="137"/>
        <v>107</v>
      </c>
    </row>
    <row r="433" spans="1:17" ht="12.75" customHeight="1" x14ac:dyDescent="0.2">
      <c r="A433" s="133" t="s">
        <v>47</v>
      </c>
      <c r="B433" s="67"/>
      <c r="C433" s="68"/>
      <c r="D433" s="69"/>
      <c r="E433" s="69"/>
      <c r="F433" s="70"/>
      <c r="G433" s="69"/>
      <c r="H433" s="69"/>
      <c r="I433" s="69"/>
      <c r="J433" s="69"/>
      <c r="K433" s="69"/>
      <c r="L433" s="70"/>
      <c r="M433" s="114"/>
      <c r="N433" s="72"/>
      <c r="O433" s="72"/>
      <c r="P433" s="73"/>
      <c r="Q433" s="115"/>
    </row>
    <row r="434" spans="1:17" ht="12.75" customHeight="1" x14ac:dyDescent="0.2">
      <c r="A434" s="173"/>
      <c r="B434" s="76"/>
      <c r="C434" s="77"/>
      <c r="D434" s="78"/>
      <c r="E434" s="78"/>
      <c r="F434" s="79"/>
      <c r="G434" s="78"/>
      <c r="H434" s="78"/>
      <c r="I434" s="78"/>
      <c r="J434" s="78"/>
      <c r="K434" s="78"/>
      <c r="L434" s="80"/>
      <c r="M434" s="81"/>
      <c r="N434" s="82"/>
      <c r="O434" s="82"/>
      <c r="P434" s="83" t="s">
        <v>43</v>
      </c>
      <c r="Q434" s="84">
        <f>Q432</f>
        <v>107</v>
      </c>
    </row>
    <row r="435" spans="1:17" ht="12.75" customHeight="1" x14ac:dyDescent="0.2">
      <c r="A435" s="123"/>
      <c r="B435" s="86"/>
      <c r="C435" s="87"/>
      <c r="D435" s="88"/>
      <c r="E435" s="88"/>
      <c r="F435" s="89"/>
      <c r="H435" s="88"/>
      <c r="I435" s="88"/>
      <c r="J435" s="88"/>
      <c r="K435" s="88"/>
      <c r="L435" s="89"/>
      <c r="M435" s="88"/>
      <c r="N435" s="89"/>
      <c r="O435" s="89"/>
      <c r="P435" s="81"/>
      <c r="Q435" s="9"/>
    </row>
    <row r="436" spans="1:17" ht="12.75" customHeight="1" x14ac:dyDescent="0.2">
      <c r="A436" s="90"/>
      <c r="B436" s="91" t="s">
        <v>163</v>
      </c>
      <c r="C436" s="92"/>
      <c r="D436" s="46"/>
      <c r="E436" s="46"/>
      <c r="G436" s="46"/>
      <c r="H436" s="46"/>
      <c r="I436" s="93"/>
      <c r="J436" s="93"/>
      <c r="K436" s="46"/>
      <c r="M436" s="46"/>
      <c r="P436" s="94"/>
    </row>
    <row r="437" spans="1:17" ht="12.75" customHeight="1" x14ac:dyDescent="0.2">
      <c r="A437" s="281"/>
      <c r="B437" s="52"/>
      <c r="C437" s="57"/>
      <c r="D437" s="94"/>
      <c r="E437" s="94"/>
      <c r="F437" s="139"/>
      <c r="G437" s="94"/>
      <c r="H437" s="94"/>
      <c r="I437" s="127"/>
      <c r="J437" s="127"/>
      <c r="K437" s="94"/>
      <c r="L437" s="10"/>
      <c r="M437" s="94"/>
      <c r="N437" s="10"/>
      <c r="O437" s="10"/>
      <c r="P437" s="94"/>
      <c r="Q437" s="301"/>
    </row>
    <row r="438" spans="1:17" ht="12.75" customHeight="1" x14ac:dyDescent="0.2">
      <c r="A438" s="140"/>
      <c r="B438" s="141"/>
      <c r="C438" s="142"/>
      <c r="D438" s="50"/>
      <c r="E438" s="50"/>
      <c r="F438" s="70"/>
      <c r="G438" s="50"/>
      <c r="H438" s="50"/>
      <c r="I438" s="302"/>
      <c r="J438" s="302"/>
      <c r="K438" s="50"/>
      <c r="L438" s="303"/>
      <c r="M438" s="50"/>
      <c r="N438" s="303"/>
      <c r="O438" s="303"/>
      <c r="P438" s="50"/>
      <c r="Q438" s="304"/>
    </row>
    <row r="439" spans="1:17" ht="12.75" customHeight="1" x14ac:dyDescent="0.2">
      <c r="A439" s="1">
        <v>42101</v>
      </c>
      <c r="B439" s="52">
        <v>14</v>
      </c>
      <c r="C439" s="57" t="s">
        <v>164</v>
      </c>
      <c r="D439" s="53">
        <v>141</v>
      </c>
      <c r="E439" s="53">
        <v>205</v>
      </c>
      <c r="F439" s="10">
        <f t="shared" ref="F439:F449" si="138">E439*0.666*24/72</f>
        <v>45.510000000000005</v>
      </c>
      <c r="G439" s="94">
        <v>30</v>
      </c>
      <c r="H439" s="94">
        <v>0</v>
      </c>
      <c r="I439" s="54">
        <v>0</v>
      </c>
      <c r="J439" s="54">
        <v>0</v>
      </c>
      <c r="K439" s="94">
        <v>30</v>
      </c>
      <c r="L439" s="10">
        <v>0</v>
      </c>
      <c r="M439" s="94"/>
      <c r="N439" s="10">
        <f t="shared" ref="N439:N449" si="139">ROUND((+F439*M439)/100,0)</f>
        <v>0</v>
      </c>
      <c r="O439" s="10">
        <f t="shared" ref="O439:O446" si="140">IF(L439&gt;N439,+L439-N439,0)</f>
        <v>0</v>
      </c>
      <c r="P439" s="94">
        <v>35</v>
      </c>
      <c r="Q439" s="143">
        <f t="shared" ref="Q439:Q446" si="141">+P439</f>
        <v>35</v>
      </c>
    </row>
    <row r="440" spans="1:17" ht="12.75" customHeight="1" x14ac:dyDescent="0.2">
      <c r="A440" s="1">
        <v>42102</v>
      </c>
      <c r="B440" s="52">
        <v>9</v>
      </c>
      <c r="C440" s="57" t="s">
        <v>370</v>
      </c>
      <c r="D440" s="53">
        <v>72</v>
      </c>
      <c r="E440" s="53">
        <v>88</v>
      </c>
      <c r="F440" s="10">
        <f t="shared" ref="F440" si="142">E440*0.666*24/72</f>
        <v>19.536000000000001</v>
      </c>
      <c r="G440" s="94">
        <v>22</v>
      </c>
      <c r="H440" s="94">
        <v>0</v>
      </c>
      <c r="I440" s="54">
        <v>0</v>
      </c>
      <c r="J440" s="54">
        <v>0</v>
      </c>
      <c r="K440" s="94">
        <v>22</v>
      </c>
      <c r="L440" s="10">
        <v>0</v>
      </c>
      <c r="M440" s="94"/>
      <c r="N440" s="10">
        <f t="shared" ref="N440" si="143">ROUND((+F440*M440)/100,0)</f>
        <v>0</v>
      </c>
      <c r="O440" s="10">
        <f t="shared" ref="O440" si="144">IF(L440&gt;N440,+L440-N440,0)</f>
        <v>0</v>
      </c>
      <c r="P440" s="94">
        <v>22</v>
      </c>
      <c r="Q440" s="143">
        <f t="shared" ref="Q440" si="145">+P440</f>
        <v>22</v>
      </c>
    </row>
    <row r="441" spans="1:17" ht="12.75" customHeight="1" x14ac:dyDescent="0.2">
      <c r="A441" s="1">
        <v>97101</v>
      </c>
      <c r="B441" s="52">
        <v>98</v>
      </c>
      <c r="C441" s="57" t="s">
        <v>348</v>
      </c>
      <c r="D441" s="53">
        <v>51</v>
      </c>
      <c r="E441" s="53">
        <v>64</v>
      </c>
      <c r="F441" s="10">
        <f t="shared" si="138"/>
        <v>14.208000000000002</v>
      </c>
      <c r="G441" s="94">
        <v>10</v>
      </c>
      <c r="H441" s="94">
        <v>0</v>
      </c>
      <c r="I441" s="54">
        <v>0</v>
      </c>
      <c r="J441" s="54">
        <v>0</v>
      </c>
      <c r="K441" s="94">
        <v>0</v>
      </c>
      <c r="L441" s="10">
        <v>0</v>
      </c>
      <c r="M441" s="94"/>
      <c r="N441" s="10">
        <f t="shared" ref="N441" si="146">ROUND((+F441*M441)/100,0)</f>
        <v>0</v>
      </c>
      <c r="O441" s="10">
        <f t="shared" ref="O441" si="147">IF(L441&gt;N441,+L441-N441,0)</f>
        <v>0</v>
      </c>
      <c r="P441" s="94">
        <v>12</v>
      </c>
      <c r="Q441" s="143">
        <f t="shared" si="141"/>
        <v>12</v>
      </c>
    </row>
    <row r="442" spans="1:17" ht="12.75" customHeight="1" x14ac:dyDescent="0.2">
      <c r="A442" s="1">
        <v>120576</v>
      </c>
      <c r="B442" s="52">
        <v>16</v>
      </c>
      <c r="C442" s="57" t="s">
        <v>261</v>
      </c>
      <c r="D442" s="53">
        <v>99</v>
      </c>
      <c r="E442" s="53">
        <v>127</v>
      </c>
      <c r="F442" s="10">
        <f t="shared" si="138"/>
        <v>28.194000000000003</v>
      </c>
      <c r="G442" s="94">
        <v>15</v>
      </c>
      <c r="H442" s="94">
        <v>0</v>
      </c>
      <c r="I442" s="54">
        <v>0</v>
      </c>
      <c r="J442" s="54">
        <v>0</v>
      </c>
      <c r="K442" s="94">
        <v>16</v>
      </c>
      <c r="L442" s="10">
        <v>0</v>
      </c>
      <c r="M442" s="94"/>
      <c r="N442" s="10">
        <f t="shared" si="139"/>
        <v>0</v>
      </c>
      <c r="O442" s="10">
        <f t="shared" si="140"/>
        <v>0</v>
      </c>
      <c r="P442" s="94">
        <v>18</v>
      </c>
      <c r="Q442" s="143">
        <f t="shared" si="141"/>
        <v>18</v>
      </c>
    </row>
    <row r="443" spans="1:17" ht="12.75" customHeight="1" x14ac:dyDescent="0.2">
      <c r="A443" s="1">
        <v>173101</v>
      </c>
      <c r="B443" s="52">
        <v>12</v>
      </c>
      <c r="C443" s="57" t="s">
        <v>354</v>
      </c>
      <c r="D443" s="53">
        <v>84</v>
      </c>
      <c r="E443" s="53">
        <v>119</v>
      </c>
      <c r="F443" s="10">
        <f t="shared" ref="F443" si="148">E443*0.666*24/72</f>
        <v>26.417999999999999</v>
      </c>
      <c r="G443" s="94">
        <v>15</v>
      </c>
      <c r="H443" s="94">
        <v>0</v>
      </c>
      <c r="I443" s="54">
        <v>0</v>
      </c>
      <c r="J443" s="54">
        <v>0</v>
      </c>
      <c r="K443" s="94">
        <v>22</v>
      </c>
      <c r="L443" s="10">
        <v>0</v>
      </c>
      <c r="M443" s="94"/>
      <c r="N443" s="10">
        <f t="shared" ref="N443" si="149">ROUND((+F443*M443)/100,0)</f>
        <v>0</v>
      </c>
      <c r="O443" s="10">
        <f t="shared" ref="O443" si="150">IF(L443&gt;N443,+L443-N443,0)</f>
        <v>0</v>
      </c>
      <c r="P443" s="94">
        <v>22</v>
      </c>
      <c r="Q443" s="143">
        <f t="shared" ref="Q443" si="151">+P443</f>
        <v>22</v>
      </c>
    </row>
    <row r="444" spans="1:17" ht="12.75" customHeight="1" x14ac:dyDescent="0.2">
      <c r="A444" s="1">
        <v>247101</v>
      </c>
      <c r="B444" s="52">
        <v>1</v>
      </c>
      <c r="C444" s="57" t="s">
        <v>236</v>
      </c>
      <c r="D444" s="53">
        <v>53</v>
      </c>
      <c r="E444" s="53">
        <v>74</v>
      </c>
      <c r="F444" s="10">
        <f t="shared" si="138"/>
        <v>16.428000000000004</v>
      </c>
      <c r="G444" s="94">
        <v>15</v>
      </c>
      <c r="H444" s="94">
        <v>0</v>
      </c>
      <c r="I444" s="54">
        <v>0</v>
      </c>
      <c r="J444" s="54">
        <v>0</v>
      </c>
      <c r="K444" s="94">
        <v>0</v>
      </c>
      <c r="L444" s="10">
        <v>0</v>
      </c>
      <c r="M444" s="94"/>
      <c r="N444" s="10">
        <f>ROUND((+F444*M444)/100,0)</f>
        <v>0</v>
      </c>
      <c r="O444" s="10">
        <f t="shared" si="140"/>
        <v>0</v>
      </c>
      <c r="P444" s="94">
        <v>16</v>
      </c>
      <c r="Q444" s="143">
        <f t="shared" si="141"/>
        <v>16</v>
      </c>
    </row>
    <row r="445" spans="1:17" ht="12.75" customHeight="1" x14ac:dyDescent="0.2">
      <c r="A445" s="1">
        <v>262103</v>
      </c>
      <c r="B445" s="52">
        <v>39</v>
      </c>
      <c r="C445" s="57" t="s">
        <v>165</v>
      </c>
      <c r="D445" s="53">
        <v>24</v>
      </c>
      <c r="E445" s="53">
        <v>34</v>
      </c>
      <c r="F445" s="10">
        <f t="shared" si="138"/>
        <v>7.548</v>
      </c>
      <c r="G445" s="94">
        <v>4</v>
      </c>
      <c r="H445" s="94">
        <v>0</v>
      </c>
      <c r="I445" s="54">
        <v>0</v>
      </c>
      <c r="J445" s="54">
        <v>0</v>
      </c>
      <c r="K445" s="94">
        <v>6</v>
      </c>
      <c r="L445" s="10">
        <v>0</v>
      </c>
      <c r="M445" s="94"/>
      <c r="N445" s="10">
        <f t="shared" si="139"/>
        <v>0</v>
      </c>
      <c r="O445" s="10">
        <f t="shared" si="140"/>
        <v>0</v>
      </c>
      <c r="P445" s="94">
        <v>7</v>
      </c>
      <c r="Q445" s="143">
        <f t="shared" si="141"/>
        <v>7</v>
      </c>
    </row>
    <row r="446" spans="1:17" ht="12.75" customHeight="1" x14ac:dyDescent="0.2">
      <c r="A446" s="1">
        <v>419101</v>
      </c>
      <c r="B446" s="52">
        <v>4</v>
      </c>
      <c r="C446" s="57" t="s">
        <v>237</v>
      </c>
      <c r="D446" s="53">
        <v>19</v>
      </c>
      <c r="E446" s="53">
        <v>31</v>
      </c>
      <c r="F446" s="10">
        <f t="shared" si="138"/>
        <v>6.8820000000000006</v>
      </c>
      <c r="G446" s="94">
        <v>3</v>
      </c>
      <c r="H446" s="94">
        <v>0</v>
      </c>
      <c r="I446" s="54">
        <v>0</v>
      </c>
      <c r="J446" s="54">
        <v>0</v>
      </c>
      <c r="K446" s="94">
        <v>6</v>
      </c>
      <c r="L446" s="10">
        <v>0</v>
      </c>
      <c r="M446" s="94"/>
      <c r="N446" s="10">
        <f t="shared" si="139"/>
        <v>0</v>
      </c>
      <c r="O446" s="10">
        <f t="shared" si="140"/>
        <v>0</v>
      </c>
      <c r="P446" s="94">
        <v>5</v>
      </c>
      <c r="Q446" s="143">
        <f t="shared" si="141"/>
        <v>5</v>
      </c>
    </row>
    <row r="447" spans="1:17" ht="12.75" customHeight="1" x14ac:dyDescent="0.2">
      <c r="A447" s="1">
        <v>458101</v>
      </c>
      <c r="B447" s="52">
        <v>21</v>
      </c>
      <c r="C447" s="57" t="s">
        <v>284</v>
      </c>
      <c r="D447" s="53">
        <v>26</v>
      </c>
      <c r="E447" s="53">
        <v>40</v>
      </c>
      <c r="F447" s="10">
        <f t="shared" si="138"/>
        <v>8.8800000000000008</v>
      </c>
      <c r="G447" s="94">
        <v>5</v>
      </c>
      <c r="H447" s="94">
        <v>0</v>
      </c>
      <c r="I447" s="54">
        <v>0</v>
      </c>
      <c r="J447" s="54">
        <v>0</v>
      </c>
      <c r="K447" s="94">
        <v>6</v>
      </c>
      <c r="L447" s="10">
        <v>0</v>
      </c>
      <c r="M447" s="94"/>
      <c r="N447" s="10">
        <f>ROUND((+F447*M447)/100,0)</f>
        <v>0</v>
      </c>
      <c r="O447" s="10">
        <f>IF(L447&gt;N447,+L447-N447,0)</f>
        <v>0</v>
      </c>
      <c r="P447" s="94">
        <v>7</v>
      </c>
      <c r="Q447" s="143">
        <f>+P447</f>
        <v>7</v>
      </c>
    </row>
    <row r="448" spans="1:17" ht="12.75" customHeight="1" x14ac:dyDescent="0.2">
      <c r="A448" s="1">
        <v>473101</v>
      </c>
      <c r="B448" s="52">
        <v>19</v>
      </c>
      <c r="C448" s="57" t="s">
        <v>166</v>
      </c>
      <c r="D448" s="53">
        <v>48</v>
      </c>
      <c r="E448" s="53">
        <v>64</v>
      </c>
      <c r="F448" s="10">
        <f t="shared" si="138"/>
        <v>14.208000000000002</v>
      </c>
      <c r="G448" s="94">
        <v>8</v>
      </c>
      <c r="H448" s="94">
        <v>0</v>
      </c>
      <c r="I448" s="54">
        <v>0</v>
      </c>
      <c r="J448" s="54">
        <v>0</v>
      </c>
      <c r="K448" s="94">
        <v>11</v>
      </c>
      <c r="L448" s="10">
        <v>0</v>
      </c>
      <c r="M448" s="94"/>
      <c r="N448" s="10">
        <f t="shared" si="139"/>
        <v>0</v>
      </c>
      <c r="O448" s="10">
        <v>0</v>
      </c>
      <c r="P448" s="94">
        <v>12</v>
      </c>
      <c r="Q448" s="143">
        <f>P448</f>
        <v>12</v>
      </c>
    </row>
    <row r="449" spans="1:17" ht="12.75" customHeight="1" x14ac:dyDescent="0.2">
      <c r="A449" s="1">
        <v>541101</v>
      </c>
      <c r="B449" s="52">
        <v>17</v>
      </c>
      <c r="C449" s="57" t="s">
        <v>167</v>
      </c>
      <c r="D449" s="53">
        <v>59</v>
      </c>
      <c r="E449" s="53">
        <v>76</v>
      </c>
      <c r="F449" s="10">
        <f t="shared" si="138"/>
        <v>16.872</v>
      </c>
      <c r="G449" s="54">
        <v>10</v>
      </c>
      <c r="H449" s="94">
        <v>0</v>
      </c>
      <c r="I449" s="54">
        <v>0</v>
      </c>
      <c r="J449" s="54">
        <v>0</v>
      </c>
      <c r="K449" s="54">
        <v>10</v>
      </c>
      <c r="L449" s="10">
        <v>0</v>
      </c>
      <c r="M449" s="94"/>
      <c r="N449" s="10">
        <f t="shared" si="139"/>
        <v>0</v>
      </c>
      <c r="O449" s="10">
        <v>0</v>
      </c>
      <c r="P449" s="54">
        <v>10</v>
      </c>
      <c r="Q449" s="143">
        <f>P449</f>
        <v>10</v>
      </c>
    </row>
    <row r="450" spans="1:17" ht="12.75" customHeight="1" x14ac:dyDescent="0.2">
      <c r="A450" s="75"/>
      <c r="B450" s="59"/>
      <c r="C450" s="60"/>
      <c r="D450" s="148"/>
      <c r="E450" s="148"/>
      <c r="F450" s="79"/>
      <c r="G450" s="62"/>
      <c r="H450" s="148"/>
      <c r="I450" s="62"/>
      <c r="J450" s="62"/>
      <c r="K450" s="62"/>
      <c r="L450" s="61"/>
      <c r="M450" s="148"/>
      <c r="N450" s="61"/>
      <c r="O450" s="61"/>
      <c r="P450" s="62"/>
      <c r="Q450" s="80"/>
    </row>
    <row r="451" spans="1:17" ht="12.75" customHeight="1" x14ac:dyDescent="0.2">
      <c r="A451" s="305" t="s">
        <v>41</v>
      </c>
      <c r="B451" s="306"/>
      <c r="C451" s="307">
        <f>COUNTA(A439:A449)</f>
        <v>11</v>
      </c>
      <c r="D451" s="308">
        <f t="shared" ref="D451:Q451" si="152">SUM(D439:D449)</f>
        <v>676</v>
      </c>
      <c r="E451" s="308">
        <f t="shared" si="152"/>
        <v>922</v>
      </c>
      <c r="F451" s="72">
        <f t="shared" si="152"/>
        <v>204.68400000000003</v>
      </c>
      <c r="G451" s="72">
        <f t="shared" si="152"/>
        <v>137</v>
      </c>
      <c r="H451" s="72">
        <f t="shared" si="152"/>
        <v>0</v>
      </c>
      <c r="I451" s="72">
        <f t="shared" si="152"/>
        <v>0</v>
      </c>
      <c r="J451" s="72">
        <f t="shared" si="152"/>
        <v>0</v>
      </c>
      <c r="K451" s="72">
        <f t="shared" si="152"/>
        <v>129</v>
      </c>
      <c r="L451" s="72">
        <f t="shared" si="152"/>
        <v>0</v>
      </c>
      <c r="M451" s="72">
        <f t="shared" si="152"/>
        <v>0</v>
      </c>
      <c r="N451" s="72">
        <f t="shared" si="152"/>
        <v>0</v>
      </c>
      <c r="O451" s="72">
        <f t="shared" si="152"/>
        <v>0</v>
      </c>
      <c r="P451" s="72">
        <f t="shared" si="152"/>
        <v>166</v>
      </c>
      <c r="Q451" s="72">
        <f t="shared" si="152"/>
        <v>166</v>
      </c>
    </row>
    <row r="452" spans="1:17" ht="12.75" customHeight="1" x14ac:dyDescent="0.2">
      <c r="A452" s="133" t="s">
        <v>47</v>
      </c>
      <c r="B452" s="67"/>
      <c r="C452" s="68"/>
      <c r="D452" s="69"/>
      <c r="E452" s="69"/>
      <c r="F452" s="70"/>
      <c r="G452" s="69"/>
      <c r="H452" s="69"/>
      <c r="I452" s="69"/>
      <c r="J452" s="69"/>
      <c r="K452" s="69"/>
      <c r="L452" s="70"/>
      <c r="M452" s="114"/>
      <c r="N452" s="72"/>
      <c r="O452" s="72"/>
      <c r="P452" s="73"/>
      <c r="Q452" s="115"/>
    </row>
    <row r="453" spans="1:17" ht="12.75" customHeight="1" x14ac:dyDescent="0.2">
      <c r="A453" s="75"/>
      <c r="B453" s="293"/>
      <c r="C453" s="293"/>
      <c r="D453" s="293"/>
      <c r="E453" s="293"/>
      <c r="F453" s="293"/>
      <c r="G453" s="293"/>
      <c r="H453" s="293"/>
      <c r="I453" s="293"/>
      <c r="J453" s="293"/>
      <c r="K453" s="293"/>
      <c r="L453" s="309"/>
      <c r="M453" s="81"/>
      <c r="N453" s="82"/>
      <c r="O453" s="82"/>
      <c r="P453" s="83" t="s">
        <v>43</v>
      </c>
      <c r="Q453" s="84">
        <f>Q451</f>
        <v>166</v>
      </c>
    </row>
    <row r="454" spans="1:17" ht="12.75" customHeight="1" x14ac:dyDescent="0.2">
      <c r="A454" s="123"/>
      <c r="B454" s="86"/>
      <c r="C454" s="87"/>
      <c r="D454" s="88"/>
      <c r="E454" s="88"/>
      <c r="F454" s="89"/>
      <c r="G454" s="88"/>
      <c r="H454" s="88"/>
      <c r="I454" s="88"/>
      <c r="J454" s="88"/>
      <c r="K454" s="88"/>
      <c r="L454" s="89"/>
      <c r="M454" s="88"/>
      <c r="N454" s="89"/>
      <c r="O454" s="89"/>
      <c r="P454" s="81"/>
      <c r="Q454" s="9"/>
    </row>
    <row r="455" spans="1:17" ht="12.75" customHeight="1" x14ac:dyDescent="0.2">
      <c r="A455" s="90"/>
      <c r="B455" s="91" t="s">
        <v>168</v>
      </c>
      <c r="C455" s="92"/>
      <c r="D455" s="124"/>
      <c r="E455" s="46"/>
      <c r="G455" s="46"/>
      <c r="H455" s="46"/>
      <c r="I455" s="93"/>
      <c r="J455" s="93"/>
      <c r="K455" s="46"/>
      <c r="M455" s="46"/>
      <c r="P455" s="94"/>
    </row>
    <row r="456" spans="1:17" ht="12.75" customHeight="1" x14ac:dyDescent="0.2">
      <c r="A456" s="90"/>
      <c r="B456" s="95"/>
      <c r="C456" s="96"/>
      <c r="D456" s="46"/>
      <c r="E456" s="46"/>
      <c r="G456" s="46"/>
      <c r="H456" s="46"/>
      <c r="I456" s="93"/>
      <c r="J456" s="93"/>
      <c r="K456" s="46"/>
      <c r="M456" s="46"/>
      <c r="P456" s="94"/>
    </row>
    <row r="457" spans="1:17" ht="12.75" customHeight="1" x14ac:dyDescent="0.2">
      <c r="A457" s="43"/>
      <c r="B457" s="44"/>
      <c r="C457" s="45"/>
      <c r="D457" s="48"/>
      <c r="E457" s="48"/>
      <c r="F457" s="47"/>
      <c r="G457" s="48"/>
      <c r="H457" s="48"/>
      <c r="I457" s="100"/>
      <c r="J457" s="100"/>
      <c r="K457" s="48"/>
      <c r="L457" s="49"/>
      <c r="M457" s="48"/>
      <c r="N457" s="49"/>
      <c r="O457" s="49"/>
      <c r="P457" s="50"/>
      <c r="Q457" s="51"/>
    </row>
    <row r="458" spans="1:17" ht="12.75" customHeight="1" x14ac:dyDescent="0.2">
      <c r="A458" s="1">
        <v>28106</v>
      </c>
      <c r="B458" s="52">
        <v>33</v>
      </c>
      <c r="C458" s="57" t="s">
        <v>169</v>
      </c>
      <c r="D458" s="53">
        <v>32</v>
      </c>
      <c r="E458" s="53">
        <v>46</v>
      </c>
      <c r="F458" s="10">
        <f>E458*0.666*24/72</f>
        <v>10.212000000000002</v>
      </c>
      <c r="G458" s="94">
        <v>9</v>
      </c>
      <c r="H458" s="94">
        <v>0</v>
      </c>
      <c r="I458" s="54">
        <v>0</v>
      </c>
      <c r="J458" s="54">
        <v>0</v>
      </c>
      <c r="K458" s="94">
        <v>6</v>
      </c>
      <c r="L458" s="10">
        <v>0</v>
      </c>
      <c r="M458" s="94"/>
      <c r="N458" s="10">
        <f>ROUND((+F458*M458)/100,0)</f>
        <v>0</v>
      </c>
      <c r="O458" s="10">
        <f>IF(L458&gt;N458,+L458-N458,0)</f>
        <v>0</v>
      </c>
      <c r="P458" s="94">
        <v>7</v>
      </c>
      <c r="Q458" s="143">
        <f>P458</f>
        <v>7</v>
      </c>
    </row>
    <row r="459" spans="1:17" ht="12.75" customHeight="1" x14ac:dyDescent="0.2">
      <c r="A459" s="1">
        <v>101102</v>
      </c>
      <c r="B459" s="52">
        <v>108</v>
      </c>
      <c r="C459" s="57" t="s">
        <v>302</v>
      </c>
      <c r="D459" s="53">
        <v>17</v>
      </c>
      <c r="E459" s="53">
        <v>26</v>
      </c>
      <c r="F459" s="10">
        <f>E459*0.666*24/72</f>
        <v>5.7720000000000011</v>
      </c>
      <c r="G459" s="94">
        <v>0</v>
      </c>
      <c r="H459" s="94">
        <v>0</v>
      </c>
      <c r="I459" s="54">
        <v>0</v>
      </c>
      <c r="J459" s="54">
        <v>0</v>
      </c>
      <c r="K459" s="94">
        <v>0</v>
      </c>
      <c r="L459" s="10">
        <v>0</v>
      </c>
      <c r="M459" s="94"/>
      <c r="N459" s="10">
        <f>ROUND((+F459*M459)/100,0)</f>
        <v>0</v>
      </c>
      <c r="O459" s="10">
        <f>IF(L459&gt;N459,+L459-N459,0)</f>
        <v>0</v>
      </c>
      <c r="P459" s="94">
        <v>0</v>
      </c>
      <c r="Q459" s="143">
        <f>P459</f>
        <v>0</v>
      </c>
    </row>
    <row r="460" spans="1:17" ht="12.75" customHeight="1" x14ac:dyDescent="0.2">
      <c r="A460" s="1">
        <v>120360</v>
      </c>
      <c r="B460" s="52">
        <v>30</v>
      </c>
      <c r="C460" s="57" t="s">
        <v>257</v>
      </c>
      <c r="D460" s="53">
        <v>50</v>
      </c>
      <c r="E460" s="53">
        <v>66</v>
      </c>
      <c r="F460" s="10">
        <f>E460*0.666*24/72</f>
        <v>14.651999999999999</v>
      </c>
      <c r="G460" s="94">
        <v>14</v>
      </c>
      <c r="H460" s="94">
        <v>0</v>
      </c>
      <c r="I460" s="54">
        <v>0</v>
      </c>
      <c r="J460" s="54">
        <v>0</v>
      </c>
      <c r="K460" s="94">
        <v>11</v>
      </c>
      <c r="L460" s="10">
        <v>0</v>
      </c>
      <c r="M460" s="94"/>
      <c r="N460" s="10">
        <f>ROUND((+F460*M460)/100,0)</f>
        <v>0</v>
      </c>
      <c r="O460" s="10">
        <f>IF(L460&gt;N460,+L460-N460,0)</f>
        <v>0</v>
      </c>
      <c r="P460" s="94">
        <v>14</v>
      </c>
      <c r="Q460" s="143">
        <f>P460</f>
        <v>14</v>
      </c>
    </row>
    <row r="461" spans="1:17" ht="12.75" customHeight="1" x14ac:dyDescent="0.2">
      <c r="A461" s="1">
        <v>301101</v>
      </c>
      <c r="B461" s="52">
        <v>46</v>
      </c>
      <c r="C461" s="57" t="s">
        <v>170</v>
      </c>
      <c r="D461" s="53">
        <v>44</v>
      </c>
      <c r="E461" s="53">
        <v>57</v>
      </c>
      <c r="F461" s="10">
        <f>E461*0.666*24/72</f>
        <v>12.654000000000002</v>
      </c>
      <c r="G461" s="94">
        <v>9</v>
      </c>
      <c r="H461" s="94">
        <v>0</v>
      </c>
      <c r="I461" s="54">
        <v>0</v>
      </c>
      <c r="J461" s="54">
        <v>0</v>
      </c>
      <c r="K461" s="94">
        <v>8</v>
      </c>
      <c r="L461" s="10">
        <v>0</v>
      </c>
      <c r="M461" s="94"/>
      <c r="N461" s="10">
        <f>ROUND((+F461*M461)/100,0)</f>
        <v>0</v>
      </c>
      <c r="O461" s="10">
        <f>IF(L461&gt;N461,+L461-N461,0)</f>
        <v>0</v>
      </c>
      <c r="P461" s="94">
        <v>9</v>
      </c>
      <c r="Q461" s="143">
        <f>P461</f>
        <v>9</v>
      </c>
    </row>
    <row r="462" spans="1:17" ht="12.75" customHeight="1" x14ac:dyDescent="0.2">
      <c r="A462" s="1">
        <v>561102</v>
      </c>
      <c r="B462" s="52">
        <v>7</v>
      </c>
      <c r="C462" s="57" t="s">
        <v>171</v>
      </c>
      <c r="D462" s="53">
        <v>59</v>
      </c>
      <c r="E462" s="53">
        <v>66</v>
      </c>
      <c r="F462" s="10">
        <f>E462*0.666*24/72</f>
        <v>14.651999999999999</v>
      </c>
      <c r="G462" s="94">
        <v>9</v>
      </c>
      <c r="H462" s="94">
        <v>0</v>
      </c>
      <c r="I462" s="54">
        <v>0</v>
      </c>
      <c r="J462" s="54">
        <v>0</v>
      </c>
      <c r="K462" s="94">
        <v>7</v>
      </c>
      <c r="L462" s="10">
        <v>0</v>
      </c>
      <c r="M462" s="94"/>
      <c r="N462" s="10">
        <f>ROUND((+F462*M462)/100,0)</f>
        <v>0</v>
      </c>
      <c r="O462" s="10">
        <f>IF(L462&gt;N462,+L462-N462,0)</f>
        <v>0</v>
      </c>
      <c r="P462" s="94">
        <v>10</v>
      </c>
      <c r="Q462" s="143">
        <f>P462</f>
        <v>10</v>
      </c>
    </row>
    <row r="463" spans="1:17" ht="12.75" customHeight="1" x14ac:dyDescent="0.2">
      <c r="A463" s="101"/>
      <c r="B463" s="102"/>
      <c r="C463" s="103"/>
      <c r="D463" s="97"/>
      <c r="E463" s="97"/>
      <c r="F463" s="120"/>
      <c r="G463" s="97"/>
      <c r="H463" s="97"/>
      <c r="I463" s="104"/>
      <c r="J463" s="104"/>
      <c r="K463" s="97"/>
      <c r="L463" s="42"/>
      <c r="M463" s="97"/>
      <c r="N463" s="42"/>
      <c r="O463" s="42"/>
      <c r="P463" s="62"/>
      <c r="Q463" s="121"/>
    </row>
    <row r="464" spans="1:17" ht="12.75" customHeight="1" x14ac:dyDescent="0.2">
      <c r="A464" s="109" t="s">
        <v>41</v>
      </c>
      <c r="B464" s="110"/>
      <c r="C464" s="111">
        <f>COUNTA(A458:A462)</f>
        <v>5</v>
      </c>
      <c r="D464" s="131">
        <f t="shared" ref="D464:Q464" si="153">SUM(D458:D462)</f>
        <v>202</v>
      </c>
      <c r="E464" s="131">
        <f t="shared" si="153"/>
        <v>261</v>
      </c>
      <c r="F464" s="132">
        <f t="shared" si="153"/>
        <v>57.942000000000007</v>
      </c>
      <c r="G464" s="132">
        <f t="shared" si="153"/>
        <v>41</v>
      </c>
      <c r="H464" s="132">
        <f t="shared" si="153"/>
        <v>0</v>
      </c>
      <c r="I464" s="132">
        <f t="shared" si="153"/>
        <v>0</v>
      </c>
      <c r="J464" s="132">
        <f t="shared" si="153"/>
        <v>0</v>
      </c>
      <c r="K464" s="132">
        <f t="shared" si="153"/>
        <v>32</v>
      </c>
      <c r="L464" s="132">
        <f t="shared" si="153"/>
        <v>0</v>
      </c>
      <c r="M464" s="132">
        <f t="shared" si="153"/>
        <v>0</v>
      </c>
      <c r="N464" s="132">
        <f t="shared" si="153"/>
        <v>0</v>
      </c>
      <c r="O464" s="132">
        <f t="shared" si="153"/>
        <v>0</v>
      </c>
      <c r="P464" s="132">
        <f t="shared" si="153"/>
        <v>40</v>
      </c>
      <c r="Q464" s="132">
        <f t="shared" si="153"/>
        <v>40</v>
      </c>
    </row>
    <row r="465" spans="1:17" ht="12.75" customHeight="1" x14ac:dyDescent="0.2">
      <c r="A465" s="224" t="s">
        <v>47</v>
      </c>
      <c r="B465" s="225"/>
      <c r="C465" s="226"/>
      <c r="D465" s="227"/>
      <c r="E465" s="227"/>
      <c r="F465" s="228"/>
      <c r="G465" s="227"/>
      <c r="H465" s="227"/>
      <c r="I465" s="227"/>
      <c r="J465" s="227"/>
      <c r="K465" s="227"/>
      <c r="L465" s="227"/>
      <c r="M465" s="229"/>
      <c r="N465" s="229"/>
      <c r="O465" s="229"/>
      <c r="P465" s="230"/>
      <c r="Q465" s="115"/>
    </row>
    <row r="466" spans="1:17" ht="12.75" customHeight="1" x14ac:dyDescent="0.2">
      <c r="A466" s="272"/>
      <c r="B466" s="117"/>
      <c r="C466" s="118"/>
      <c r="D466" s="119"/>
      <c r="E466" s="119"/>
      <c r="F466" s="120"/>
      <c r="G466" s="119"/>
      <c r="H466" s="119"/>
      <c r="I466" s="119"/>
      <c r="J466" s="119"/>
      <c r="K466" s="119"/>
      <c r="L466" s="121"/>
      <c r="M466" s="231"/>
      <c r="N466" s="232"/>
      <c r="O466" s="232"/>
      <c r="P466" s="196" t="s">
        <v>43</v>
      </c>
      <c r="Q466" s="122">
        <f>Q464</f>
        <v>40</v>
      </c>
    </row>
    <row r="467" spans="1:17" ht="12.75" customHeight="1" x14ac:dyDescent="0.2">
      <c r="A467" s="123"/>
      <c r="B467" s="86"/>
      <c r="C467" s="87"/>
      <c r="D467" s="88"/>
      <c r="E467" s="88"/>
      <c r="F467" s="89"/>
      <c r="G467" s="88"/>
      <c r="H467" s="88"/>
      <c r="I467" s="88"/>
      <c r="J467" s="88"/>
      <c r="K467" s="88"/>
      <c r="L467" s="89"/>
      <c r="M467" s="88"/>
      <c r="N467" s="89"/>
      <c r="O467" s="89"/>
      <c r="P467" s="81"/>
      <c r="Q467" s="9"/>
    </row>
    <row r="468" spans="1:17" ht="12.75" customHeight="1" x14ac:dyDescent="0.2">
      <c r="A468" s="90"/>
      <c r="B468" s="91" t="s">
        <v>172</v>
      </c>
      <c r="C468" s="92"/>
      <c r="D468" s="124"/>
      <c r="E468" s="124"/>
      <c r="G468" s="46"/>
      <c r="H468" s="46"/>
      <c r="I468" s="93"/>
      <c r="J468" s="93"/>
      <c r="K468" s="46"/>
      <c r="M468" s="46"/>
      <c r="P468" s="94"/>
    </row>
    <row r="469" spans="1:17" ht="12.75" customHeight="1" x14ac:dyDescent="0.2">
      <c r="A469" s="90"/>
      <c r="B469" s="95"/>
      <c r="C469" s="96"/>
      <c r="D469" s="46"/>
      <c r="E469" s="46"/>
      <c r="G469" s="46"/>
      <c r="H469" s="46"/>
      <c r="I469" s="93"/>
      <c r="J469" s="93"/>
      <c r="K469" s="46"/>
      <c r="M469" s="46"/>
      <c r="P469" s="94"/>
    </row>
    <row r="470" spans="1:17" s="53" customFormat="1" ht="12.75" customHeight="1" x14ac:dyDescent="0.2">
      <c r="A470" s="43"/>
      <c r="B470" s="44"/>
      <c r="C470" s="45"/>
      <c r="D470" s="48"/>
      <c r="E470" s="48"/>
      <c r="F470" s="47"/>
      <c r="G470" s="48"/>
      <c r="H470" s="48"/>
      <c r="I470" s="100"/>
      <c r="J470" s="100"/>
      <c r="K470" s="48"/>
      <c r="L470" s="49"/>
      <c r="M470" s="48"/>
      <c r="N470" s="49"/>
      <c r="O470" s="49"/>
      <c r="P470" s="50"/>
      <c r="Q470" s="51"/>
    </row>
    <row r="471" spans="1:17" ht="12.75" customHeight="1" x14ac:dyDescent="0.2">
      <c r="A471" s="1">
        <v>59106</v>
      </c>
      <c r="B471" s="52">
        <v>23</v>
      </c>
      <c r="C471" s="57" t="s">
        <v>173</v>
      </c>
      <c r="D471" s="53">
        <v>29</v>
      </c>
      <c r="E471" s="53">
        <v>33</v>
      </c>
      <c r="F471" s="10">
        <f t="shared" ref="F471:F481" si="154">E471*0.666*24/72</f>
        <v>7.3259999999999996</v>
      </c>
      <c r="G471" s="94">
        <v>0</v>
      </c>
      <c r="H471" s="94">
        <v>0</v>
      </c>
      <c r="I471" s="54">
        <v>0</v>
      </c>
      <c r="J471" s="54">
        <v>0</v>
      </c>
      <c r="K471" s="94">
        <v>0</v>
      </c>
      <c r="L471" s="10">
        <v>0</v>
      </c>
      <c r="M471" s="94"/>
      <c r="N471" s="8">
        <f t="shared" ref="N471:N481" si="155">ROUND((+F471*M471)/100,0)</f>
        <v>0</v>
      </c>
      <c r="O471" s="10">
        <v>0</v>
      </c>
      <c r="P471" s="94">
        <v>15</v>
      </c>
      <c r="Q471" s="143">
        <f t="shared" ref="Q471:Q476" si="156">+P471</f>
        <v>15</v>
      </c>
    </row>
    <row r="472" spans="1:17" ht="12.75" customHeight="1" x14ac:dyDescent="0.2">
      <c r="A472" s="1">
        <v>59108</v>
      </c>
      <c r="B472" s="52">
        <v>36</v>
      </c>
      <c r="C472" s="57" t="s">
        <v>174</v>
      </c>
      <c r="D472" s="53">
        <v>40</v>
      </c>
      <c r="E472" s="53">
        <v>44</v>
      </c>
      <c r="F472" s="10">
        <f t="shared" si="154"/>
        <v>9.7680000000000007</v>
      </c>
      <c r="G472" s="94">
        <v>8</v>
      </c>
      <c r="H472" s="94">
        <v>0</v>
      </c>
      <c r="I472" s="54">
        <v>0</v>
      </c>
      <c r="J472" s="54">
        <v>0</v>
      </c>
      <c r="K472" s="94">
        <v>7</v>
      </c>
      <c r="L472" s="10">
        <v>0</v>
      </c>
      <c r="M472" s="94"/>
      <c r="N472" s="8">
        <f t="shared" si="155"/>
        <v>0</v>
      </c>
      <c r="O472" s="10">
        <v>0</v>
      </c>
      <c r="P472" s="94">
        <v>8</v>
      </c>
      <c r="Q472" s="143">
        <f t="shared" si="156"/>
        <v>8</v>
      </c>
    </row>
    <row r="473" spans="1:17" ht="12.75" customHeight="1" x14ac:dyDescent="0.2">
      <c r="A473" s="1">
        <v>59109</v>
      </c>
      <c r="B473" s="52">
        <v>99</v>
      </c>
      <c r="C473" s="57" t="s">
        <v>175</v>
      </c>
      <c r="D473" s="53">
        <v>48</v>
      </c>
      <c r="E473" s="53">
        <v>65</v>
      </c>
      <c r="F473" s="10">
        <f t="shared" si="154"/>
        <v>14.43</v>
      </c>
      <c r="G473" s="94">
        <v>12</v>
      </c>
      <c r="H473" s="94">
        <v>0</v>
      </c>
      <c r="I473" s="54">
        <v>0</v>
      </c>
      <c r="J473" s="54">
        <v>0</v>
      </c>
      <c r="K473" s="94">
        <v>12</v>
      </c>
      <c r="L473" s="10">
        <v>0</v>
      </c>
      <c r="M473" s="94"/>
      <c r="N473" s="8">
        <f t="shared" si="155"/>
        <v>0</v>
      </c>
      <c r="O473" s="10">
        <v>0</v>
      </c>
      <c r="P473" s="94">
        <v>13</v>
      </c>
      <c r="Q473" s="143">
        <f t="shared" si="156"/>
        <v>13</v>
      </c>
    </row>
    <row r="474" spans="1:17" ht="12.75" customHeight="1" x14ac:dyDescent="0.2">
      <c r="A474" s="1">
        <v>59111</v>
      </c>
      <c r="B474" s="52">
        <v>97</v>
      </c>
      <c r="C474" s="57" t="s">
        <v>176</v>
      </c>
      <c r="D474" s="53">
        <v>78</v>
      </c>
      <c r="E474" s="53">
        <v>127</v>
      </c>
      <c r="F474" s="10">
        <f t="shared" si="154"/>
        <v>28.194000000000003</v>
      </c>
      <c r="G474" s="94">
        <v>18</v>
      </c>
      <c r="H474" s="94">
        <v>0</v>
      </c>
      <c r="I474" s="54">
        <v>0</v>
      </c>
      <c r="J474" s="54">
        <v>0</v>
      </c>
      <c r="K474" s="94">
        <v>20</v>
      </c>
      <c r="L474" s="10">
        <v>0</v>
      </c>
      <c r="M474" s="94"/>
      <c r="N474" s="8">
        <f t="shared" si="155"/>
        <v>0</v>
      </c>
      <c r="O474" s="10">
        <v>0</v>
      </c>
      <c r="P474" s="94">
        <v>18</v>
      </c>
      <c r="Q474" s="143">
        <f t="shared" si="156"/>
        <v>18</v>
      </c>
    </row>
    <row r="475" spans="1:17" ht="12.75" customHeight="1" x14ac:dyDescent="0.2">
      <c r="A475" s="1">
        <v>59112</v>
      </c>
      <c r="B475" s="52">
        <v>12</v>
      </c>
      <c r="C475" s="57" t="s">
        <v>320</v>
      </c>
      <c r="D475" s="53">
        <v>19</v>
      </c>
      <c r="E475" s="53">
        <v>28</v>
      </c>
      <c r="F475" s="10">
        <f t="shared" si="154"/>
        <v>6.2160000000000002</v>
      </c>
      <c r="G475" s="94">
        <v>33</v>
      </c>
      <c r="H475" s="94">
        <v>0</v>
      </c>
      <c r="I475" s="54">
        <v>0</v>
      </c>
      <c r="J475" s="54">
        <v>0</v>
      </c>
      <c r="K475" s="94">
        <v>0</v>
      </c>
      <c r="L475" s="10">
        <v>0</v>
      </c>
      <c r="M475" s="94"/>
      <c r="N475" s="8">
        <f>ROUND((+F475*M475)/100,0)</f>
        <v>0</v>
      </c>
      <c r="O475" s="10">
        <v>0</v>
      </c>
      <c r="P475" s="94">
        <v>0</v>
      </c>
      <c r="Q475" s="143">
        <f t="shared" si="156"/>
        <v>0</v>
      </c>
    </row>
    <row r="476" spans="1:17" ht="12.75" customHeight="1" x14ac:dyDescent="0.2">
      <c r="A476" s="1">
        <v>59113</v>
      </c>
      <c r="B476" s="52">
        <v>63</v>
      </c>
      <c r="C476" s="57" t="s">
        <v>295</v>
      </c>
      <c r="D476" s="53">
        <v>48</v>
      </c>
      <c r="E476" s="53">
        <v>61</v>
      </c>
      <c r="F476" s="10">
        <f t="shared" si="154"/>
        <v>13.542000000000002</v>
      </c>
      <c r="G476" s="94">
        <v>10</v>
      </c>
      <c r="H476" s="94">
        <v>0</v>
      </c>
      <c r="I476" s="54">
        <v>0</v>
      </c>
      <c r="J476" s="54">
        <v>0</v>
      </c>
      <c r="K476" s="94">
        <v>8</v>
      </c>
      <c r="L476" s="10">
        <v>0</v>
      </c>
      <c r="M476" s="94"/>
      <c r="N476" s="8">
        <f>ROUND((+F476*M476)/100,0)</f>
        <v>0</v>
      </c>
      <c r="O476" s="10">
        <v>0</v>
      </c>
      <c r="P476" s="94">
        <v>12</v>
      </c>
      <c r="Q476" s="143">
        <f t="shared" si="156"/>
        <v>12</v>
      </c>
    </row>
    <row r="477" spans="1:17" ht="12.75" customHeight="1" x14ac:dyDescent="0.2">
      <c r="A477" s="312">
        <v>59114</v>
      </c>
      <c r="B477" s="313">
        <v>142</v>
      </c>
      <c r="C477" s="314" t="s">
        <v>397</v>
      </c>
      <c r="D477" s="53">
        <v>50</v>
      </c>
      <c r="E477" s="53">
        <v>61</v>
      </c>
      <c r="F477" s="10">
        <f t="shared" ref="F477" si="157">E477*0.666*24/72</f>
        <v>13.542000000000002</v>
      </c>
      <c r="G477" s="94">
        <v>0</v>
      </c>
      <c r="H477" s="94">
        <v>0</v>
      </c>
      <c r="I477" s="54">
        <v>0</v>
      </c>
      <c r="J477" s="54">
        <v>0</v>
      </c>
      <c r="K477" s="94">
        <v>0</v>
      </c>
      <c r="L477" s="10">
        <v>0</v>
      </c>
      <c r="M477" s="94"/>
      <c r="N477" s="8">
        <f>ROUND((+F477*M477)/100,0)</f>
        <v>0</v>
      </c>
      <c r="O477" s="10">
        <v>0</v>
      </c>
      <c r="P477" s="94">
        <v>15</v>
      </c>
      <c r="Q477" s="143">
        <f t="shared" ref="Q477" si="158">+P477</f>
        <v>15</v>
      </c>
    </row>
    <row r="478" spans="1:17" ht="12.75" customHeight="1" x14ac:dyDescent="0.2">
      <c r="A478" s="3">
        <v>110151</v>
      </c>
      <c r="B478" s="95">
        <v>34</v>
      </c>
      <c r="C478" s="96" t="s">
        <v>177</v>
      </c>
      <c r="D478" s="53">
        <v>675</v>
      </c>
      <c r="E478" s="53">
        <v>1051</v>
      </c>
      <c r="F478" s="10">
        <f t="shared" si="154"/>
        <v>233.322</v>
      </c>
      <c r="G478" s="94">
        <v>120</v>
      </c>
      <c r="H478" s="94">
        <v>0</v>
      </c>
      <c r="I478" s="54">
        <v>0</v>
      </c>
      <c r="J478" s="54">
        <v>0</v>
      </c>
      <c r="K478" s="94">
        <v>120</v>
      </c>
      <c r="L478" s="8">
        <v>0</v>
      </c>
      <c r="M478" s="46"/>
      <c r="N478" s="8">
        <f t="shared" si="155"/>
        <v>0</v>
      </c>
      <c r="O478" s="8">
        <f>IF(L478&gt;N478,+L478-N478,0)</f>
        <v>0</v>
      </c>
      <c r="P478" s="94">
        <v>16</v>
      </c>
      <c r="Q478" s="129">
        <f>P478</f>
        <v>16</v>
      </c>
    </row>
    <row r="479" spans="1:17" ht="12" customHeight="1" x14ac:dyDescent="0.2">
      <c r="A479" s="3">
        <v>120145</v>
      </c>
      <c r="B479" s="95">
        <v>12</v>
      </c>
      <c r="C479" s="96" t="s">
        <v>178</v>
      </c>
      <c r="D479" s="53">
        <v>97</v>
      </c>
      <c r="E479" s="53">
        <v>156</v>
      </c>
      <c r="F479" s="10">
        <f t="shared" si="154"/>
        <v>34.631999999999998</v>
      </c>
      <c r="G479" s="94">
        <v>0</v>
      </c>
      <c r="H479" s="94">
        <v>0</v>
      </c>
      <c r="I479" s="54">
        <v>0</v>
      </c>
      <c r="J479" s="54">
        <v>0</v>
      </c>
      <c r="K479" s="94">
        <v>30</v>
      </c>
      <c r="L479" s="8">
        <v>0</v>
      </c>
      <c r="M479" s="46"/>
      <c r="N479" s="8">
        <f t="shared" si="155"/>
        <v>0</v>
      </c>
      <c r="O479" s="8">
        <f>IF(L479&gt;N479,+L479-N479,0)</f>
        <v>0</v>
      </c>
      <c r="P479" s="94">
        <v>35</v>
      </c>
      <c r="Q479" s="129">
        <f>P479</f>
        <v>35</v>
      </c>
    </row>
    <row r="480" spans="1:17" ht="12.75" customHeight="1" x14ac:dyDescent="0.2">
      <c r="A480" s="3">
        <v>279102</v>
      </c>
      <c r="B480" s="95">
        <v>20</v>
      </c>
      <c r="C480" s="96" t="s">
        <v>344</v>
      </c>
      <c r="D480" s="53">
        <v>87</v>
      </c>
      <c r="E480" s="53">
        <v>100</v>
      </c>
      <c r="F480" s="10">
        <f t="shared" si="154"/>
        <v>22.200000000000003</v>
      </c>
      <c r="G480" s="94">
        <v>11</v>
      </c>
      <c r="H480" s="94">
        <v>0</v>
      </c>
      <c r="I480" s="54">
        <v>0</v>
      </c>
      <c r="J480" s="54">
        <v>0</v>
      </c>
      <c r="K480" s="94">
        <v>12</v>
      </c>
      <c r="L480" s="8">
        <v>0</v>
      </c>
      <c r="M480" s="46"/>
      <c r="N480" s="8">
        <f t="shared" ref="N480" si="159">ROUND((+F480*M480)/100,0)</f>
        <v>0</v>
      </c>
      <c r="O480" s="8">
        <f>IF(L480&gt;N480,+L480-N480,0)</f>
        <v>0</v>
      </c>
      <c r="P480" s="94">
        <v>10</v>
      </c>
      <c r="Q480" s="129">
        <f>P480</f>
        <v>10</v>
      </c>
    </row>
    <row r="481" spans="1:17" ht="12.75" customHeight="1" x14ac:dyDescent="0.2">
      <c r="A481" s="3">
        <v>353102</v>
      </c>
      <c r="B481" s="95">
        <v>131</v>
      </c>
      <c r="C481" s="96" t="s">
        <v>179</v>
      </c>
      <c r="D481" s="53">
        <v>82</v>
      </c>
      <c r="E481" s="53">
        <v>113</v>
      </c>
      <c r="F481" s="10">
        <f t="shared" si="154"/>
        <v>25.086000000000002</v>
      </c>
      <c r="G481" s="94">
        <v>10</v>
      </c>
      <c r="H481" s="94">
        <v>0</v>
      </c>
      <c r="I481" s="54">
        <v>0</v>
      </c>
      <c r="J481" s="54">
        <v>0</v>
      </c>
      <c r="K481" s="94">
        <v>10</v>
      </c>
      <c r="L481" s="8">
        <v>0</v>
      </c>
      <c r="M481" s="46"/>
      <c r="N481" s="8">
        <f t="shared" si="155"/>
        <v>0</v>
      </c>
      <c r="O481" s="8">
        <f>IF(L481&gt;N481,+L481-N481,0)</f>
        <v>0</v>
      </c>
      <c r="P481" s="94">
        <v>15</v>
      </c>
      <c r="Q481" s="129">
        <f>P481</f>
        <v>15</v>
      </c>
    </row>
    <row r="482" spans="1:17" ht="12.75" customHeight="1" x14ac:dyDescent="0.2">
      <c r="A482" s="101"/>
      <c r="B482" s="102"/>
      <c r="C482" s="103"/>
      <c r="D482" s="97"/>
      <c r="E482" s="97"/>
      <c r="F482" s="120"/>
      <c r="G482" s="97"/>
      <c r="H482" s="97"/>
      <c r="I482" s="104"/>
      <c r="J482" s="104"/>
      <c r="K482" s="97"/>
      <c r="L482" s="42"/>
      <c r="M482" s="97"/>
      <c r="N482" s="42"/>
      <c r="O482" s="42"/>
      <c r="P482" s="62"/>
      <c r="Q482" s="121"/>
    </row>
    <row r="483" spans="1:17" ht="12.75" customHeight="1" x14ac:dyDescent="0.2">
      <c r="A483" s="43" t="s">
        <v>41</v>
      </c>
      <c r="B483" s="44"/>
      <c r="C483" s="45">
        <f>COUNTA(A471:A481)</f>
        <v>11</v>
      </c>
      <c r="D483" s="48">
        <f t="shared" ref="D483:Q483" si="160">SUM(D471:D481)</f>
        <v>1253</v>
      </c>
      <c r="E483" s="48">
        <f t="shared" si="160"/>
        <v>1839</v>
      </c>
      <c r="F483" s="47">
        <f t="shared" si="160"/>
        <v>408.25800000000004</v>
      </c>
      <c r="G483" s="47">
        <f t="shared" si="160"/>
        <v>222</v>
      </c>
      <c r="H483" s="47">
        <f t="shared" si="160"/>
        <v>0</v>
      </c>
      <c r="I483" s="47">
        <f t="shared" si="160"/>
        <v>0</v>
      </c>
      <c r="J483" s="47">
        <f t="shared" si="160"/>
        <v>0</v>
      </c>
      <c r="K483" s="47">
        <f t="shared" si="160"/>
        <v>219</v>
      </c>
      <c r="L483" s="47">
        <f t="shared" si="160"/>
        <v>0</v>
      </c>
      <c r="M483" s="47">
        <f t="shared" si="160"/>
        <v>0</v>
      </c>
      <c r="N483" s="47">
        <f t="shared" si="160"/>
        <v>0</v>
      </c>
      <c r="O483" s="47">
        <f t="shared" si="160"/>
        <v>0</v>
      </c>
      <c r="P483" s="47">
        <f t="shared" si="160"/>
        <v>157</v>
      </c>
      <c r="Q483" s="47">
        <f t="shared" si="160"/>
        <v>157</v>
      </c>
    </row>
    <row r="484" spans="1:17" ht="12.75" customHeight="1" x14ac:dyDescent="0.2">
      <c r="A484" s="133" t="s">
        <v>392</v>
      </c>
      <c r="B484" s="67"/>
      <c r="C484" s="175"/>
      <c r="D484" s="69"/>
      <c r="E484" s="69"/>
      <c r="F484" s="70"/>
      <c r="G484" s="69"/>
      <c r="H484" s="69"/>
      <c r="I484" s="69"/>
      <c r="J484" s="69"/>
      <c r="K484" s="69"/>
      <c r="L484" s="70"/>
      <c r="M484" s="114"/>
      <c r="N484" s="72"/>
      <c r="O484" s="72"/>
      <c r="P484" s="73"/>
      <c r="Q484" s="74"/>
    </row>
    <row r="485" spans="1:17" ht="12.75" customHeight="1" x14ac:dyDescent="0.2">
      <c r="A485" s="208"/>
      <c r="B485" s="176"/>
      <c r="C485" s="192"/>
      <c r="D485" s="178"/>
      <c r="E485" s="178"/>
      <c r="F485" s="139"/>
      <c r="G485" s="178"/>
      <c r="H485" s="178"/>
      <c r="I485" s="178"/>
      <c r="J485" s="178"/>
      <c r="K485" s="178"/>
      <c r="L485" s="143"/>
      <c r="M485" s="178"/>
      <c r="N485" s="139"/>
      <c r="O485" s="139"/>
      <c r="P485" s="178"/>
      <c r="Q485" s="139"/>
    </row>
    <row r="486" spans="1:17" ht="12.75" customHeight="1" x14ac:dyDescent="0.2">
      <c r="A486" s="272"/>
      <c r="B486" s="117"/>
      <c r="C486" s="118"/>
      <c r="D486" s="119"/>
      <c r="E486" s="119"/>
      <c r="F486" s="120"/>
      <c r="G486" s="119"/>
      <c r="H486" s="119"/>
      <c r="I486" s="119"/>
      <c r="J486" s="119"/>
      <c r="K486" s="119"/>
      <c r="L486" s="121"/>
      <c r="M486" s="88"/>
      <c r="N486" s="89"/>
      <c r="O486" s="89"/>
      <c r="P486" s="83" t="s">
        <v>43</v>
      </c>
      <c r="Q486" s="122">
        <f>Q483</f>
        <v>157</v>
      </c>
    </row>
    <row r="487" spans="1:17" ht="12.75" customHeight="1" x14ac:dyDescent="0.2">
      <c r="A487" s="123"/>
      <c r="B487" s="86"/>
      <c r="C487" s="87"/>
      <c r="D487" s="88"/>
      <c r="E487" s="88"/>
      <c r="F487" s="89"/>
      <c r="G487" s="88"/>
      <c r="H487" s="88"/>
      <c r="I487" s="88"/>
      <c r="J487" s="88"/>
      <c r="K487" s="88"/>
      <c r="L487" s="89"/>
      <c r="M487" s="88"/>
      <c r="N487" s="89"/>
      <c r="O487" s="89"/>
      <c r="P487" s="81"/>
      <c r="Q487" s="9"/>
    </row>
    <row r="488" spans="1:17" ht="12.75" customHeight="1" x14ac:dyDescent="0.2">
      <c r="A488" s="90"/>
      <c r="B488" s="91" t="s">
        <v>180</v>
      </c>
      <c r="C488" s="92"/>
      <c r="D488" s="124"/>
      <c r="E488" s="46"/>
      <c r="G488" s="93"/>
      <c r="H488" s="46"/>
      <c r="I488" s="93"/>
      <c r="J488" s="93"/>
      <c r="K488" s="93"/>
      <c r="M488" s="46"/>
      <c r="P488" s="94"/>
    </row>
    <row r="489" spans="1:17" ht="12.75" customHeight="1" x14ac:dyDescent="0.2">
      <c r="A489" s="90"/>
      <c r="B489" s="95"/>
      <c r="C489" s="96"/>
      <c r="D489" s="46"/>
      <c r="E489" s="46"/>
      <c r="G489" s="46"/>
      <c r="H489" s="46"/>
      <c r="I489" s="93"/>
      <c r="J489" s="93"/>
      <c r="K489" s="46"/>
      <c r="M489" s="46"/>
      <c r="P489" s="94"/>
    </row>
    <row r="490" spans="1:17" ht="12.75" customHeight="1" x14ac:dyDescent="0.2">
      <c r="A490" s="43"/>
      <c r="B490" s="44"/>
      <c r="C490" s="45"/>
      <c r="D490" s="48"/>
      <c r="E490" s="48"/>
      <c r="F490" s="47"/>
      <c r="G490" s="48"/>
      <c r="H490" s="48"/>
      <c r="I490" s="100"/>
      <c r="J490" s="100"/>
      <c r="K490" s="48"/>
      <c r="L490" s="49"/>
      <c r="M490" s="48"/>
      <c r="N490" s="49"/>
      <c r="O490" s="49"/>
      <c r="P490" s="50"/>
      <c r="Q490" s="51"/>
    </row>
    <row r="491" spans="1:17" ht="12.75" customHeight="1" x14ac:dyDescent="0.2">
      <c r="A491" s="1">
        <v>120320</v>
      </c>
      <c r="B491" s="52">
        <v>25</v>
      </c>
      <c r="C491" s="57" t="s">
        <v>181</v>
      </c>
      <c r="D491" s="53">
        <v>184</v>
      </c>
      <c r="E491" s="53">
        <v>351</v>
      </c>
      <c r="F491" s="10">
        <f t="shared" ref="F491:F497" si="161">E491*0.666*24/72</f>
        <v>77.921999999999997</v>
      </c>
      <c r="G491" s="296">
        <v>60</v>
      </c>
      <c r="H491" s="94">
        <v>0</v>
      </c>
      <c r="I491" s="54">
        <v>0</v>
      </c>
      <c r="J491" s="54">
        <v>0</v>
      </c>
      <c r="K491" s="296">
        <v>40</v>
      </c>
      <c r="L491" s="10">
        <v>0</v>
      </c>
      <c r="M491" s="94"/>
      <c r="N491" s="10">
        <f t="shared" ref="N491:N497" si="162">ROUND((+F491*M491)/100,0)</f>
        <v>0</v>
      </c>
      <c r="O491" s="10">
        <v>0</v>
      </c>
      <c r="P491" s="296">
        <v>60</v>
      </c>
      <c r="Q491" s="143">
        <f t="shared" ref="Q491:Q497" si="163">+P491</f>
        <v>60</v>
      </c>
    </row>
    <row r="492" spans="1:17" ht="12.75" customHeight="1" x14ac:dyDescent="0.2">
      <c r="A492" s="1">
        <v>153101</v>
      </c>
      <c r="B492" s="52">
        <v>16</v>
      </c>
      <c r="C492" s="57" t="s">
        <v>182</v>
      </c>
      <c r="D492" s="53">
        <v>255</v>
      </c>
      <c r="E492" s="53">
        <v>357</v>
      </c>
      <c r="F492" s="10">
        <f t="shared" si="161"/>
        <v>79.254000000000005</v>
      </c>
      <c r="G492" s="296">
        <v>68</v>
      </c>
      <c r="H492" s="94">
        <v>0</v>
      </c>
      <c r="I492" s="54">
        <v>0</v>
      </c>
      <c r="J492" s="54">
        <v>0</v>
      </c>
      <c r="K492" s="296">
        <v>60</v>
      </c>
      <c r="L492" s="10">
        <v>0</v>
      </c>
      <c r="M492" s="94"/>
      <c r="N492" s="10">
        <f t="shared" si="162"/>
        <v>0</v>
      </c>
      <c r="O492" s="10">
        <v>0</v>
      </c>
      <c r="P492" s="296">
        <v>30</v>
      </c>
      <c r="Q492" s="143">
        <f t="shared" si="163"/>
        <v>30</v>
      </c>
    </row>
    <row r="493" spans="1:17" ht="12.75" customHeight="1" x14ac:dyDescent="0.2">
      <c r="A493" s="1">
        <v>314101</v>
      </c>
      <c r="B493" s="52">
        <v>1</v>
      </c>
      <c r="C493" s="57" t="s">
        <v>183</v>
      </c>
      <c r="D493" s="53">
        <v>186</v>
      </c>
      <c r="E493" s="53">
        <v>248</v>
      </c>
      <c r="F493" s="10">
        <f t="shared" si="161"/>
        <v>55.056000000000004</v>
      </c>
      <c r="G493" s="296">
        <v>40</v>
      </c>
      <c r="H493" s="94">
        <v>0</v>
      </c>
      <c r="I493" s="54">
        <v>0</v>
      </c>
      <c r="J493" s="54">
        <v>0</v>
      </c>
      <c r="K493" s="296">
        <v>50</v>
      </c>
      <c r="L493" s="10">
        <v>0</v>
      </c>
      <c r="M493" s="94"/>
      <c r="N493" s="10">
        <f t="shared" si="162"/>
        <v>0</v>
      </c>
      <c r="O493" s="10">
        <v>0</v>
      </c>
      <c r="P493" s="296">
        <v>45</v>
      </c>
      <c r="Q493" s="143">
        <f t="shared" si="163"/>
        <v>45</v>
      </c>
    </row>
    <row r="494" spans="1:17" s="53" customFormat="1" ht="12.75" customHeight="1" x14ac:dyDescent="0.2">
      <c r="A494" s="1">
        <v>318103</v>
      </c>
      <c r="B494" s="52">
        <v>26</v>
      </c>
      <c r="C494" s="57" t="s">
        <v>184</v>
      </c>
      <c r="D494" s="53">
        <v>52</v>
      </c>
      <c r="E494" s="53">
        <v>74</v>
      </c>
      <c r="F494" s="10">
        <f t="shared" si="161"/>
        <v>16.428000000000004</v>
      </c>
      <c r="G494" s="296">
        <v>12</v>
      </c>
      <c r="H494" s="94">
        <v>0</v>
      </c>
      <c r="I494" s="54">
        <v>0</v>
      </c>
      <c r="J494" s="54">
        <v>0</v>
      </c>
      <c r="K494" s="296">
        <v>13</v>
      </c>
      <c r="L494" s="10">
        <v>0</v>
      </c>
      <c r="M494" s="94"/>
      <c r="N494" s="10">
        <f t="shared" si="162"/>
        <v>0</v>
      </c>
      <c r="O494" s="10">
        <v>0</v>
      </c>
      <c r="P494" s="296">
        <v>12</v>
      </c>
      <c r="Q494" s="143">
        <f t="shared" si="163"/>
        <v>12</v>
      </c>
    </row>
    <row r="495" spans="1:17" ht="12.75" customHeight="1" x14ac:dyDescent="0.2">
      <c r="A495" s="1">
        <v>364102</v>
      </c>
      <c r="B495" s="52">
        <v>59</v>
      </c>
      <c r="C495" s="57" t="s">
        <v>185</v>
      </c>
      <c r="D495" s="53">
        <v>81</v>
      </c>
      <c r="E495" s="53">
        <v>144</v>
      </c>
      <c r="F495" s="10">
        <f t="shared" si="161"/>
        <v>31.968000000000004</v>
      </c>
      <c r="G495" s="296">
        <v>20</v>
      </c>
      <c r="H495" s="94">
        <v>0</v>
      </c>
      <c r="I495" s="54">
        <v>0</v>
      </c>
      <c r="J495" s="54">
        <v>0</v>
      </c>
      <c r="K495" s="296">
        <v>13</v>
      </c>
      <c r="L495" s="10">
        <v>0</v>
      </c>
      <c r="M495" s="94"/>
      <c r="N495" s="10">
        <f t="shared" si="162"/>
        <v>0</v>
      </c>
      <c r="O495" s="10">
        <v>0</v>
      </c>
      <c r="P495" s="296">
        <v>25</v>
      </c>
      <c r="Q495" s="143">
        <f t="shared" si="163"/>
        <v>25</v>
      </c>
    </row>
    <row r="496" spans="1:17" ht="12.75" customHeight="1" x14ac:dyDescent="0.2">
      <c r="A496" s="1">
        <v>364105</v>
      </c>
      <c r="B496" s="52">
        <v>66</v>
      </c>
      <c r="C496" s="57" t="s">
        <v>186</v>
      </c>
      <c r="D496" s="53">
        <v>113</v>
      </c>
      <c r="E496" s="53">
        <v>155</v>
      </c>
      <c r="F496" s="10">
        <f t="shared" si="161"/>
        <v>34.409999999999997</v>
      </c>
      <c r="G496" s="296">
        <v>20</v>
      </c>
      <c r="H496" s="94">
        <v>0</v>
      </c>
      <c r="I496" s="54">
        <v>0</v>
      </c>
      <c r="J496" s="54">
        <v>0</v>
      </c>
      <c r="K496" s="296">
        <v>20</v>
      </c>
      <c r="L496" s="10">
        <v>0</v>
      </c>
      <c r="M496" s="94"/>
      <c r="N496" s="10">
        <f t="shared" si="162"/>
        <v>0</v>
      </c>
      <c r="O496" s="10">
        <v>0</v>
      </c>
      <c r="P496" s="296">
        <v>25</v>
      </c>
      <c r="Q496" s="143">
        <f t="shared" si="163"/>
        <v>25</v>
      </c>
    </row>
    <row r="497" spans="1:17" ht="12.75" customHeight="1" x14ac:dyDescent="0.2">
      <c r="A497" s="1">
        <v>364107</v>
      </c>
      <c r="B497" s="52">
        <v>50</v>
      </c>
      <c r="C497" s="57" t="s">
        <v>187</v>
      </c>
      <c r="D497" s="53">
        <v>98</v>
      </c>
      <c r="E497" s="53">
        <v>214</v>
      </c>
      <c r="F497" s="10">
        <f t="shared" si="161"/>
        <v>47.508000000000003</v>
      </c>
      <c r="G497" s="296">
        <v>42</v>
      </c>
      <c r="H497" s="94">
        <v>0</v>
      </c>
      <c r="I497" s="54">
        <v>0</v>
      </c>
      <c r="J497" s="54">
        <v>0</v>
      </c>
      <c r="K497" s="296">
        <v>45</v>
      </c>
      <c r="L497" s="10">
        <v>0</v>
      </c>
      <c r="M497" s="94"/>
      <c r="N497" s="10">
        <f t="shared" si="162"/>
        <v>0</v>
      </c>
      <c r="O497" s="10">
        <v>0</v>
      </c>
      <c r="P497" s="296">
        <v>43</v>
      </c>
      <c r="Q497" s="143">
        <f t="shared" si="163"/>
        <v>43</v>
      </c>
    </row>
    <row r="498" spans="1:17" ht="12.75" customHeight="1" x14ac:dyDescent="0.2">
      <c r="A498" s="75"/>
      <c r="B498" s="59"/>
      <c r="C498" s="60"/>
      <c r="D498" s="61"/>
      <c r="E498" s="61"/>
      <c r="F498" s="79"/>
      <c r="G498" s="148"/>
      <c r="H498" s="148"/>
      <c r="I498" s="62"/>
      <c r="J498" s="62"/>
      <c r="K498" s="148"/>
      <c r="L498" s="61"/>
      <c r="M498" s="148"/>
      <c r="N498" s="61"/>
      <c r="O498" s="61"/>
      <c r="P498" s="279"/>
      <c r="Q498" s="80"/>
    </row>
    <row r="499" spans="1:17" ht="12.75" customHeight="1" x14ac:dyDescent="0.2">
      <c r="A499" s="109" t="s">
        <v>41</v>
      </c>
      <c r="B499" s="110"/>
      <c r="C499" s="111">
        <f>COUNTA(A491:A497)</f>
        <v>7</v>
      </c>
      <c r="D499" s="131">
        <f t="shared" ref="D499:Q499" si="164">SUM(D491:D497)</f>
        <v>969</v>
      </c>
      <c r="E499" s="131">
        <f t="shared" si="164"/>
        <v>1543</v>
      </c>
      <c r="F499" s="132">
        <f t="shared" si="164"/>
        <v>342.54599999999999</v>
      </c>
      <c r="G499" s="132">
        <f t="shared" si="164"/>
        <v>262</v>
      </c>
      <c r="H499" s="132">
        <f t="shared" si="164"/>
        <v>0</v>
      </c>
      <c r="I499" s="132">
        <f t="shared" si="164"/>
        <v>0</v>
      </c>
      <c r="J499" s="132">
        <f t="shared" si="164"/>
        <v>0</v>
      </c>
      <c r="K499" s="132">
        <f t="shared" si="164"/>
        <v>241</v>
      </c>
      <c r="L499" s="132">
        <f t="shared" si="164"/>
        <v>0</v>
      </c>
      <c r="M499" s="132">
        <f t="shared" si="164"/>
        <v>0</v>
      </c>
      <c r="N499" s="132">
        <f t="shared" si="164"/>
        <v>0</v>
      </c>
      <c r="O499" s="132">
        <f t="shared" si="164"/>
        <v>0</v>
      </c>
      <c r="P499" s="132">
        <f t="shared" si="164"/>
        <v>240</v>
      </c>
      <c r="Q499" s="132">
        <f t="shared" si="164"/>
        <v>240</v>
      </c>
    </row>
    <row r="500" spans="1:17" ht="12.75" customHeight="1" x14ac:dyDescent="0.2">
      <c r="A500" s="133" t="s">
        <v>47</v>
      </c>
      <c r="B500" s="67"/>
      <c r="C500" s="175"/>
      <c r="D500" s="69"/>
      <c r="E500" s="69"/>
      <c r="F500" s="70"/>
      <c r="G500" s="69"/>
      <c r="H500" s="69"/>
      <c r="I500" s="69"/>
      <c r="J500" s="69"/>
      <c r="K500" s="69"/>
      <c r="L500" s="47"/>
      <c r="M500" s="149"/>
      <c r="N500" s="47"/>
      <c r="O500" s="47"/>
      <c r="P500" s="284"/>
      <c r="Q500" s="115"/>
    </row>
    <row r="501" spans="1:17" ht="12.75" customHeight="1" x14ac:dyDescent="0.2">
      <c r="A501" s="208"/>
      <c r="B501" s="176"/>
      <c r="C501" s="192"/>
      <c r="D501" s="178"/>
      <c r="E501" s="178"/>
      <c r="F501" s="139"/>
      <c r="G501" s="178"/>
      <c r="H501" s="178"/>
      <c r="I501" s="178"/>
      <c r="J501" s="178"/>
      <c r="K501" s="178"/>
      <c r="L501" s="9"/>
      <c r="M501" s="119"/>
      <c r="N501" s="120"/>
      <c r="O501" s="120"/>
      <c r="P501" s="286"/>
      <c r="Q501" s="139"/>
    </row>
    <row r="502" spans="1:17" ht="12.75" customHeight="1" x14ac:dyDescent="0.2">
      <c r="A502" s="173"/>
      <c r="B502" s="76"/>
      <c r="C502" s="77"/>
      <c r="D502" s="78"/>
      <c r="E502" s="78"/>
      <c r="F502" s="79"/>
      <c r="G502" s="78"/>
      <c r="H502" s="78"/>
      <c r="I502" s="78"/>
      <c r="J502" s="78"/>
      <c r="K502" s="78"/>
      <c r="L502" s="121"/>
      <c r="M502" s="88"/>
      <c r="N502" s="89"/>
      <c r="O502" s="89"/>
      <c r="P502" s="83" t="s">
        <v>188</v>
      </c>
      <c r="Q502" s="122">
        <f>Q499</f>
        <v>240</v>
      </c>
    </row>
    <row r="503" spans="1:17" ht="12.75" customHeight="1" x14ac:dyDescent="0.2">
      <c r="A503" s="233"/>
      <c r="B503" s="234"/>
      <c r="C503" s="235"/>
      <c r="D503" s="81"/>
      <c r="E503" s="81"/>
      <c r="F503" s="82"/>
      <c r="G503" s="81"/>
      <c r="H503" s="81"/>
      <c r="I503" s="81"/>
      <c r="J503" s="81"/>
      <c r="K503" s="81"/>
      <c r="L503" s="89"/>
      <c r="M503" s="88"/>
      <c r="N503" s="89"/>
      <c r="O503" s="89"/>
      <c r="P503" s="81"/>
      <c r="Q503" s="9"/>
    </row>
    <row r="504" spans="1:17" ht="12.75" customHeight="1" x14ac:dyDescent="0.2">
      <c r="A504" s="90"/>
      <c r="B504" s="91" t="s">
        <v>189</v>
      </c>
      <c r="C504" s="92"/>
      <c r="D504" s="124"/>
      <c r="E504" s="46"/>
      <c r="G504" s="46"/>
      <c r="H504" s="46"/>
      <c r="I504" s="93"/>
      <c r="J504" s="93"/>
      <c r="K504" s="46"/>
      <c r="M504" s="46"/>
      <c r="P504" s="94"/>
      <c r="Q504" s="199"/>
    </row>
    <row r="505" spans="1:17" ht="12.75" customHeight="1" x14ac:dyDescent="0.2">
      <c r="A505" s="90"/>
      <c r="B505" s="95"/>
      <c r="C505" s="96"/>
      <c r="D505" s="46"/>
      <c r="E505" s="46"/>
      <c r="G505" s="46"/>
      <c r="H505" s="46"/>
      <c r="I505" s="93"/>
      <c r="J505" s="93"/>
      <c r="K505" s="46"/>
      <c r="M505" s="46"/>
      <c r="P505" s="94"/>
    </row>
    <row r="506" spans="1:17" ht="12.75" customHeight="1" x14ac:dyDescent="0.2">
      <c r="A506" s="43"/>
      <c r="B506" s="44"/>
      <c r="C506" s="45"/>
      <c r="D506" s="48"/>
      <c r="E506" s="48"/>
      <c r="F506" s="47"/>
      <c r="G506" s="48"/>
      <c r="H506" s="48"/>
      <c r="I506" s="100"/>
      <c r="J506" s="100"/>
      <c r="K506" s="48"/>
      <c r="L506" s="49"/>
      <c r="M506" s="48"/>
      <c r="N506" s="49"/>
      <c r="O506" s="49"/>
      <c r="P506" s="50"/>
      <c r="Q506" s="51"/>
    </row>
    <row r="507" spans="1:17" ht="12.75" customHeight="1" x14ac:dyDescent="0.2">
      <c r="A507" s="1">
        <v>104103</v>
      </c>
      <c r="B507" s="52">
        <v>21</v>
      </c>
      <c r="C507" s="53" t="s">
        <v>190</v>
      </c>
      <c r="D507" s="53">
        <v>36</v>
      </c>
      <c r="E507" s="53">
        <v>52</v>
      </c>
      <c r="F507" s="10">
        <f>E507*0.666*24/72</f>
        <v>11.544000000000002</v>
      </c>
      <c r="G507" s="94">
        <v>5</v>
      </c>
      <c r="H507" s="94">
        <v>0</v>
      </c>
      <c r="I507" s="127">
        <v>0</v>
      </c>
      <c r="J507" s="127">
        <v>0</v>
      </c>
      <c r="K507" s="94">
        <v>7</v>
      </c>
      <c r="L507" s="10">
        <v>0</v>
      </c>
      <c r="M507" s="94"/>
      <c r="N507" s="10">
        <f>ROUND((+F507*M507)/100,0)</f>
        <v>0</v>
      </c>
      <c r="O507" s="10">
        <v>0</v>
      </c>
      <c r="P507" s="94">
        <v>8</v>
      </c>
      <c r="Q507" s="145">
        <f>P507</f>
        <v>8</v>
      </c>
    </row>
    <row r="508" spans="1:17" ht="12.75" customHeight="1" x14ac:dyDescent="0.2">
      <c r="A508" s="1">
        <v>274102</v>
      </c>
      <c r="B508" s="52">
        <v>53</v>
      </c>
      <c r="C508" s="53" t="s">
        <v>191</v>
      </c>
      <c r="D508" s="53">
        <v>40</v>
      </c>
      <c r="E508" s="53">
        <v>60</v>
      </c>
      <c r="F508" s="10">
        <f>E508*0.666*24/72</f>
        <v>13.32</v>
      </c>
      <c r="G508" s="94">
        <v>10</v>
      </c>
      <c r="H508" s="94">
        <v>0</v>
      </c>
      <c r="I508" s="127">
        <v>0</v>
      </c>
      <c r="J508" s="127">
        <v>0</v>
      </c>
      <c r="K508" s="94">
        <v>10</v>
      </c>
      <c r="L508" s="10">
        <v>0</v>
      </c>
      <c r="M508" s="94"/>
      <c r="N508" s="10">
        <f>ROUND((+F508*M508)/100,0)</f>
        <v>0</v>
      </c>
      <c r="O508" s="10">
        <v>0</v>
      </c>
      <c r="P508" s="94">
        <v>8</v>
      </c>
      <c r="Q508" s="145">
        <f>P508</f>
        <v>8</v>
      </c>
    </row>
    <row r="509" spans="1:17" ht="12.75" customHeight="1" x14ac:dyDescent="0.2">
      <c r="A509" s="1">
        <v>329103</v>
      </c>
      <c r="B509" s="52">
        <v>73</v>
      </c>
      <c r="C509" s="53" t="s">
        <v>369</v>
      </c>
      <c r="D509" s="53">
        <v>66</v>
      </c>
      <c r="E509" s="53">
        <v>94</v>
      </c>
      <c r="F509" s="10">
        <f>E509*0.666*24/72</f>
        <v>20.868000000000002</v>
      </c>
      <c r="G509" s="94">
        <v>21</v>
      </c>
      <c r="H509" s="94">
        <v>0</v>
      </c>
      <c r="I509" s="127">
        <v>0</v>
      </c>
      <c r="J509" s="127">
        <v>0</v>
      </c>
      <c r="K509" s="94">
        <v>20</v>
      </c>
      <c r="L509" s="10">
        <v>0</v>
      </c>
      <c r="M509" s="94"/>
      <c r="N509" s="10">
        <f>ROUND((+F509*M509)/100,0)</f>
        <v>0</v>
      </c>
      <c r="O509" s="10">
        <v>0</v>
      </c>
      <c r="P509" s="94">
        <v>18</v>
      </c>
      <c r="Q509" s="145">
        <f>P509</f>
        <v>18</v>
      </c>
    </row>
    <row r="510" spans="1:17" s="53" customFormat="1" ht="12.75" customHeight="1" x14ac:dyDescent="0.2">
      <c r="A510" s="75"/>
      <c r="B510" s="59"/>
      <c r="C510" s="60"/>
      <c r="D510" s="148"/>
      <c r="E510" s="148"/>
      <c r="F510" s="79"/>
      <c r="G510" s="62"/>
      <c r="H510" s="148"/>
      <c r="I510" s="236"/>
      <c r="J510" s="236"/>
      <c r="K510" s="62"/>
      <c r="L510" s="61"/>
      <c r="M510" s="148"/>
      <c r="N510" s="61"/>
      <c r="O510" s="61"/>
      <c r="P510" s="278"/>
      <c r="Q510" s="223"/>
    </row>
    <row r="511" spans="1:17" s="53" customFormat="1" ht="12.75" customHeight="1" x14ac:dyDescent="0.2">
      <c r="A511" s="109" t="s">
        <v>41</v>
      </c>
      <c r="B511" s="110"/>
      <c r="C511" s="111">
        <f>COUNTA(A507:A509)</f>
        <v>3</v>
      </c>
      <c r="D511" s="131">
        <f t="shared" ref="D511:Q511" si="165">SUM(D507:D509)</f>
        <v>142</v>
      </c>
      <c r="E511" s="131">
        <f t="shared" si="165"/>
        <v>206</v>
      </c>
      <c r="F511" s="132">
        <f t="shared" si="165"/>
        <v>45.732000000000006</v>
      </c>
      <c r="G511" s="132">
        <f t="shared" si="165"/>
        <v>36</v>
      </c>
      <c r="H511" s="132">
        <f t="shared" si="165"/>
        <v>0</v>
      </c>
      <c r="I511" s="132">
        <f t="shared" si="165"/>
        <v>0</v>
      </c>
      <c r="J511" s="132">
        <f t="shared" si="165"/>
        <v>0</v>
      </c>
      <c r="K511" s="132">
        <f t="shared" si="165"/>
        <v>37</v>
      </c>
      <c r="L511" s="132">
        <f t="shared" si="165"/>
        <v>0</v>
      </c>
      <c r="M511" s="132">
        <f t="shared" si="165"/>
        <v>0</v>
      </c>
      <c r="N511" s="132">
        <f t="shared" si="165"/>
        <v>0</v>
      </c>
      <c r="O511" s="132">
        <f t="shared" si="165"/>
        <v>0</v>
      </c>
      <c r="P511" s="132">
        <f t="shared" si="165"/>
        <v>34</v>
      </c>
      <c r="Q511" s="132">
        <f t="shared" si="165"/>
        <v>34</v>
      </c>
    </row>
    <row r="512" spans="1:17" ht="12.75" customHeight="1" x14ac:dyDescent="0.2">
      <c r="A512" s="66" t="s">
        <v>390</v>
      </c>
      <c r="B512" s="182"/>
      <c r="C512" s="182"/>
      <c r="D512" s="182"/>
      <c r="E512" s="182"/>
      <c r="F512" s="182"/>
      <c r="G512" s="182"/>
      <c r="H512" s="182"/>
      <c r="I512" s="182"/>
      <c r="J512" s="182"/>
      <c r="K512" s="182"/>
      <c r="L512" s="182"/>
      <c r="M512" s="201"/>
      <c r="N512" s="201"/>
      <c r="O512" s="201"/>
      <c r="P512" s="201"/>
      <c r="Q512" s="202"/>
    </row>
    <row r="513" spans="1:17" ht="12.75" customHeight="1" x14ac:dyDescent="0.2">
      <c r="A513" s="203"/>
      <c r="B513" s="76"/>
      <c r="C513" s="77"/>
      <c r="D513" s="78"/>
      <c r="E513" s="78"/>
      <c r="F513" s="79"/>
      <c r="G513" s="78"/>
      <c r="H513" s="78"/>
      <c r="I513" s="78"/>
      <c r="J513" s="78"/>
      <c r="K513" s="78"/>
      <c r="L513" s="80"/>
      <c r="M513" s="81"/>
      <c r="N513" s="82"/>
      <c r="O513" s="82"/>
      <c r="P513" s="83" t="s">
        <v>188</v>
      </c>
      <c r="Q513" s="84">
        <f>Q511</f>
        <v>34</v>
      </c>
    </row>
    <row r="514" spans="1:17" ht="12.75" customHeight="1" x14ac:dyDescent="0.2">
      <c r="A514" s="90"/>
      <c r="B514" s="95"/>
      <c r="C514" s="96"/>
      <c r="D514" s="46"/>
      <c r="E514" s="46"/>
      <c r="G514" s="46"/>
      <c r="H514" s="46"/>
      <c r="I514" s="46"/>
      <c r="J514" s="46"/>
      <c r="K514" s="46"/>
      <c r="M514" s="46"/>
      <c r="P514" s="94"/>
    </row>
    <row r="515" spans="1:17" ht="12.75" customHeight="1" x14ac:dyDescent="0.2">
      <c r="A515" s="90"/>
      <c r="B515" s="91" t="s">
        <v>192</v>
      </c>
      <c r="C515" s="92"/>
      <c r="D515" s="46"/>
      <c r="E515" s="46"/>
      <c r="G515" s="46"/>
      <c r="H515" s="46"/>
      <c r="I515" s="93"/>
      <c r="J515" s="93"/>
      <c r="K515" s="46"/>
      <c r="M515" s="46"/>
      <c r="P515" s="94"/>
      <c r="Q515" s="199"/>
    </row>
    <row r="516" spans="1:17" ht="12.75" customHeight="1" x14ac:dyDescent="0.2">
      <c r="A516" s="281"/>
      <c r="B516" s="52"/>
      <c r="C516" s="57"/>
      <c r="D516" s="148"/>
      <c r="E516" s="148"/>
      <c r="F516" s="139"/>
      <c r="G516" s="94"/>
      <c r="H516" s="94"/>
      <c r="I516" s="127"/>
      <c r="J516" s="127"/>
      <c r="K516" s="94"/>
      <c r="L516" s="10"/>
      <c r="M516" s="94"/>
      <c r="N516" s="10"/>
      <c r="O516" s="10"/>
      <c r="P516" s="94"/>
      <c r="Q516" s="10"/>
    </row>
    <row r="517" spans="1:17" ht="12.75" customHeight="1" x14ac:dyDescent="0.2">
      <c r="A517" s="140"/>
      <c r="B517" s="141"/>
      <c r="C517" s="142"/>
      <c r="D517" s="94"/>
      <c r="E517" s="94"/>
      <c r="F517" s="70"/>
      <c r="G517" s="50"/>
      <c r="H517" s="50"/>
      <c r="I517" s="302"/>
      <c r="J517" s="302"/>
      <c r="K517" s="50"/>
      <c r="L517" s="303"/>
      <c r="M517" s="50"/>
      <c r="N517" s="303"/>
      <c r="O517" s="303"/>
      <c r="P517" s="50"/>
      <c r="Q517" s="310"/>
    </row>
    <row r="518" spans="1:17" ht="12.75" customHeight="1" x14ac:dyDescent="0.2">
      <c r="A518" s="1">
        <v>411102</v>
      </c>
      <c r="B518" s="52">
        <v>33</v>
      </c>
      <c r="C518" s="57" t="s">
        <v>324</v>
      </c>
      <c r="D518" s="53">
        <v>70</v>
      </c>
      <c r="E518" s="53">
        <v>103</v>
      </c>
      <c r="F518" s="10">
        <f>E518*0.666*24/72</f>
        <v>22.866</v>
      </c>
      <c r="G518" s="94">
        <v>10</v>
      </c>
      <c r="H518" s="94">
        <v>0</v>
      </c>
      <c r="I518" s="127">
        <v>0</v>
      </c>
      <c r="J518" s="127">
        <v>0</v>
      </c>
      <c r="K518" s="94">
        <v>8</v>
      </c>
      <c r="L518" s="10">
        <v>0</v>
      </c>
      <c r="M518" s="94"/>
      <c r="N518" s="10">
        <f>ROUND((+F518*M518)/100,0)</f>
        <v>0</v>
      </c>
      <c r="O518" s="10">
        <v>0</v>
      </c>
      <c r="P518" s="94">
        <v>10</v>
      </c>
      <c r="Q518" s="145">
        <f>P518</f>
        <v>10</v>
      </c>
    </row>
    <row r="519" spans="1:17" ht="12.75" customHeight="1" x14ac:dyDescent="0.2">
      <c r="A519" s="1">
        <v>475105</v>
      </c>
      <c r="B519" s="52">
        <v>13</v>
      </c>
      <c r="C519" s="57" t="s">
        <v>334</v>
      </c>
      <c r="D519" s="53">
        <v>78</v>
      </c>
      <c r="E519" s="53">
        <v>108</v>
      </c>
      <c r="F519" s="10">
        <f>E519*0.666*24/72</f>
        <v>23.975999999999999</v>
      </c>
      <c r="G519" s="94">
        <v>10</v>
      </c>
      <c r="H519" s="94">
        <v>0</v>
      </c>
      <c r="I519" s="127">
        <v>0</v>
      </c>
      <c r="J519" s="127">
        <v>0</v>
      </c>
      <c r="K519" s="94">
        <v>8</v>
      </c>
      <c r="L519" s="10">
        <v>0</v>
      </c>
      <c r="M519" s="94"/>
      <c r="N519" s="10">
        <f>ROUND((+F519*M519)/100,0)</f>
        <v>0</v>
      </c>
      <c r="O519" s="10">
        <v>0</v>
      </c>
      <c r="P519" s="94">
        <v>10</v>
      </c>
      <c r="Q519" s="145">
        <f>P519</f>
        <v>10</v>
      </c>
    </row>
    <row r="520" spans="1:17" s="53" customFormat="1" ht="12.75" customHeight="1" x14ac:dyDescent="0.2">
      <c r="A520" s="1"/>
      <c r="B520" s="52"/>
      <c r="C520" s="57"/>
      <c r="D520" s="94"/>
      <c r="E520" s="94"/>
      <c r="F520" s="139"/>
      <c r="G520" s="94"/>
      <c r="H520" s="94"/>
      <c r="I520" s="127"/>
      <c r="J520" s="127"/>
      <c r="K520" s="94"/>
      <c r="L520" s="10"/>
      <c r="M520" s="94"/>
      <c r="N520" s="10"/>
      <c r="O520" s="10"/>
      <c r="P520" s="278"/>
      <c r="Q520" s="145"/>
    </row>
    <row r="521" spans="1:17" s="53" customFormat="1" ht="12.75" customHeight="1" x14ac:dyDescent="0.2">
      <c r="A521" s="305" t="s">
        <v>41</v>
      </c>
      <c r="B521" s="306"/>
      <c r="C521" s="307">
        <f>COUNTA(C517:C520)</f>
        <v>2</v>
      </c>
      <c r="D521" s="308">
        <f t="shared" ref="D521:Q521" si="166">SUM(D517:D520)</f>
        <v>148</v>
      </c>
      <c r="E521" s="308">
        <f t="shared" si="166"/>
        <v>211</v>
      </c>
      <c r="F521" s="72">
        <f t="shared" si="166"/>
        <v>46.841999999999999</v>
      </c>
      <c r="G521" s="72">
        <f t="shared" si="166"/>
        <v>20</v>
      </c>
      <c r="H521" s="72">
        <f t="shared" si="166"/>
        <v>0</v>
      </c>
      <c r="I521" s="72">
        <f t="shared" si="166"/>
        <v>0</v>
      </c>
      <c r="J521" s="72">
        <f t="shared" si="166"/>
        <v>0</v>
      </c>
      <c r="K521" s="72">
        <f t="shared" si="166"/>
        <v>16</v>
      </c>
      <c r="L521" s="72">
        <f t="shared" si="166"/>
        <v>0</v>
      </c>
      <c r="M521" s="72">
        <f t="shared" si="166"/>
        <v>0</v>
      </c>
      <c r="N521" s="72">
        <f t="shared" si="166"/>
        <v>0</v>
      </c>
      <c r="O521" s="72">
        <f t="shared" si="166"/>
        <v>0</v>
      </c>
      <c r="P521" s="72">
        <f t="shared" si="166"/>
        <v>20</v>
      </c>
      <c r="Q521" s="72">
        <f t="shared" si="166"/>
        <v>20</v>
      </c>
    </row>
    <row r="522" spans="1:17" ht="12.75" customHeight="1" x14ac:dyDescent="0.2">
      <c r="A522" s="133" t="s">
        <v>47</v>
      </c>
      <c r="B522" s="67"/>
      <c r="C522" s="68"/>
      <c r="D522" s="69"/>
      <c r="E522" s="69"/>
      <c r="F522" s="70"/>
      <c r="G522" s="69"/>
      <c r="H522" s="69"/>
      <c r="I522" s="69"/>
      <c r="J522" s="69"/>
      <c r="K522" s="69"/>
      <c r="L522" s="70"/>
      <c r="M522" s="114"/>
      <c r="N522" s="72"/>
      <c r="O522" s="72"/>
      <c r="P522" s="73"/>
      <c r="Q522" s="115"/>
    </row>
    <row r="523" spans="1:17" ht="12.75" customHeight="1" x14ac:dyDescent="0.2">
      <c r="A523" s="203"/>
      <c r="B523" s="76"/>
      <c r="C523" s="77"/>
      <c r="D523" s="78"/>
      <c r="E523" s="78"/>
      <c r="F523" s="79"/>
      <c r="G523" s="78"/>
      <c r="H523" s="78"/>
      <c r="I523" s="78"/>
      <c r="J523" s="78"/>
      <c r="K523" s="78"/>
      <c r="L523" s="80"/>
      <c r="M523" s="81"/>
      <c r="N523" s="82"/>
      <c r="O523" s="82"/>
      <c r="P523" s="83" t="s">
        <v>43</v>
      </c>
      <c r="Q523" s="84">
        <f>Q521+Q522</f>
        <v>20</v>
      </c>
    </row>
    <row r="524" spans="1:17" ht="12.75" customHeight="1" x14ac:dyDescent="0.2"/>
    <row r="525" spans="1:17" ht="12.75" customHeight="1" x14ac:dyDescent="0.2">
      <c r="A525" s="90"/>
      <c r="B525" s="91" t="s">
        <v>193</v>
      </c>
      <c r="C525" s="92"/>
      <c r="D525" s="46"/>
      <c r="E525" s="46"/>
      <c r="G525" s="46"/>
      <c r="H525" s="46"/>
      <c r="I525" s="93"/>
      <c r="J525" s="93"/>
      <c r="K525" s="46"/>
      <c r="M525" s="46"/>
      <c r="P525" s="94"/>
      <c r="Q525" s="199"/>
    </row>
    <row r="526" spans="1:17" ht="12.75" customHeight="1" x14ac:dyDescent="0.2">
      <c r="A526" s="281"/>
      <c r="B526" s="52"/>
      <c r="C526" s="57"/>
      <c r="D526" s="148"/>
      <c r="E526" s="148"/>
      <c r="F526" s="139"/>
      <c r="G526" s="94"/>
      <c r="H526" s="94"/>
      <c r="I526" s="127"/>
      <c r="J526" s="127"/>
      <c r="K526" s="94"/>
      <c r="L526" s="10"/>
      <c r="M526" s="94"/>
      <c r="N526" s="10"/>
      <c r="O526" s="10"/>
      <c r="P526" s="94"/>
      <c r="Q526" s="10"/>
    </row>
    <row r="527" spans="1:17" ht="12.75" customHeight="1" x14ac:dyDescent="0.2">
      <c r="A527" s="140"/>
      <c r="B527" s="141"/>
      <c r="C527" s="142"/>
      <c r="D527" s="94"/>
      <c r="E527" s="94"/>
      <c r="F527" s="70"/>
      <c r="G527" s="50"/>
      <c r="H527" s="50"/>
      <c r="I527" s="302"/>
      <c r="J527" s="302"/>
      <c r="K527" s="50"/>
      <c r="L527" s="303"/>
      <c r="M527" s="50"/>
      <c r="N527" s="303"/>
      <c r="O527" s="303"/>
      <c r="P527" s="50"/>
      <c r="Q527" s="310"/>
    </row>
    <row r="528" spans="1:17" ht="12.75" customHeight="1" x14ac:dyDescent="0.2">
      <c r="A528" s="1">
        <v>156101</v>
      </c>
      <c r="B528" s="52">
        <v>5</v>
      </c>
      <c r="C528" s="57" t="s">
        <v>194</v>
      </c>
      <c r="D528" s="53">
        <v>41</v>
      </c>
      <c r="E528" s="53">
        <v>54</v>
      </c>
      <c r="F528" s="10">
        <f>E528*0.666*24/72</f>
        <v>11.988</v>
      </c>
      <c r="G528" s="94">
        <v>7</v>
      </c>
      <c r="H528" s="94">
        <v>0</v>
      </c>
      <c r="I528" s="54">
        <v>0</v>
      </c>
      <c r="J528" s="54">
        <v>0</v>
      </c>
      <c r="K528" s="94">
        <v>7</v>
      </c>
      <c r="L528" s="10">
        <v>0</v>
      </c>
      <c r="M528" s="94"/>
      <c r="N528" s="10">
        <f>ROUND((+F528*M528)/100,0)</f>
        <v>0</v>
      </c>
      <c r="O528" s="10">
        <v>0</v>
      </c>
      <c r="P528" s="94">
        <v>7</v>
      </c>
      <c r="Q528" s="143">
        <f>P528</f>
        <v>7</v>
      </c>
    </row>
    <row r="529" spans="1:17" ht="12.75" customHeight="1" x14ac:dyDescent="0.2">
      <c r="A529" s="1">
        <v>128101</v>
      </c>
      <c r="B529" s="52">
        <v>1</v>
      </c>
      <c r="C529" s="57" t="s">
        <v>195</v>
      </c>
      <c r="D529" s="53">
        <v>63</v>
      </c>
      <c r="E529" s="53">
        <v>71</v>
      </c>
      <c r="F529" s="10">
        <f>E529*0.666*24/72</f>
        <v>15.762</v>
      </c>
      <c r="G529" s="94">
        <v>8</v>
      </c>
      <c r="H529" s="94">
        <v>0</v>
      </c>
      <c r="I529" s="54">
        <v>0</v>
      </c>
      <c r="J529" s="54">
        <v>0</v>
      </c>
      <c r="K529" s="94">
        <v>7</v>
      </c>
      <c r="L529" s="10">
        <v>0</v>
      </c>
      <c r="M529" s="94"/>
      <c r="N529" s="10">
        <v>0</v>
      </c>
      <c r="O529" s="10">
        <v>0</v>
      </c>
      <c r="P529" s="94">
        <v>8</v>
      </c>
      <c r="Q529" s="143">
        <f>P529</f>
        <v>8</v>
      </c>
    </row>
    <row r="530" spans="1:17" ht="12.75" customHeight="1" x14ac:dyDescent="0.2">
      <c r="A530" s="1">
        <v>262102</v>
      </c>
      <c r="B530" s="52">
        <v>4</v>
      </c>
      <c r="C530" s="57" t="s">
        <v>196</v>
      </c>
      <c r="D530" s="53">
        <v>54</v>
      </c>
      <c r="E530" s="53">
        <v>74</v>
      </c>
      <c r="F530" s="10">
        <f>E530*0.666*24/72</f>
        <v>16.428000000000004</v>
      </c>
      <c r="G530" s="94">
        <v>13</v>
      </c>
      <c r="H530" s="94">
        <v>0</v>
      </c>
      <c r="I530" s="54">
        <v>0</v>
      </c>
      <c r="J530" s="54">
        <v>0</v>
      </c>
      <c r="K530" s="94">
        <v>12</v>
      </c>
      <c r="L530" s="10">
        <v>0</v>
      </c>
      <c r="M530" s="94"/>
      <c r="N530" s="10">
        <v>0</v>
      </c>
      <c r="O530" s="10">
        <v>0</v>
      </c>
      <c r="P530" s="94">
        <v>7</v>
      </c>
      <c r="Q530" s="143">
        <f>P530</f>
        <v>7</v>
      </c>
    </row>
    <row r="531" spans="1:17" ht="12.75" customHeight="1" x14ac:dyDescent="0.2">
      <c r="A531" s="1">
        <v>432103</v>
      </c>
      <c r="B531" s="52">
        <v>13</v>
      </c>
      <c r="C531" s="57" t="s">
        <v>285</v>
      </c>
      <c r="D531" s="53">
        <v>51</v>
      </c>
      <c r="E531" s="53">
        <v>62</v>
      </c>
      <c r="F531" s="10">
        <f>E531*0.666*24/72</f>
        <v>13.764000000000001</v>
      </c>
      <c r="G531" s="94">
        <v>7</v>
      </c>
      <c r="H531" s="94">
        <v>0</v>
      </c>
      <c r="I531" s="54">
        <v>0</v>
      </c>
      <c r="J531" s="54">
        <v>0</v>
      </c>
      <c r="K531" s="94">
        <v>6</v>
      </c>
      <c r="L531" s="10">
        <v>0</v>
      </c>
      <c r="M531" s="94"/>
      <c r="N531" s="10">
        <v>0</v>
      </c>
      <c r="O531" s="10">
        <v>0</v>
      </c>
      <c r="P531" s="94">
        <v>5</v>
      </c>
      <c r="Q531" s="143">
        <f>P531</f>
        <v>5</v>
      </c>
    </row>
    <row r="532" spans="1:17" s="6" customFormat="1" ht="12.75" customHeight="1" x14ac:dyDescent="0.2">
      <c r="A532" s="1"/>
      <c r="B532" s="52"/>
      <c r="C532" s="57"/>
      <c r="D532" s="94"/>
      <c r="E532" s="94"/>
      <c r="F532" s="139"/>
      <c r="G532" s="94"/>
      <c r="H532" s="94"/>
      <c r="I532" s="127"/>
      <c r="J532" s="127"/>
      <c r="K532" s="94"/>
      <c r="L532" s="10"/>
      <c r="M532" s="94"/>
      <c r="N532" s="10"/>
      <c r="O532" s="10"/>
      <c r="P532" s="62"/>
      <c r="Q532" s="145"/>
    </row>
    <row r="533" spans="1:17" ht="12.75" customHeight="1" x14ac:dyDescent="0.2">
      <c r="A533" s="305" t="s">
        <v>41</v>
      </c>
      <c r="B533" s="306"/>
      <c r="C533" s="307">
        <f>COUNTA(A528:A531)</f>
        <v>4</v>
      </c>
      <c r="D533" s="308">
        <f t="shared" ref="D533:Q533" si="167">SUM(D528:D531)</f>
        <v>209</v>
      </c>
      <c r="E533" s="308">
        <f t="shared" si="167"/>
        <v>261</v>
      </c>
      <c r="F533" s="72">
        <f t="shared" si="167"/>
        <v>57.942000000000007</v>
      </c>
      <c r="G533" s="72">
        <f t="shared" si="167"/>
        <v>35</v>
      </c>
      <c r="H533" s="72">
        <f t="shared" si="167"/>
        <v>0</v>
      </c>
      <c r="I533" s="72">
        <f t="shared" si="167"/>
        <v>0</v>
      </c>
      <c r="J533" s="72">
        <f t="shared" si="167"/>
        <v>0</v>
      </c>
      <c r="K533" s="72">
        <f t="shared" si="167"/>
        <v>32</v>
      </c>
      <c r="L533" s="72">
        <f t="shared" si="167"/>
        <v>0</v>
      </c>
      <c r="M533" s="72">
        <f t="shared" si="167"/>
        <v>0</v>
      </c>
      <c r="N533" s="72">
        <f t="shared" si="167"/>
        <v>0</v>
      </c>
      <c r="O533" s="72">
        <f t="shared" si="167"/>
        <v>0</v>
      </c>
      <c r="P533" s="72">
        <f t="shared" si="167"/>
        <v>27</v>
      </c>
      <c r="Q533" s="72">
        <f t="shared" si="167"/>
        <v>27</v>
      </c>
    </row>
    <row r="534" spans="1:17" ht="12.75" customHeight="1" x14ac:dyDescent="0.2">
      <c r="A534" s="311" t="s">
        <v>391</v>
      </c>
      <c r="B534" s="67"/>
      <c r="C534" s="68"/>
      <c r="D534" s="69"/>
      <c r="E534" s="69"/>
      <c r="F534" s="70"/>
      <c r="G534" s="69"/>
      <c r="H534" s="69"/>
      <c r="I534" s="69"/>
      <c r="J534" s="69"/>
      <c r="K534" s="69"/>
      <c r="L534" s="70"/>
      <c r="M534" s="114"/>
      <c r="N534" s="72"/>
      <c r="O534" s="72"/>
      <c r="P534" s="73"/>
      <c r="Q534" s="115"/>
    </row>
    <row r="535" spans="1:17" ht="12.75" customHeight="1" x14ac:dyDescent="0.2">
      <c r="A535" s="75"/>
      <c r="B535" s="76"/>
      <c r="C535" s="77"/>
      <c r="D535" s="78"/>
      <c r="E535" s="78"/>
      <c r="F535" s="79"/>
      <c r="G535" s="78"/>
      <c r="H535" s="78"/>
      <c r="I535" s="78"/>
      <c r="J535" s="78"/>
      <c r="K535" s="78"/>
      <c r="L535" s="80"/>
      <c r="M535" s="81"/>
      <c r="N535" s="82"/>
      <c r="O535" s="82"/>
      <c r="P535" s="83" t="s">
        <v>43</v>
      </c>
      <c r="Q535" s="84">
        <f>Q533</f>
        <v>27</v>
      </c>
    </row>
    <row r="536" spans="1:17" ht="12.75" customHeight="1" x14ac:dyDescent="0.2">
      <c r="A536" s="237"/>
      <c r="B536" s="238"/>
      <c r="C536" s="239"/>
      <c r="D536" s="240"/>
      <c r="E536" s="240"/>
      <c r="F536" s="241"/>
      <c r="G536" s="240"/>
      <c r="H536" s="240"/>
      <c r="I536" s="240"/>
      <c r="J536" s="240"/>
      <c r="K536" s="240"/>
      <c r="L536" s="242"/>
    </row>
    <row r="538" spans="1:17" x14ac:dyDescent="0.2">
      <c r="C538" s="273">
        <f>+C22+C37+C62+C85+C96+C122+C133+C153+C170+C191+C206+C236+C261+C301+C321+C337+C345+C364+C379+C391+C405+C419+C432+C451+C464+C483+C499+C511+C521+C533</f>
        <v>270</v>
      </c>
      <c r="D538" s="274">
        <f>+D22+D37+D62+D85+D96+D122+D133+D153+D170+D191+D206+D236+D261+D301+D321+D337+D345+D364+D379+D391+D405+D419+D432+D451+D464+D483+D499+D511+D521+D533</f>
        <v>28158</v>
      </c>
      <c r="E538" s="273">
        <f>+E22+E37+E62+E85+E96+E122+E133+E153+E170+E191+E206+E236+E261+E301+E321+E337+E345+E364+E379+E391+E405+E419+E432+E451+E464+E483+E499+E511+E521+E533</f>
        <v>41610</v>
      </c>
      <c r="F538" s="275">
        <f>+F22+F37+F62+F85+F96+F122+F133+F153+F170+F191+F206+F236+F261+F301+F321+F337+F345+F364+F379+F391+F405+F419+F432+F451+F464+F483+F499+F511+F521+F533</f>
        <v>9278.1959999999963</v>
      </c>
      <c r="O538" s="297"/>
    </row>
    <row r="539" spans="1:17" x14ac:dyDescent="0.2">
      <c r="O539" s="297"/>
    </row>
    <row r="540" spans="1:17" x14ac:dyDescent="0.2">
      <c r="C540" s="8" t="e">
        <f>#REF!</f>
        <v>#REF!</v>
      </c>
      <c r="D540" s="8" t="e">
        <f>#REF!</f>
        <v>#REF!</v>
      </c>
      <c r="E540" s="8" t="e">
        <f>#REF!</f>
        <v>#REF!</v>
      </c>
      <c r="F540" s="8"/>
      <c r="O540" s="297"/>
    </row>
    <row r="542" spans="1:17" x14ac:dyDescent="0.2">
      <c r="C542" s="8" t="e">
        <f>+C538-C540</f>
        <v>#REF!</v>
      </c>
      <c r="D542" s="8" t="e">
        <f>+D538-D540</f>
        <v>#REF!</v>
      </c>
      <c r="E542" s="8" t="e">
        <f>+E538-E540</f>
        <v>#REF!</v>
      </c>
      <c r="F542" s="8"/>
    </row>
  </sheetData>
  <autoFilter ref="A12:Q531" xr:uid="{00000000-0009-0000-0000-000000000000}"/>
  <sortState xmlns:xlrd2="http://schemas.microsoft.com/office/spreadsheetml/2017/richdata2" ref="A423:Q427">
    <sortCondition ref="A423:A427"/>
  </sortState>
  <mergeCells count="11">
    <mergeCell ref="A1:Q1"/>
    <mergeCell ref="A2:Q2"/>
    <mergeCell ref="A3:Q3"/>
    <mergeCell ref="A4:Q4"/>
    <mergeCell ref="A5:Q5"/>
    <mergeCell ref="M304:P304"/>
    <mergeCell ref="L6:Q6"/>
    <mergeCell ref="D7:E7"/>
    <mergeCell ref="I7:J7"/>
    <mergeCell ref="M7:N7"/>
    <mergeCell ref="M8:N8"/>
  </mergeCells>
  <printOptions horizontalCentered="1"/>
  <pageMargins left="0.39374999999999999" right="0.62986111111111098" top="0.98402777777777795" bottom="0.98402777777777795" header="0.51180555555555496" footer="0.51180555555555496"/>
  <pageSetup paperSize="75" orientation="landscape" horizontalDpi="300" verticalDpi="300" r:id="rId1"/>
  <rowBreaks count="27" manualBreakCount="27">
    <brk id="26" max="16383" man="1"/>
    <brk id="40" max="16383" man="1"/>
    <brk id="63" max="16383" man="1"/>
    <brk id="86" max="16383" man="1"/>
    <brk id="97" max="16383" man="1"/>
    <brk id="123" max="16383" man="1"/>
    <brk id="134" max="16383" man="1"/>
    <brk id="154" max="16383" man="1"/>
    <brk id="171" max="16383" man="1"/>
    <brk id="192" max="16383" man="1"/>
    <brk id="207" max="16383" man="1"/>
    <brk id="238" max="16383" man="1"/>
    <brk id="264" max="16383" man="1"/>
    <brk id="323" max="16383" man="1"/>
    <brk id="338" max="16383" man="1"/>
    <brk id="346" max="16383" man="1"/>
    <brk id="365" max="16383" man="1"/>
    <brk id="380" max="16383" man="1"/>
    <brk id="392" max="16383" man="1"/>
    <brk id="406" max="16383" man="1"/>
    <brk id="420" max="16383" man="1"/>
    <brk id="433" max="16383" man="1"/>
    <brk id="452" max="16383" man="1"/>
    <brk id="465" max="16383" man="1"/>
    <brk id="485" max="16383" man="1"/>
    <brk id="501" max="16383" man="1"/>
    <brk id="513" max="16383" man="1"/>
  </rowBreaks>
  <colBreaks count="1" manualBreakCount="1"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>
    <pageSetUpPr fitToPage="1"/>
  </sheetPr>
  <dimension ref="A1:AMJ55"/>
  <sheetViews>
    <sheetView showGridLines="0" tabSelected="1" topLeftCell="C1" zoomScale="150" zoomScaleNormal="150" workbookViewId="0">
      <selection activeCell="J11" sqref="J11"/>
    </sheetView>
  </sheetViews>
  <sheetFormatPr baseColWidth="10" defaultColWidth="10.85546875" defaultRowHeight="12.75" x14ac:dyDescent="0.2"/>
  <cols>
    <col min="1" max="1" width="8.28515625" style="53" customWidth="1"/>
    <col min="2" max="2" width="30.28515625" style="53" customWidth="1"/>
    <col min="3" max="9" width="12.85546875" style="10" customWidth="1"/>
    <col min="10" max="10" width="16.42578125" style="10" customWidth="1"/>
    <col min="11" max="11" width="6.28515625" style="53" customWidth="1"/>
    <col min="12" max="12" width="13.28515625" style="53" customWidth="1"/>
    <col min="13" max="13" width="6.140625" style="53" customWidth="1"/>
    <col min="14" max="14" width="7.42578125" style="53" customWidth="1"/>
    <col min="15" max="15" width="8" style="10" customWidth="1"/>
    <col min="16" max="18" width="10.85546875" style="10"/>
    <col min="19" max="1024" width="10.85546875" style="53"/>
  </cols>
  <sheetData>
    <row r="1" spans="1:20" ht="20.85" customHeight="1" x14ac:dyDescent="0.3">
      <c r="A1" s="324" t="s">
        <v>356</v>
      </c>
      <c r="B1" s="324"/>
      <c r="C1" s="324"/>
      <c r="D1" s="324"/>
      <c r="E1" s="324"/>
      <c r="F1" s="324"/>
      <c r="G1" s="324"/>
      <c r="H1" s="324"/>
      <c r="I1" s="324"/>
      <c r="J1" s="324"/>
    </row>
    <row r="2" spans="1:20" ht="20.100000000000001" customHeight="1" x14ac:dyDescent="0.2">
      <c r="A2" s="325" t="s">
        <v>2</v>
      </c>
      <c r="B2" s="325"/>
      <c r="C2" s="325"/>
      <c r="D2" s="325"/>
      <c r="E2" s="325"/>
      <c r="F2" s="325"/>
      <c r="G2" s="325"/>
      <c r="H2" s="325"/>
      <c r="I2" s="325"/>
      <c r="J2" s="325"/>
    </row>
    <row r="3" spans="1:20" ht="17.850000000000001" customHeight="1" x14ac:dyDescent="0.2">
      <c r="A3" s="326" t="s">
        <v>197</v>
      </c>
      <c r="B3" s="326"/>
      <c r="C3" s="326"/>
      <c r="D3" s="326"/>
      <c r="E3" s="326"/>
      <c r="F3" s="326"/>
      <c r="G3" s="326"/>
      <c r="H3" s="326"/>
      <c r="I3" s="326"/>
      <c r="J3" s="326"/>
    </row>
    <row r="4" spans="1:20" ht="17.850000000000001" customHeight="1" x14ac:dyDescent="0.2">
      <c r="A4" s="327" t="str">
        <f>+'POR ALMACEN'!A4</f>
        <v>REQUERIMIENTO DE LECHE EN POLVO CORRESPONDIENTE AL MES DE MARZO DEL 2026.</v>
      </c>
      <c r="B4" s="327"/>
      <c r="C4" s="327"/>
      <c r="D4" s="327"/>
      <c r="E4" s="327"/>
      <c r="F4" s="327"/>
      <c r="G4" s="327"/>
      <c r="H4" s="327"/>
      <c r="I4" s="327"/>
      <c r="J4" s="327"/>
    </row>
    <row r="5" spans="1:20" ht="20.100000000000001" customHeight="1" x14ac:dyDescent="0.2">
      <c r="A5" s="326" t="s">
        <v>358</v>
      </c>
      <c r="B5" s="326"/>
      <c r="C5" s="326"/>
      <c r="D5" s="326"/>
      <c r="E5" s="326"/>
      <c r="F5" s="326"/>
      <c r="G5" s="326"/>
      <c r="H5" s="326"/>
      <c r="I5" s="326"/>
      <c r="J5" s="326"/>
    </row>
    <row r="6" spans="1:20" ht="18.600000000000001" customHeight="1" x14ac:dyDescent="0.2">
      <c r="A6" s="316"/>
      <c r="B6" s="316"/>
      <c r="C6" s="316"/>
      <c r="D6" s="316"/>
      <c r="E6" s="316"/>
      <c r="F6" s="316"/>
      <c r="G6" s="316"/>
      <c r="H6" s="316"/>
      <c r="I6" s="316"/>
      <c r="J6" s="316"/>
    </row>
    <row r="7" spans="1:20" ht="15.2" customHeight="1" x14ac:dyDescent="0.2">
      <c r="A7" s="317" t="s">
        <v>198</v>
      </c>
      <c r="B7" s="317"/>
      <c r="C7" s="318" t="s">
        <v>199</v>
      </c>
      <c r="D7" s="319" t="s">
        <v>6</v>
      </c>
      <c r="E7" s="319"/>
      <c r="F7" s="318" t="s">
        <v>200</v>
      </c>
      <c r="G7" s="320" t="s">
        <v>201</v>
      </c>
      <c r="H7" s="319" t="s">
        <v>202</v>
      </c>
      <c r="I7" s="319"/>
      <c r="J7" s="321" t="s">
        <v>203</v>
      </c>
    </row>
    <row r="8" spans="1:20" ht="15.2" customHeight="1" x14ac:dyDescent="0.2">
      <c r="A8" s="317"/>
      <c r="B8" s="317"/>
      <c r="C8" s="318"/>
      <c r="D8" s="322" t="s">
        <v>20</v>
      </c>
      <c r="E8" s="322" t="s">
        <v>21</v>
      </c>
      <c r="F8" s="318"/>
      <c r="G8" s="320"/>
      <c r="H8" s="322" t="s">
        <v>15</v>
      </c>
      <c r="I8" s="323" t="s">
        <v>204</v>
      </c>
      <c r="J8" s="321"/>
    </row>
    <row r="9" spans="1:20" ht="21.75" customHeight="1" x14ac:dyDescent="0.2">
      <c r="A9" s="317"/>
      <c r="B9" s="317"/>
      <c r="C9" s="318"/>
      <c r="D9" s="322"/>
      <c r="E9" s="322"/>
      <c r="F9" s="318"/>
      <c r="G9" s="320"/>
      <c r="H9" s="322"/>
      <c r="I9" s="323"/>
      <c r="J9" s="321"/>
    </row>
    <row r="10" spans="1:20" ht="13.5" customHeight="1" x14ac:dyDescent="0.2">
      <c r="G10" s="243"/>
    </row>
    <row r="11" spans="1:20" s="250" customFormat="1" ht="20.100000000000001" customHeight="1" x14ac:dyDescent="0.2">
      <c r="A11" s="244" t="s">
        <v>205</v>
      </c>
      <c r="B11" s="245"/>
      <c r="C11" s="246"/>
      <c r="D11" s="246"/>
      <c r="E11" s="246"/>
      <c r="F11" s="247"/>
      <c r="G11" s="246"/>
      <c r="H11" s="248"/>
      <c r="I11" s="246"/>
      <c r="J11" s="249">
        <f>SUM(I13:I20)</f>
        <v>1812</v>
      </c>
      <c r="L11" s="251"/>
      <c r="M11" s="282"/>
      <c r="N11" s="252"/>
      <c r="O11" s="252"/>
      <c r="P11" s="283"/>
      <c r="Q11" s="252"/>
      <c r="R11" s="252"/>
      <c r="T11" s="252"/>
    </row>
    <row r="12" spans="1:20" ht="8.1" customHeight="1" x14ac:dyDescent="0.2">
      <c r="A12" s="253"/>
      <c r="B12" s="254"/>
      <c r="C12" s="243"/>
      <c r="D12" s="243"/>
      <c r="E12" s="243"/>
      <c r="F12" s="243"/>
      <c r="G12" s="243"/>
      <c r="H12" s="243"/>
      <c r="I12" s="243"/>
      <c r="J12" s="255"/>
    </row>
    <row r="13" spans="1:20" x14ac:dyDescent="0.2">
      <c r="A13" s="256"/>
      <c r="B13" s="53" t="s">
        <v>206</v>
      </c>
      <c r="C13" s="243">
        <f>+'POR ALMACEN'!C22</f>
        <v>7</v>
      </c>
      <c r="D13" s="243">
        <f>+'POR ALMACEN'!D22</f>
        <v>864</v>
      </c>
      <c r="E13" s="243">
        <f>+'POR ALMACEN'!E22</f>
        <v>1153</v>
      </c>
      <c r="F13" s="243">
        <f>+'POR ALMACEN'!F22</f>
        <v>255.96600000000001</v>
      </c>
      <c r="G13" s="243">
        <v>0</v>
      </c>
      <c r="H13" s="257">
        <f>+'POR ALMACEN'!P22</f>
        <v>147</v>
      </c>
      <c r="I13" s="243">
        <f t="shared" ref="I13:I20" si="0">H13-G13</f>
        <v>147</v>
      </c>
      <c r="J13" s="255"/>
      <c r="K13" s="10"/>
      <c r="L13" s="10"/>
    </row>
    <row r="14" spans="1:20" x14ac:dyDescent="0.2">
      <c r="A14" s="256"/>
      <c r="B14" s="53" t="s">
        <v>207</v>
      </c>
      <c r="C14" s="243">
        <f>+'POR ALMACEN'!C37</f>
        <v>6</v>
      </c>
      <c r="D14" s="243">
        <f>+'POR ALMACEN'!D37</f>
        <v>702</v>
      </c>
      <c r="E14" s="243">
        <f>+'POR ALMACEN'!E37</f>
        <v>1054</v>
      </c>
      <c r="F14" s="243">
        <f>+'POR ALMACEN'!F37</f>
        <v>233.98800000000003</v>
      </c>
      <c r="G14" s="243">
        <v>0</v>
      </c>
      <c r="H14" s="257">
        <f>+'POR ALMACEN'!P37</f>
        <v>106</v>
      </c>
      <c r="I14" s="243">
        <f t="shared" si="0"/>
        <v>106</v>
      </c>
      <c r="J14" s="255"/>
      <c r="K14" s="10"/>
      <c r="L14" s="10"/>
    </row>
    <row r="15" spans="1:20" x14ac:dyDescent="0.2">
      <c r="A15" s="256"/>
      <c r="B15" s="53" t="s">
        <v>208</v>
      </c>
      <c r="C15" s="243">
        <f>+'POR ALMACEN'!C62</f>
        <v>17</v>
      </c>
      <c r="D15" s="243">
        <f>+'POR ALMACEN'!D62</f>
        <v>1736</v>
      </c>
      <c r="E15" s="243">
        <f>+'POR ALMACEN'!E62</f>
        <v>2527</v>
      </c>
      <c r="F15" s="243">
        <f>+'POR ALMACEN'!F62</f>
        <v>560.99400000000003</v>
      </c>
      <c r="G15" s="243">
        <v>0</v>
      </c>
      <c r="H15" s="257">
        <f>+'POR ALMACEN'!P62</f>
        <v>392</v>
      </c>
      <c r="I15" s="243">
        <f t="shared" si="0"/>
        <v>392</v>
      </c>
      <c r="J15" s="255"/>
      <c r="K15" s="10"/>
      <c r="L15" s="10"/>
    </row>
    <row r="16" spans="1:20" x14ac:dyDescent="0.2">
      <c r="A16" s="256"/>
      <c r="B16" s="53" t="s">
        <v>209</v>
      </c>
      <c r="C16" s="243">
        <f>+'POR ALMACEN'!C85</f>
        <v>15</v>
      </c>
      <c r="D16" s="243">
        <f>+'POR ALMACEN'!D85</f>
        <v>1427</v>
      </c>
      <c r="E16" s="243">
        <f>+'POR ALMACEN'!E85</f>
        <v>2083</v>
      </c>
      <c r="F16" s="243">
        <f>+'POR ALMACEN'!F85</f>
        <v>462.4260000000001</v>
      </c>
      <c r="G16" s="243">
        <v>0</v>
      </c>
      <c r="H16" s="257">
        <f>+'POR ALMACEN'!P85</f>
        <v>328</v>
      </c>
      <c r="I16" s="243">
        <f t="shared" si="0"/>
        <v>328</v>
      </c>
      <c r="J16" s="255"/>
      <c r="K16" s="10"/>
      <c r="L16" s="10"/>
    </row>
    <row r="17" spans="1:20" x14ac:dyDescent="0.2">
      <c r="A17" s="256"/>
      <c r="B17" s="53" t="s">
        <v>210</v>
      </c>
      <c r="C17" s="243">
        <f>+'POR ALMACEN'!C96</f>
        <v>3</v>
      </c>
      <c r="D17" s="243">
        <f>+'POR ALMACEN'!D96</f>
        <v>285</v>
      </c>
      <c r="E17" s="243">
        <f>+'POR ALMACEN'!E96</f>
        <v>417</v>
      </c>
      <c r="F17" s="243">
        <f>+'POR ALMACEN'!F96</f>
        <v>150</v>
      </c>
      <c r="G17" s="243">
        <v>0</v>
      </c>
      <c r="H17" s="257">
        <f>+'POR ALMACEN'!P96</f>
        <v>52</v>
      </c>
      <c r="I17" s="243">
        <f t="shared" si="0"/>
        <v>52</v>
      </c>
      <c r="J17" s="255"/>
      <c r="K17" s="10"/>
      <c r="L17" s="10"/>
    </row>
    <row r="18" spans="1:20" x14ac:dyDescent="0.2">
      <c r="A18" s="256"/>
      <c r="B18" s="53" t="s">
        <v>211</v>
      </c>
      <c r="C18" s="243">
        <f>+'POR ALMACEN'!C122</f>
        <v>18</v>
      </c>
      <c r="D18" s="243">
        <f>+'POR ALMACEN'!D122</f>
        <v>2120</v>
      </c>
      <c r="E18" s="243">
        <f>+'POR ALMACEN'!E122</f>
        <v>2986</v>
      </c>
      <c r="F18" s="243">
        <f>+'POR ALMACEN'!F122</f>
        <v>662.89199999999994</v>
      </c>
      <c r="G18" s="243">
        <v>0</v>
      </c>
      <c r="H18" s="257">
        <f>+'POR ALMACEN'!P122</f>
        <v>393</v>
      </c>
      <c r="I18" s="243">
        <f t="shared" si="0"/>
        <v>393</v>
      </c>
      <c r="J18" s="255"/>
      <c r="K18" s="10"/>
      <c r="L18" s="10"/>
    </row>
    <row r="19" spans="1:20" x14ac:dyDescent="0.2">
      <c r="A19" s="256"/>
      <c r="B19" s="53" t="s">
        <v>212</v>
      </c>
      <c r="C19" s="243">
        <f>+'POR ALMACEN'!C133</f>
        <v>3</v>
      </c>
      <c r="D19" s="243">
        <f>+'POR ALMACEN'!D133</f>
        <v>615</v>
      </c>
      <c r="E19" s="243">
        <f>+'POR ALMACEN'!E133</f>
        <v>1079</v>
      </c>
      <c r="F19" s="243">
        <f>+'POR ALMACEN'!F133</f>
        <v>239.53800000000001</v>
      </c>
      <c r="G19" s="243">
        <v>0</v>
      </c>
      <c r="H19" s="257">
        <f>+'POR ALMACEN'!P133</f>
        <v>162</v>
      </c>
      <c r="I19" s="243">
        <f t="shared" si="0"/>
        <v>162</v>
      </c>
      <c r="J19" s="255"/>
      <c r="K19" s="10"/>
      <c r="L19" s="10"/>
    </row>
    <row r="20" spans="1:20" x14ac:dyDescent="0.2">
      <c r="A20" s="256"/>
      <c r="B20" s="53" t="s">
        <v>213</v>
      </c>
      <c r="C20" s="243">
        <f>+'POR ALMACEN'!C153</f>
        <v>12</v>
      </c>
      <c r="D20" s="243">
        <f>+'POR ALMACEN'!D153</f>
        <v>1083</v>
      </c>
      <c r="E20" s="243">
        <f>+'POR ALMACEN'!E153</f>
        <v>1512</v>
      </c>
      <c r="F20" s="243">
        <f>+'POR ALMACEN'!F153</f>
        <v>335.66399999999999</v>
      </c>
      <c r="G20" s="243">
        <v>0</v>
      </c>
      <c r="H20" s="257">
        <f>+'POR ALMACEN'!P153</f>
        <v>232</v>
      </c>
      <c r="I20" s="243">
        <f t="shared" si="0"/>
        <v>232</v>
      </c>
      <c r="J20" s="255"/>
      <c r="K20" s="10"/>
      <c r="L20" s="10"/>
      <c r="M20" s="10"/>
    </row>
    <row r="21" spans="1:20" ht="11.25" customHeight="1" x14ac:dyDescent="0.2">
      <c r="A21" s="253"/>
      <c r="B21" s="254"/>
      <c r="C21" s="243"/>
      <c r="D21" s="243"/>
      <c r="E21" s="243"/>
      <c r="F21" s="243"/>
      <c r="G21" s="243"/>
      <c r="H21" s="257"/>
      <c r="I21" s="243"/>
      <c r="J21" s="258"/>
      <c r="L21" s="10"/>
    </row>
    <row r="22" spans="1:20" s="250" customFormat="1" ht="20.100000000000001" customHeight="1" x14ac:dyDescent="0.2">
      <c r="A22" s="244" t="s">
        <v>214</v>
      </c>
      <c r="B22" s="245"/>
      <c r="C22" s="246"/>
      <c r="D22" s="246"/>
      <c r="E22" s="246"/>
      <c r="F22" s="247"/>
      <c r="G22" s="259"/>
      <c r="H22" s="260"/>
      <c r="I22" s="246"/>
      <c r="J22" s="249">
        <f>SUM(I24:I33)</f>
        <v>2821</v>
      </c>
      <c r="K22" s="252"/>
      <c r="L22" s="295"/>
      <c r="M22" s="282"/>
      <c r="N22" s="252"/>
      <c r="O22" s="252"/>
      <c r="P22" s="283"/>
      <c r="Q22" s="252"/>
      <c r="R22" s="252"/>
      <c r="T22" s="252"/>
    </row>
    <row r="23" spans="1:20" ht="8.1" customHeight="1" x14ac:dyDescent="0.2">
      <c r="A23" s="253"/>
      <c r="B23" s="254"/>
      <c r="C23" s="243"/>
      <c r="D23" s="243"/>
      <c r="E23" s="243"/>
      <c r="F23" s="243"/>
      <c r="G23" s="243"/>
      <c r="H23" s="257"/>
      <c r="I23" s="243"/>
      <c r="J23" s="255"/>
    </row>
    <row r="24" spans="1:20" x14ac:dyDescent="0.2">
      <c r="A24" s="256"/>
      <c r="B24" s="53" t="s">
        <v>215</v>
      </c>
      <c r="C24" s="243">
        <f>+'POR ALMACEN'!C170</f>
        <v>9</v>
      </c>
      <c r="D24" s="243">
        <f>+'POR ALMACEN'!D170</f>
        <v>1485</v>
      </c>
      <c r="E24" s="243">
        <f>+'POR ALMACEN'!E170</f>
        <v>2139</v>
      </c>
      <c r="F24" s="243">
        <f>+'POR ALMACEN'!F170</f>
        <v>474.858</v>
      </c>
      <c r="G24" s="243">
        <v>0</v>
      </c>
      <c r="H24" s="257">
        <f>+'POR ALMACEN'!P170</f>
        <v>424</v>
      </c>
      <c r="I24" s="243">
        <f t="shared" ref="I24:I33" si="1">H24-G24</f>
        <v>424</v>
      </c>
      <c r="J24" s="255"/>
      <c r="K24" s="10"/>
      <c r="L24" s="10"/>
    </row>
    <row r="25" spans="1:20" x14ac:dyDescent="0.2">
      <c r="A25" s="256"/>
      <c r="B25" s="53" t="s">
        <v>216</v>
      </c>
      <c r="C25" s="243">
        <f>+'POR ALMACEN'!C191</f>
        <v>11</v>
      </c>
      <c r="D25" s="243">
        <f>+'POR ALMACEN'!D191</f>
        <v>846</v>
      </c>
      <c r="E25" s="243">
        <f>+'POR ALMACEN'!E191</f>
        <v>1268</v>
      </c>
      <c r="F25" s="243">
        <f>+'POR ALMACEN'!F191</f>
        <v>281.49599999999998</v>
      </c>
      <c r="G25" s="243">
        <v>0</v>
      </c>
      <c r="H25" s="257">
        <f>+'POR ALMACEN'!P191</f>
        <v>94</v>
      </c>
      <c r="I25" s="243">
        <f t="shared" si="1"/>
        <v>94</v>
      </c>
      <c r="J25" s="255"/>
      <c r="K25" s="10"/>
      <c r="L25" s="10"/>
    </row>
    <row r="26" spans="1:20" x14ac:dyDescent="0.2">
      <c r="A26" s="256"/>
      <c r="B26" s="53" t="s">
        <v>217</v>
      </c>
      <c r="C26" s="243">
        <f>+'POR ALMACEN'!C206</f>
        <v>7</v>
      </c>
      <c r="D26" s="243">
        <f>+'POR ALMACEN'!D206</f>
        <v>677</v>
      </c>
      <c r="E26" s="243">
        <f>+'POR ALMACEN'!E206</f>
        <v>1019</v>
      </c>
      <c r="F26" s="243">
        <f>+'POR ALMACEN'!F206</f>
        <v>226.21800000000002</v>
      </c>
      <c r="G26" s="243">
        <v>0</v>
      </c>
      <c r="H26" s="257">
        <f>+'POR ALMACEN'!P206</f>
        <v>122</v>
      </c>
      <c r="I26" s="243">
        <f t="shared" si="1"/>
        <v>122</v>
      </c>
      <c r="J26" s="255"/>
      <c r="K26" s="10"/>
      <c r="L26" s="10"/>
    </row>
    <row r="27" spans="1:20" x14ac:dyDescent="0.2">
      <c r="A27" s="256"/>
      <c r="B27" s="53" t="s">
        <v>218</v>
      </c>
      <c r="C27" s="243">
        <f>+'POR ALMACEN'!C236</f>
        <v>22</v>
      </c>
      <c r="D27" s="243">
        <f>+'POR ALMACEN'!D236</f>
        <v>1718</v>
      </c>
      <c r="E27" s="243">
        <f>+'POR ALMACEN'!E236</f>
        <v>2563</v>
      </c>
      <c r="F27" s="243">
        <f>+'POR ALMACEN'!F236</f>
        <v>568.98599999999988</v>
      </c>
      <c r="G27" s="243">
        <v>0</v>
      </c>
      <c r="H27" s="257">
        <f>+'POR ALMACEN'!P236</f>
        <v>333</v>
      </c>
      <c r="I27" s="243">
        <f t="shared" si="1"/>
        <v>333</v>
      </c>
      <c r="J27" s="255"/>
      <c r="K27" s="10"/>
      <c r="L27" s="10"/>
    </row>
    <row r="28" spans="1:20" x14ac:dyDescent="0.2">
      <c r="A28" s="256"/>
      <c r="B28" s="53" t="s">
        <v>219</v>
      </c>
      <c r="C28" s="243">
        <f>+'POR ALMACEN'!C261</f>
        <v>15</v>
      </c>
      <c r="D28" s="243">
        <f>+'POR ALMACEN'!D261</f>
        <v>2496</v>
      </c>
      <c r="E28" s="243">
        <f>+'POR ALMACEN'!E261</f>
        <v>3906</v>
      </c>
      <c r="F28" s="243">
        <f>+'POR ALMACEN'!F261</f>
        <v>867.13199999999995</v>
      </c>
      <c r="G28" s="243">
        <v>0</v>
      </c>
      <c r="H28" s="257">
        <f>+'POR ALMACEN'!P261</f>
        <v>587</v>
      </c>
      <c r="I28" s="243">
        <f t="shared" si="1"/>
        <v>587</v>
      </c>
      <c r="J28" s="255"/>
      <c r="K28" s="10"/>
      <c r="L28" s="10"/>
    </row>
    <row r="29" spans="1:20" x14ac:dyDescent="0.2">
      <c r="A29" s="256"/>
      <c r="B29" s="53" t="s">
        <v>220</v>
      </c>
      <c r="C29" s="243">
        <f>+'POR ALMACEN'!C301</f>
        <v>29</v>
      </c>
      <c r="D29" s="243">
        <f>+'POR ALMACEN'!D301</f>
        <v>3474</v>
      </c>
      <c r="E29" s="243">
        <f>+'POR ALMACEN'!E301</f>
        <v>5302</v>
      </c>
      <c r="F29" s="243">
        <f>+'POR ALMACEN'!F301</f>
        <v>1177.0439999999999</v>
      </c>
      <c r="G29" s="243">
        <v>0</v>
      </c>
      <c r="H29" s="257">
        <f>+'POR ALMACEN'!P301</f>
        <v>728</v>
      </c>
      <c r="I29" s="243">
        <f t="shared" si="1"/>
        <v>728</v>
      </c>
      <c r="J29" s="255"/>
      <c r="K29" s="10"/>
      <c r="L29" s="10"/>
    </row>
    <row r="30" spans="1:20" x14ac:dyDescent="0.2">
      <c r="A30" s="256"/>
      <c r="B30" s="53" t="s">
        <v>221</v>
      </c>
      <c r="C30" s="243">
        <f>+'POR ALMACEN'!C321</f>
        <v>11</v>
      </c>
      <c r="D30" s="243">
        <f>+'POR ALMACEN'!D321</f>
        <v>1165</v>
      </c>
      <c r="E30" s="243">
        <f>+'POR ALMACEN'!E321</f>
        <v>1664</v>
      </c>
      <c r="F30" s="243">
        <f>+'POR ALMACEN'!F321</f>
        <v>369.40800000000002</v>
      </c>
      <c r="G30" s="243">
        <v>0</v>
      </c>
      <c r="H30" s="257">
        <f>+'POR ALMACEN'!P321</f>
        <v>162</v>
      </c>
      <c r="I30" s="243">
        <f t="shared" si="1"/>
        <v>162</v>
      </c>
      <c r="J30" s="255"/>
      <c r="K30" s="10"/>
      <c r="L30" s="10"/>
    </row>
    <row r="31" spans="1:20" x14ac:dyDescent="0.2">
      <c r="A31" s="256"/>
      <c r="B31" s="53" t="s">
        <v>222</v>
      </c>
      <c r="C31" s="243">
        <f>+'POR ALMACEN'!C337</f>
        <v>7</v>
      </c>
      <c r="D31" s="243">
        <f>+'POR ALMACEN'!D337</f>
        <v>600</v>
      </c>
      <c r="E31" s="243">
        <f>+'POR ALMACEN'!E337</f>
        <v>858</v>
      </c>
      <c r="F31" s="243">
        <f>+'POR ALMACEN'!F337</f>
        <v>190.47599999999997</v>
      </c>
      <c r="G31" s="243">
        <v>0</v>
      </c>
      <c r="H31" s="257">
        <f>+'POR ALMACEN'!P337</f>
        <v>125</v>
      </c>
      <c r="I31" s="243">
        <f t="shared" si="1"/>
        <v>125</v>
      </c>
      <c r="J31" s="255"/>
      <c r="K31" s="10"/>
      <c r="L31" s="10"/>
    </row>
    <row r="32" spans="1:20" x14ac:dyDescent="0.2">
      <c r="A32" s="256"/>
      <c r="B32" s="53" t="s">
        <v>223</v>
      </c>
      <c r="C32" s="243">
        <f>+'POR ALMACEN'!C345</f>
        <v>0</v>
      </c>
      <c r="D32" s="243">
        <f>+'POR ALMACEN'!D345</f>
        <v>0</v>
      </c>
      <c r="E32" s="243">
        <f>+'POR ALMACEN'!E345</f>
        <v>0</v>
      </c>
      <c r="F32" s="243">
        <f>+'POR ALMACEN'!F345</f>
        <v>0</v>
      </c>
      <c r="G32" s="243">
        <v>0</v>
      </c>
      <c r="H32" s="257">
        <f>+'POR ALMACEN'!P345</f>
        <v>0</v>
      </c>
      <c r="I32" s="243">
        <f t="shared" si="1"/>
        <v>0</v>
      </c>
      <c r="J32" s="255"/>
      <c r="K32" s="10"/>
      <c r="L32" s="10"/>
    </row>
    <row r="33" spans="1:20" x14ac:dyDescent="0.2">
      <c r="A33" s="256"/>
      <c r="B33" s="53" t="s">
        <v>224</v>
      </c>
      <c r="C33" s="243">
        <f>+'POR ALMACEN'!C364</f>
        <v>11</v>
      </c>
      <c r="D33" s="243">
        <f>+'POR ALMACEN'!D364</f>
        <v>934</v>
      </c>
      <c r="E33" s="243">
        <f>+'POR ALMACEN'!E364</f>
        <v>1512</v>
      </c>
      <c r="F33" s="243">
        <f>+'POR ALMACEN'!F364</f>
        <v>335.6640000000001</v>
      </c>
      <c r="G33" s="243">
        <v>0</v>
      </c>
      <c r="H33" s="257">
        <f>+'POR ALMACEN'!P364</f>
        <v>246</v>
      </c>
      <c r="I33" s="243">
        <f t="shared" si="1"/>
        <v>246</v>
      </c>
      <c r="J33" s="255"/>
      <c r="K33" s="10"/>
      <c r="L33" s="10"/>
    </row>
    <row r="34" spans="1:20" ht="12" customHeight="1" x14ac:dyDescent="0.2">
      <c r="A34" s="253"/>
      <c r="B34" s="254"/>
      <c r="C34" s="243"/>
      <c r="D34" s="243"/>
      <c r="E34" s="243"/>
      <c r="F34" s="243"/>
      <c r="G34" s="243"/>
      <c r="H34" s="257"/>
      <c r="I34" s="243"/>
      <c r="J34" s="255"/>
      <c r="L34" s="10"/>
    </row>
    <row r="35" spans="1:20" s="250" customFormat="1" ht="20.100000000000001" customHeight="1" x14ac:dyDescent="0.2">
      <c r="A35" s="244" t="s">
        <v>225</v>
      </c>
      <c r="B35" s="245"/>
      <c r="C35" s="246"/>
      <c r="D35" s="246"/>
      <c r="E35" s="246"/>
      <c r="F35" s="246"/>
      <c r="G35" s="246"/>
      <c r="H35" s="260"/>
      <c r="I35" s="246"/>
      <c r="J35" s="249">
        <f>SUM(I37:I48)</f>
        <v>1149</v>
      </c>
      <c r="L35" s="295"/>
      <c r="M35" s="282"/>
      <c r="N35" s="252"/>
      <c r="O35" s="252"/>
      <c r="P35" s="283"/>
      <c r="Q35" s="252"/>
      <c r="R35" s="252"/>
      <c r="T35" s="252"/>
    </row>
    <row r="36" spans="1:20" ht="8.1" customHeight="1" x14ac:dyDescent="0.2">
      <c r="A36" s="253"/>
      <c r="B36" s="254"/>
      <c r="C36" s="243"/>
      <c r="D36" s="243"/>
      <c r="E36" s="243"/>
      <c r="F36" s="243"/>
      <c r="G36" s="243"/>
      <c r="H36" s="257"/>
      <c r="I36" s="243"/>
      <c r="J36" s="255"/>
    </row>
    <row r="37" spans="1:20" x14ac:dyDescent="0.2">
      <c r="A37" s="256"/>
      <c r="B37" s="262" t="s">
        <v>226</v>
      </c>
      <c r="C37" s="243">
        <f>+'POR ALMACEN'!C379</f>
        <v>5</v>
      </c>
      <c r="D37" s="243">
        <f>+'POR ALMACEN'!D379</f>
        <v>367</v>
      </c>
      <c r="E37" s="243">
        <f>+'POR ALMACEN'!E379</f>
        <v>523</v>
      </c>
      <c r="F37" s="243">
        <f>+'POR ALMACEN'!F379</f>
        <v>116.10599999999999</v>
      </c>
      <c r="G37" s="243">
        <v>0</v>
      </c>
      <c r="H37" s="257">
        <f>+'POR ALMACEN'!P379</f>
        <v>37</v>
      </c>
      <c r="I37" s="243">
        <f t="shared" ref="I37:I48" si="2">H37-G37</f>
        <v>37</v>
      </c>
      <c r="J37" s="255"/>
      <c r="K37" s="10"/>
      <c r="L37" s="10"/>
    </row>
    <row r="38" spans="1:20" x14ac:dyDescent="0.2">
      <c r="A38" s="256"/>
      <c r="B38" s="262" t="s">
        <v>227</v>
      </c>
      <c r="C38" s="243">
        <f>+'POR ALMACEN'!C391</f>
        <v>4</v>
      </c>
      <c r="D38" s="243">
        <f>+'POR ALMACEN'!D391</f>
        <v>310</v>
      </c>
      <c r="E38" s="243">
        <f>+'POR ALMACEN'!E391</f>
        <v>418</v>
      </c>
      <c r="F38" s="243">
        <f>+'POR ALMACEN'!F391</f>
        <v>92.796000000000006</v>
      </c>
      <c r="G38" s="243">
        <v>0</v>
      </c>
      <c r="H38" s="257">
        <f>+'POR ALMACEN'!P391</f>
        <v>58</v>
      </c>
      <c r="I38" s="243">
        <f t="shared" si="2"/>
        <v>58</v>
      </c>
      <c r="J38" s="255"/>
      <c r="K38" s="10"/>
      <c r="L38" s="10"/>
    </row>
    <row r="39" spans="1:20" x14ac:dyDescent="0.2">
      <c r="A39" s="256"/>
      <c r="B39" s="262" t="s">
        <v>228</v>
      </c>
      <c r="C39" s="243">
        <f>+'POR ALMACEN'!C405</f>
        <v>4</v>
      </c>
      <c r="D39" s="243">
        <f>+'POR ALMACEN'!D405</f>
        <v>423</v>
      </c>
      <c r="E39" s="243">
        <f>+'POR ALMACEN'!E405</f>
        <v>704</v>
      </c>
      <c r="F39" s="243">
        <f>+'POR ALMACEN'!F405</f>
        <v>156.28800000000001</v>
      </c>
      <c r="G39" s="243">
        <v>0</v>
      </c>
      <c r="H39" s="257">
        <f>+'POR ALMACEN'!P405</f>
        <v>103</v>
      </c>
      <c r="I39" s="243">
        <f t="shared" si="2"/>
        <v>103</v>
      </c>
      <c r="J39" s="255"/>
      <c r="K39" s="10"/>
      <c r="L39" s="10"/>
    </row>
    <row r="40" spans="1:20" x14ac:dyDescent="0.2">
      <c r="A40" s="256"/>
      <c r="B40" s="262" t="s">
        <v>159</v>
      </c>
      <c r="C40" s="243">
        <f>+'POR ALMACEN'!C419</f>
        <v>6</v>
      </c>
      <c r="D40" s="243">
        <f>+'POR ALMACEN'!D419</f>
        <v>754</v>
      </c>
      <c r="E40" s="243">
        <f>+'POR ALMACEN'!E419</f>
        <v>1037</v>
      </c>
      <c r="F40" s="243">
        <f>+'POR ALMACEN'!F419</f>
        <v>230.214</v>
      </c>
      <c r="G40" s="243">
        <v>0</v>
      </c>
      <c r="H40" s="257">
        <f>+'POR ALMACEN'!P419</f>
        <v>160</v>
      </c>
      <c r="I40" s="243">
        <f t="shared" si="2"/>
        <v>160</v>
      </c>
      <c r="J40" s="255"/>
      <c r="K40" s="10"/>
      <c r="L40" s="10"/>
    </row>
    <row r="41" spans="1:20" x14ac:dyDescent="0.2">
      <c r="A41" s="256"/>
      <c r="B41" s="262" t="s">
        <v>229</v>
      </c>
      <c r="C41" s="243">
        <f>+'POR ALMACEN'!C432</f>
        <v>5</v>
      </c>
      <c r="D41" s="243">
        <f>+'POR ALMACEN'!D432</f>
        <v>478</v>
      </c>
      <c r="E41" s="243">
        <f>+'POR ALMACEN'!E432</f>
        <v>643</v>
      </c>
      <c r="F41" s="243">
        <f>+'POR ALMACEN'!F432</f>
        <v>126.096</v>
      </c>
      <c r="G41" s="243">
        <v>0</v>
      </c>
      <c r="H41" s="257">
        <f>+'POR ALMACEN'!P432</f>
        <v>107</v>
      </c>
      <c r="I41" s="243">
        <f t="shared" si="2"/>
        <v>107</v>
      </c>
      <c r="J41" s="255"/>
      <c r="K41" s="10"/>
      <c r="L41" s="10"/>
    </row>
    <row r="42" spans="1:20" x14ac:dyDescent="0.2">
      <c r="A42" s="256"/>
      <c r="B42" s="262" t="s">
        <v>164</v>
      </c>
      <c r="C42" s="243">
        <f>+'POR ALMACEN'!C451</f>
        <v>11</v>
      </c>
      <c r="D42" s="243">
        <f>+'POR ALMACEN'!D451</f>
        <v>676</v>
      </c>
      <c r="E42" s="243">
        <f>+'POR ALMACEN'!E451</f>
        <v>922</v>
      </c>
      <c r="F42" s="243">
        <f>+'POR ALMACEN'!F451</f>
        <v>204.68400000000003</v>
      </c>
      <c r="G42" s="243">
        <v>0</v>
      </c>
      <c r="H42" s="243">
        <f>+'POR ALMACEN'!P451</f>
        <v>166</v>
      </c>
      <c r="I42" s="243">
        <f t="shared" si="2"/>
        <v>166</v>
      </c>
      <c r="J42" s="255"/>
      <c r="K42" s="10"/>
      <c r="L42" s="10"/>
    </row>
    <row r="43" spans="1:20" x14ac:dyDescent="0.2">
      <c r="A43" s="256"/>
      <c r="B43" s="262" t="s">
        <v>230</v>
      </c>
      <c r="C43" s="243">
        <f>+'POR ALMACEN'!C464</f>
        <v>5</v>
      </c>
      <c r="D43" s="243">
        <f>+'POR ALMACEN'!D464</f>
        <v>202</v>
      </c>
      <c r="E43" s="243">
        <f>+'POR ALMACEN'!E464</f>
        <v>261</v>
      </c>
      <c r="F43" s="243">
        <f>'POR ALMACEN'!F464</f>
        <v>57.942000000000007</v>
      </c>
      <c r="G43" s="243">
        <v>0</v>
      </c>
      <c r="H43" s="257">
        <f>+'POR ALMACEN'!P464</f>
        <v>40</v>
      </c>
      <c r="I43" s="243">
        <f t="shared" si="2"/>
        <v>40</v>
      </c>
      <c r="J43" s="255"/>
      <c r="K43" s="10"/>
      <c r="L43" s="10"/>
    </row>
    <row r="44" spans="1:20" x14ac:dyDescent="0.2">
      <c r="A44" s="256"/>
      <c r="B44" s="262" t="s">
        <v>231</v>
      </c>
      <c r="C44" s="243">
        <f>+'POR ALMACEN'!C483</f>
        <v>11</v>
      </c>
      <c r="D44" s="243">
        <f>+'POR ALMACEN'!D483</f>
        <v>1253</v>
      </c>
      <c r="E44" s="243">
        <f>+'POR ALMACEN'!E483</f>
        <v>1839</v>
      </c>
      <c r="F44" s="243">
        <f>+'POR ALMACEN'!F483</f>
        <v>408.25800000000004</v>
      </c>
      <c r="G44" s="243">
        <v>0</v>
      </c>
      <c r="H44" s="257">
        <f>+'POR ALMACEN'!P483</f>
        <v>157</v>
      </c>
      <c r="I44" s="243">
        <f t="shared" si="2"/>
        <v>157</v>
      </c>
      <c r="J44" s="255"/>
      <c r="K44" s="10"/>
      <c r="L44" s="10"/>
    </row>
    <row r="45" spans="1:20" x14ac:dyDescent="0.2">
      <c r="A45" s="256"/>
      <c r="B45" s="262" t="s">
        <v>232</v>
      </c>
      <c r="C45" s="243">
        <f>+'POR ALMACEN'!C499</f>
        <v>7</v>
      </c>
      <c r="D45" s="243">
        <f>+'POR ALMACEN'!D499</f>
        <v>969</v>
      </c>
      <c r="E45" s="243">
        <f>+'POR ALMACEN'!E499</f>
        <v>1543</v>
      </c>
      <c r="F45" s="243">
        <f>+'POR ALMACEN'!F499</f>
        <v>342.54599999999999</v>
      </c>
      <c r="G45" s="243">
        <v>0</v>
      </c>
      <c r="H45" s="257">
        <f>+'POR ALMACEN'!P499</f>
        <v>240</v>
      </c>
      <c r="I45" s="243">
        <f t="shared" si="2"/>
        <v>240</v>
      </c>
      <c r="J45" s="255"/>
      <c r="K45" s="10"/>
      <c r="L45" s="10"/>
    </row>
    <row r="46" spans="1:20" x14ac:dyDescent="0.2">
      <c r="A46" s="256"/>
      <c r="B46" s="262" t="s">
        <v>233</v>
      </c>
      <c r="C46" s="243">
        <f>+'POR ALMACEN'!C511</f>
        <v>3</v>
      </c>
      <c r="D46" s="243">
        <f>+'POR ALMACEN'!D511</f>
        <v>142</v>
      </c>
      <c r="E46" s="243">
        <f>+'POR ALMACEN'!E511</f>
        <v>206</v>
      </c>
      <c r="F46" s="243">
        <f>+'POR ALMACEN'!F511</f>
        <v>45.732000000000006</v>
      </c>
      <c r="G46" s="243">
        <v>0</v>
      </c>
      <c r="H46" s="257">
        <f>+'POR ALMACEN'!P511</f>
        <v>34</v>
      </c>
      <c r="I46" s="243">
        <f t="shared" si="2"/>
        <v>34</v>
      </c>
      <c r="J46" s="255"/>
      <c r="K46" s="10"/>
      <c r="L46" s="10"/>
    </row>
    <row r="47" spans="1:20" x14ac:dyDescent="0.2">
      <c r="A47" s="256"/>
      <c r="B47" s="262" t="s">
        <v>234</v>
      </c>
      <c r="C47" s="243">
        <f>+'POR ALMACEN'!C521</f>
        <v>2</v>
      </c>
      <c r="D47" s="243">
        <f>+'POR ALMACEN'!D521</f>
        <v>148</v>
      </c>
      <c r="E47" s="243">
        <f>+'POR ALMACEN'!E521</f>
        <v>211</v>
      </c>
      <c r="F47" s="243">
        <f>+'POR ALMACEN'!F521</f>
        <v>46.841999999999999</v>
      </c>
      <c r="G47" s="243">
        <v>0</v>
      </c>
      <c r="H47" s="243">
        <f>+'POR ALMACEN'!P521</f>
        <v>20</v>
      </c>
      <c r="I47" s="243">
        <f t="shared" si="2"/>
        <v>20</v>
      </c>
      <c r="J47" s="255"/>
      <c r="K47" s="10"/>
      <c r="L47" s="10"/>
    </row>
    <row r="48" spans="1:20" ht="11.25" customHeight="1" x14ac:dyDescent="0.2">
      <c r="A48" s="256"/>
      <c r="B48" s="262" t="s">
        <v>196</v>
      </c>
      <c r="C48" s="243">
        <f>+'POR ALMACEN'!C533</f>
        <v>4</v>
      </c>
      <c r="D48" s="243">
        <f>+'POR ALMACEN'!D533</f>
        <v>209</v>
      </c>
      <c r="E48" s="243">
        <f>+'POR ALMACEN'!E533</f>
        <v>261</v>
      </c>
      <c r="F48" s="243">
        <f>+'POR ALMACEN'!F533</f>
        <v>57.942000000000007</v>
      </c>
      <c r="G48" s="243">
        <v>0</v>
      </c>
      <c r="H48" s="243">
        <f>+'POR ALMACEN'!P533</f>
        <v>27</v>
      </c>
      <c r="I48" s="243">
        <f t="shared" si="2"/>
        <v>27</v>
      </c>
      <c r="J48" s="255"/>
      <c r="K48" s="10"/>
      <c r="L48" s="10"/>
    </row>
    <row r="49" spans="1:18" ht="11.25" customHeight="1" x14ac:dyDescent="0.2">
      <c r="A49" s="256"/>
      <c r="C49" s="243"/>
      <c r="D49" s="243"/>
      <c r="E49" s="243"/>
      <c r="F49" s="243"/>
      <c r="G49" s="243"/>
      <c r="H49" s="243"/>
      <c r="I49" s="243"/>
      <c r="J49" s="255"/>
      <c r="L49" s="6"/>
    </row>
    <row r="50" spans="1:18" s="250" customFormat="1" ht="23.45" customHeight="1" x14ac:dyDescent="0.2">
      <c r="A50" s="263">
        <f>COUNTA(B13:B47)</f>
        <v>29</v>
      </c>
      <c r="B50" s="264" t="s">
        <v>235</v>
      </c>
      <c r="C50" s="265">
        <f>SUM(C12:C49)</f>
        <v>270</v>
      </c>
      <c r="D50" s="265">
        <f>SUM(D11:D49)</f>
        <v>28158</v>
      </c>
      <c r="E50" s="265">
        <f>SUM(E11:E49)</f>
        <v>41610</v>
      </c>
      <c r="F50" s="265">
        <f>SUM(F11:F49)</f>
        <v>9278.1959999999963</v>
      </c>
      <c r="G50" s="265">
        <f>SUM(G11:G49)</f>
        <v>0</v>
      </c>
      <c r="H50" s="265">
        <f>SUM(H11:H49)</f>
        <v>5782</v>
      </c>
      <c r="I50" s="265" t="s">
        <v>0</v>
      </c>
      <c r="J50" s="266">
        <f>SUM(J11:J48)</f>
        <v>5782</v>
      </c>
      <c r="L50" s="261"/>
      <c r="M50" s="251"/>
      <c r="N50" s="251"/>
      <c r="O50" s="251"/>
      <c r="P50" s="251"/>
      <c r="Q50" s="252"/>
      <c r="R50" s="252"/>
    </row>
    <row r="51" spans="1:18" x14ac:dyDescent="0.2">
      <c r="A51" s="267"/>
      <c r="B51" s="268"/>
      <c r="C51" s="269"/>
      <c r="D51" s="269"/>
      <c r="E51" s="269"/>
      <c r="F51" s="269"/>
      <c r="G51" s="269"/>
      <c r="H51" s="269"/>
      <c r="I51" s="269"/>
      <c r="J51" s="270"/>
      <c r="L51" s="10"/>
    </row>
    <row r="52" spans="1:18" x14ac:dyDescent="0.2">
      <c r="L52" s="261">
        <f>+J11+J22+J35</f>
        <v>5782</v>
      </c>
      <c r="M52" s="251"/>
      <c r="N52" s="295">
        <f>58+103+160+728+587+240+162+384+125+424+122+333+147+328+393+18+232+106+162+52+8+246+37+20+166+107+8+27+157+40+8+94</f>
        <v>5782</v>
      </c>
      <c r="O52" s="251"/>
      <c r="P52" s="251">
        <f>+L52-N52</f>
        <v>0</v>
      </c>
    </row>
    <row r="54" spans="1:18" ht="20.25" x14ac:dyDescent="0.3">
      <c r="H54" s="315"/>
      <c r="I54" s="315"/>
      <c r="J54" s="315"/>
    </row>
    <row r="55" spans="1:18" x14ac:dyDescent="0.2">
      <c r="N55" s="10"/>
    </row>
  </sheetData>
  <mergeCells count="18">
    <mergeCell ref="A1:J1"/>
    <mergeCell ref="A2:J2"/>
    <mergeCell ref="A3:J3"/>
    <mergeCell ref="A4:J4"/>
    <mergeCell ref="A5:J5"/>
    <mergeCell ref="H54:J54"/>
    <mergeCell ref="A6:J6"/>
    <mergeCell ref="A7:B9"/>
    <mergeCell ref="C7:C9"/>
    <mergeCell ref="D7:E7"/>
    <mergeCell ref="F7:F9"/>
    <mergeCell ref="G7:G9"/>
    <mergeCell ref="H7:I7"/>
    <mergeCell ref="J7:J9"/>
    <mergeCell ref="D8:D9"/>
    <mergeCell ref="E8:E9"/>
    <mergeCell ref="H8:H9"/>
    <mergeCell ref="I8:I9"/>
  </mergeCells>
  <pageMargins left="0.44027777777777799" right="0.22986111111111099" top="0.25972222222222202" bottom="0.3" header="0.51180555555555496" footer="0.51180555555555496"/>
  <pageSetup fitToWidth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POR ALMACEN</vt:lpstr>
      <vt:lpstr>TOTAL</vt:lpstr>
      <vt:lpstr>'POR ALMACEN'!Área_de_impresión</vt:lpstr>
      <vt:lpstr>TOTAL!Área_de_impresión</vt:lpstr>
      <vt:lpstr>'POR ALMACEN'!Títulos_a_imprimir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Embarques</dc:creator>
  <dc:description/>
  <cp:lastModifiedBy>Jesus Damian Santiago Lopez</cp:lastModifiedBy>
  <cp:revision>83</cp:revision>
  <cp:lastPrinted>2019-09-11T14:40:27Z</cp:lastPrinted>
  <dcterms:created xsi:type="dcterms:W3CDTF">2010-06-11T17:00:44Z</dcterms:created>
  <dcterms:modified xsi:type="dcterms:W3CDTF">2026-02-17T15:22:21Z</dcterms:modified>
  <dc:language>es-MX</dc:language>
</cp:coreProperties>
</file>