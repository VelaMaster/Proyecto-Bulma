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1"/>
  <mc:AlternateContent xmlns:mc="http://schemas.openxmlformats.org/markup-compatibility/2006">
    <mc:Choice Requires="x15">
      <x15ac:absPath xmlns:x15ac="http://schemas.microsoft.com/office/spreadsheetml/2010/11/ac" url="C:\2026\DICONSA\MINUTAS\04-ABRIL\"/>
    </mc:Choice>
  </mc:AlternateContent>
  <xr:revisionPtr revIDLastSave="0" documentId="13_ncr:1_{BC7440A9-9C18-4C56-97E6-E73C89BA3717}" xr6:coauthVersionLast="47" xr6:coauthVersionMax="47" xr10:uidLastSave="{00000000-0000-0000-0000-000000000000}"/>
  <bookViews>
    <workbookView xWindow="-120" yWindow="-120" windowWidth="29040" windowHeight="15840" tabRatio="282" activeTab="3" xr2:uid="{00000000-000D-0000-FFFF-FFFF00000000}"/>
  </bookViews>
  <sheets>
    <sheet name="Inventarios" sheetId="1" r:id="rId1"/>
    <sheet name="Fechas" sheetId="2" r:id="rId2"/>
    <sheet name="Tiendas" sheetId="3" r:id="rId3"/>
    <sheet name="Acuerdos" sheetId="4" r:id="rId4"/>
    <sheet name="Hoja1" sheetId="5" r:id="rId5"/>
  </sheets>
  <definedNames>
    <definedName name="_xlnm.Print_Area" localSheetId="3">Acuerdos!$B$2:$I$60</definedName>
    <definedName name="_xlnm.Print_Area" localSheetId="1">Fechas!$A$1:$E$38</definedName>
    <definedName name="_xlnm.Print_Area" localSheetId="0">Inventarios!$A$1:$V$218</definedName>
    <definedName name="_xlnm.Print_Area" localSheetId="2">Tiendas!$A$1:$J$19</definedName>
    <definedName name="_xlnm.Print_Titles" localSheetId="3">Acuerdos!$1:$4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000-000001000000}">
      <text>
        <r>
          <rPr>
            <sz val="10"/>
            <rFont val="Arial"/>
            <family val="2"/>
          </rPr>
          <t xml:space="preserve">Embarques:
</t>
        </r>
        <r>
          <rPr>
            <sz val="9"/>
            <color rgb="FF000000"/>
            <rFont val="Tahoma"/>
            <family val="2"/>
            <charset val="1"/>
          </rPr>
          <t xml:space="preserve">SE RELLENARA CON LA FECHA LIMITE DE ENTREGA DEL PRODUCTO A DICONSA
</t>
        </r>
      </text>
    </comment>
    <comment ref="C15" authorId="0" shapeId="0" xr:uid="{00000000-0006-0000-0000-000002000000}">
      <text>
        <r>
          <rPr>
            <sz val="10"/>
            <rFont val="Arial"/>
            <family val="2"/>
          </rPr>
          <t xml:space="preserve">Embarques:
</t>
        </r>
        <r>
          <rPr>
            <sz val="9"/>
            <color rgb="FF000000"/>
            <rFont val="Tahoma"/>
            <family val="2"/>
            <charset val="1"/>
          </rPr>
          <t xml:space="preserve">SE RELLENA CON LA FECHA DEL SELLO QUE APARECE EN LA FACTURA Y QUE FUE RECEPCIONADO POR EL ALMACEN DE DICONSA </t>
        </r>
      </text>
    </comment>
    <comment ref="D15" authorId="0" shapeId="0" xr:uid="{00000000-0006-0000-0000-000003000000}">
      <text>
        <r>
          <rPr>
            <sz val="10"/>
            <rFont val="Arial"/>
            <family val="2"/>
          </rPr>
          <t xml:space="preserve">Embarques:
</t>
        </r>
        <r>
          <rPr>
            <sz val="9"/>
            <color rgb="FF000000"/>
            <rFont val="Tahoma"/>
            <family val="2"/>
            <charset val="1"/>
          </rPr>
          <t>SE REQUISITA CON EL NUMERO DE FACTURA QUE FUE EMITIDA LA ENTREGA</t>
        </r>
      </text>
    </comment>
    <comment ref="F15" authorId="0" shapeId="0" xr:uid="{00000000-0006-0000-0000-000004000000}">
      <text>
        <r>
          <rPr>
            <sz val="10"/>
            <rFont val="Arial"/>
            <family val="2"/>
          </rPr>
          <t xml:space="preserve">Embarques:
</t>
        </r>
        <r>
          <rPr>
            <sz val="9"/>
            <color rgb="FF000000"/>
            <rFont val="Tahoma"/>
            <family val="2"/>
            <charset val="1"/>
          </rPr>
          <t>SE REQUISITA CON LA CANTIDAD DE CAJAS QUE SE LE ENVIA A DICONSA Y SE CONVIERTE A LITROS</t>
        </r>
      </text>
    </comment>
    <comment ref="M74" authorId="0" shapeId="0" xr:uid="{00000000-0006-0000-0000-000005000000}">
      <text>
        <r>
          <rPr>
            <sz val="10"/>
            <rFont val="Arial"/>
            <family val="2"/>
          </rPr>
          <t xml:space="preserve">Embarques:
</t>
        </r>
        <r>
          <rPr>
            <sz val="9"/>
            <color rgb="FF000000"/>
            <rFont val="Tahoma"/>
            <family val="2"/>
            <charset val="1"/>
          </rPr>
          <t>SE REQUISITA DE LOS INVENTARIOS DE LECHE EN LOS ALMACENES</t>
        </r>
      </text>
    </comment>
    <comment ref="C75" authorId="0" shapeId="0" xr:uid="{00000000-0006-0000-0000-000006000000}">
      <text>
        <r>
          <rPr>
            <sz val="10"/>
            <rFont val="Arial"/>
            <family val="2"/>
          </rPr>
          <t xml:space="preserve">Embarques:
</t>
        </r>
        <r>
          <rPr>
            <sz val="9"/>
            <color rgb="FF000000"/>
            <rFont val="Tahoma"/>
            <family val="2"/>
            <charset val="1"/>
          </rPr>
          <t xml:space="preserve">SE REQUISITA CON LOS INVENTARIOS EN CADA ALMACEN RURAL REALIZADOS POR EL DEPARTAMENTO DE PADRON DE BENEFICIARIOS
</t>
        </r>
      </text>
    </comment>
    <comment ref="G75" authorId="0" shapeId="0" xr:uid="{00000000-0006-0000-0000-000007000000}">
      <text>
        <r>
          <rPr>
            <sz val="10"/>
            <rFont val="Arial"/>
            <family val="2"/>
          </rPr>
          <t xml:space="preserve">Embarques:
</t>
        </r>
        <r>
          <rPr>
            <sz val="9"/>
            <color rgb="FF000000"/>
            <rFont val="Tahoma"/>
            <family val="2"/>
            <charset val="1"/>
          </rPr>
          <t xml:space="preserve">SE REQUISITA CON LOS INVENTARIO S REALIZADOS POR LO PROMOTORES EN CADA ALMACEN RURAL
</t>
        </r>
      </text>
    </comment>
    <comment ref="C127" authorId="0" shapeId="0" xr:uid="{00000000-0006-0000-0000-000008000000}">
      <text>
        <r>
          <rPr>
            <sz val="10"/>
            <rFont val="Arial"/>
            <family val="2"/>
          </rPr>
          <t xml:space="preserve">Embarques:
</t>
        </r>
        <r>
          <rPr>
            <sz val="9"/>
            <color rgb="FF000000"/>
            <rFont val="Tahoma"/>
            <family val="2"/>
            <charset val="1"/>
          </rPr>
          <t xml:space="preserve">SE REQUISITA DEL OPER
</t>
        </r>
      </text>
    </comment>
    <comment ref="D127" authorId="0" shapeId="0" xr:uid="{00000000-0006-0000-0000-000009000000}">
      <text>
        <r>
          <rPr>
            <sz val="10"/>
            <rFont val="Arial"/>
            <family val="2"/>
          </rPr>
          <t xml:space="preserve">Embarques:
</t>
        </r>
        <r>
          <rPr>
            <sz val="9"/>
            <color rgb="FF000000"/>
            <rFont val="Tahoma"/>
            <family val="2"/>
            <charset val="1"/>
          </rPr>
          <t>SE REQUISITA DEL OPER</t>
        </r>
      </text>
    </comment>
    <comment ref="G127" authorId="0" shapeId="0" xr:uid="{00000000-0006-0000-0000-00000A000000}">
      <text>
        <r>
          <rPr>
            <sz val="10"/>
            <rFont val="Arial"/>
            <family val="2"/>
          </rPr>
          <t xml:space="preserve">Embarques:
</t>
        </r>
        <r>
          <rPr>
            <sz val="9"/>
            <color rgb="FF000000"/>
            <rFont val="Tahoma"/>
            <family val="2"/>
            <charset val="1"/>
          </rPr>
          <t>SE REQUISITA DEL OPER</t>
        </r>
      </text>
    </comment>
    <comment ref="K128" authorId="0" shapeId="0" xr:uid="{00000000-0006-0000-0000-00000B000000}">
      <text>
        <r>
          <rPr>
            <sz val="10"/>
            <rFont val="Arial"/>
            <family val="2"/>
          </rPr>
          <t xml:space="preserve">Embarques:
</t>
        </r>
        <r>
          <rPr>
            <sz val="9"/>
            <color rgb="FF000000"/>
            <rFont val="Tahoma"/>
            <family val="2"/>
            <charset val="1"/>
          </rPr>
          <t xml:space="preserve">SE REQUISITA DEL OPER DE LA VENTA SEGÚN LA LISTA DE RETIRO
</t>
        </r>
      </text>
    </comment>
  </commentList>
</comments>
</file>

<file path=xl/sharedStrings.xml><?xml version="1.0" encoding="utf-8"?>
<sst xmlns="http://schemas.openxmlformats.org/spreadsheetml/2006/main" count="457" uniqueCount="282">
  <si>
    <t xml:space="preserve">MINUTA DE LA REUNION MENSUAL DE TRABAJO CELEBRADA BAJO LAS CLAUSULAS DEL </t>
  </si>
  <si>
    <t>DÍAS DE DISTRIBUCIÓN</t>
  </si>
  <si>
    <t>Programa de Abasto:</t>
  </si>
  <si>
    <t>OAXACA</t>
  </si>
  <si>
    <t>Información al cierre de:</t>
  </si>
  <si>
    <t>Nombre</t>
  </si>
  <si>
    <t>Fecha programada</t>
  </si>
  <si>
    <t>Fecha real</t>
  </si>
  <si>
    <t>Número de</t>
  </si>
  <si>
    <t>Desfasamiento</t>
  </si>
  <si>
    <t>Leche</t>
  </si>
  <si>
    <t xml:space="preserve"> Leche Recibida (lts)</t>
  </si>
  <si>
    <t>Diferencia (lts)</t>
  </si>
  <si>
    <t>del Almacén</t>
  </si>
  <si>
    <t>para la recepción de</t>
  </si>
  <si>
    <t>de recepción</t>
  </si>
  <si>
    <t>factura</t>
  </si>
  <si>
    <t>en días</t>
  </si>
  <si>
    <t>solicitada</t>
  </si>
  <si>
    <t xml:space="preserve">En </t>
  </si>
  <si>
    <t>Fuera de</t>
  </si>
  <si>
    <t>Total</t>
  </si>
  <si>
    <t>solicitados</t>
  </si>
  <si>
    <t>Receptor</t>
  </si>
  <si>
    <t>leche por embarque</t>
  </si>
  <si>
    <t>por embarque</t>
  </si>
  <si>
    <t>(lts)</t>
  </si>
  <si>
    <t>Tiempo</t>
  </si>
  <si>
    <t>vs recibidos</t>
  </si>
  <si>
    <t>HUAJUAPAN</t>
  </si>
  <si>
    <t>IXTEPEC</t>
  </si>
  <si>
    <t>TOTAL</t>
  </si>
  <si>
    <t>OBSERVACIONES</t>
  </si>
  <si>
    <t>2. REPORTE DE MOVIMIENTOS E INVENTARIOS EN ALMACENES RECEPTORES DIRECTOS DE PLANTA (Almacenes Centrales y Rurales)</t>
  </si>
  <si>
    <t>Nombre del Almacen Receptor</t>
  </si>
  <si>
    <t>Inventario Inicial</t>
  </si>
  <si>
    <t>Fecha de levantamiento de inventario</t>
  </si>
  <si>
    <t>Leche Recibida en PAS (lts)</t>
  </si>
  <si>
    <t>Leche Recibida por Movimientos Internos</t>
  </si>
  <si>
    <t>Leche Distribuida (lts)</t>
  </si>
  <si>
    <t>Bajas de Leche del Inventario</t>
  </si>
  <si>
    <t>Inventario Final (lts)</t>
  </si>
  <si>
    <t xml:space="preserve">Fecha de Inventario final </t>
  </si>
  <si>
    <t>Días de Inventario /2</t>
  </si>
  <si>
    <t>de Plantas</t>
  </si>
  <si>
    <t>por Transferencia entre PAS</t>
  </si>
  <si>
    <t>Transferencias entre almacenes del PAS</t>
  </si>
  <si>
    <t>Devoluciones</t>
  </si>
  <si>
    <t>por Transferencia entre almacenes del PAS</t>
  </si>
  <si>
    <t>a almacenes rurales</t>
  </si>
  <si>
    <t xml:space="preserve"> a puntos de venta</t>
  </si>
  <si>
    <t>Litros 1/</t>
  </si>
  <si>
    <t>días 1/</t>
  </si>
  <si>
    <t xml:space="preserve"> </t>
  </si>
  <si>
    <t>1/ Deberá corresponder al inventario final que reportó al cierre del mes anterior.</t>
  </si>
  <si>
    <t>2/ Días de inventario = Inventario Final / (Leche vendida / 24 días de distribución).</t>
  </si>
  <si>
    <t>Nota: Para la leche recibida y distribuida especificar en este apartado la cantidad, el origen, destino y causa de las transferencias de leche entre almacenes.</t>
  </si>
  <si>
    <t>3. REPORTE DE MOVIMIENTOS E INVENTARIOS EN ALMACENES RURALES DISTRIBUIDORES A TIENDAS (No receptores directos de planta)</t>
  </si>
  <si>
    <t>Nombre del</t>
  </si>
  <si>
    <t>Inventario</t>
  </si>
  <si>
    <t>Leche Recibida (lts)</t>
  </si>
  <si>
    <t xml:space="preserve">Bajas de </t>
  </si>
  <si>
    <t xml:space="preserve">Fecha de </t>
  </si>
  <si>
    <t>Dias de</t>
  </si>
  <si>
    <t>Almacén</t>
  </si>
  <si>
    <t>Inicial 1/</t>
  </si>
  <si>
    <t>de Almacenes</t>
  </si>
  <si>
    <t>Por Transferencia</t>
  </si>
  <si>
    <t>por Devoluciones</t>
  </si>
  <si>
    <t xml:space="preserve"> a Puntos de</t>
  </si>
  <si>
    <t>Leche del</t>
  </si>
  <si>
    <t>Final</t>
  </si>
  <si>
    <t>Rural</t>
  </si>
  <si>
    <t>Receptores</t>
  </si>
  <si>
    <t>entre Almacenes</t>
  </si>
  <si>
    <t>de Puntos de Venta</t>
  </si>
  <si>
    <t>Venta</t>
  </si>
  <si>
    <t>Alm. Receptores</t>
  </si>
  <si>
    <t>2/</t>
  </si>
  <si>
    <t>CHALCANTONGO DE HIDALGO</t>
  </si>
  <si>
    <t>COIXTLAHUACA</t>
  </si>
  <si>
    <t>CONSTANCIA DEL ROSARIO</t>
  </si>
  <si>
    <t>HUAJOLOTITLAN</t>
  </si>
  <si>
    <t>TACACHE DE MINA</t>
  </si>
  <si>
    <t>TLAXIACO</t>
  </si>
  <si>
    <t>TECOMAXTLAHUACA</t>
  </si>
  <si>
    <t>YANHUITLAN</t>
  </si>
  <si>
    <t>MORRO MAZATAN</t>
  </si>
  <si>
    <t>PALOMARES</t>
  </si>
  <si>
    <t>SANTIAGO NILTEPEC</t>
  </si>
  <si>
    <t>SANTIAGO LAOLLAGA</t>
  </si>
  <si>
    <t>EL TOMATAL</t>
  </si>
  <si>
    <t>SAN ANDRES HUAXPALTEPEC</t>
  </si>
  <si>
    <t>SANTA MARIA HUATULCO</t>
  </si>
  <si>
    <t>LA REFORMA YAUTEPEC</t>
  </si>
  <si>
    <t>LOS IDEALES</t>
  </si>
  <si>
    <t>PUEBLO NUEVO</t>
  </si>
  <si>
    <t>VALLES CENTRALES OAXACA</t>
  </si>
  <si>
    <t>SAN ANDRES HIDALGO</t>
  </si>
  <si>
    <t>SAN JOSE EL CHILAR</t>
  </si>
  <si>
    <t>TEOTITLAN DE FLORES MAGON</t>
  </si>
  <si>
    <t>AYUTLA MIXES</t>
  </si>
  <si>
    <t>IXTLAN DE JUAREZ</t>
  </si>
  <si>
    <t>MAGDALENA OCOTLAN</t>
  </si>
  <si>
    <t>SANTO TOMAS TAMAZULAPAM</t>
  </si>
  <si>
    <t>SAN PEDRO JUCHATENGO</t>
  </si>
  <si>
    <t>SANTIAGO MATATLAN, MITLA</t>
  </si>
  <si>
    <t>SAN ANTONIO CUAJIMOLOYAS</t>
  </si>
  <si>
    <t>SANTA MARIA LACHIXIO</t>
  </si>
  <si>
    <t xml:space="preserve">                                                                          </t>
  </si>
  <si>
    <t>4. REPORTE DE MOVIMIENTOS E INVENTARIOS EN PUNTOS DE VENTA</t>
  </si>
  <si>
    <t>Total de</t>
  </si>
  <si>
    <t xml:space="preserve">Leche </t>
  </si>
  <si>
    <t>Leche en</t>
  </si>
  <si>
    <t>Devolución</t>
  </si>
  <si>
    <t>Total de Leche</t>
  </si>
  <si>
    <t>Equivalente</t>
  </si>
  <si>
    <t>Ventas (lts)</t>
  </si>
  <si>
    <t>Puntos de Venta</t>
  </si>
  <si>
    <t>Recibida</t>
  </si>
  <si>
    <t>Tránsito</t>
  </si>
  <si>
    <t>a Almacenes</t>
  </si>
  <si>
    <t>Disponible</t>
  </si>
  <si>
    <t xml:space="preserve">Diferencia en </t>
  </si>
  <si>
    <t>Registradas</t>
  </si>
  <si>
    <t>Diferencia en Registro</t>
  </si>
  <si>
    <t>distribuidor</t>
  </si>
  <si>
    <t>por Almacén</t>
  </si>
  <si>
    <t>Inventarios</t>
  </si>
  <si>
    <t>en L. de Ret.</t>
  </si>
  <si>
    <t>Litros de (+)</t>
  </si>
  <si>
    <t>Litros de ( - )</t>
  </si>
  <si>
    <t>SANTIAGO MATATLAN</t>
  </si>
  <si>
    <t>2/ Días de Inventario = Inventario Final / (Leche vendida por diferencia de inventarios / 24 días de distribución).</t>
  </si>
  <si>
    <t>5. CONSOLIDACIÓN ESTATAL DE MOVIMIENTOS E INVENTARIOS DE LECHE</t>
  </si>
  <si>
    <t>Unidad de Medida</t>
  </si>
  <si>
    <t>Leche recibida en</t>
  </si>
  <si>
    <t>Transferencias entre</t>
  </si>
  <si>
    <t>Días de</t>
  </si>
  <si>
    <t>Almacenes Receptores de Planta</t>
  </si>
  <si>
    <t>Promedio de Venta Diario</t>
  </si>
  <si>
    <t>Inicial</t>
  </si>
  <si>
    <t>almacenes receptores</t>
  </si>
  <si>
    <t>Almacenes del PAS</t>
  </si>
  <si>
    <t>Vendida</t>
  </si>
  <si>
    <t>FAMILIAS</t>
  </si>
  <si>
    <t>BENEFICIARIOS</t>
  </si>
  <si>
    <t>MES DE OPERACIÓN</t>
  </si>
  <si>
    <t>y Transferencias</t>
  </si>
  <si>
    <t xml:space="preserve"> entre PAS (lts)</t>
  </si>
  <si>
    <t>1/</t>
  </si>
  <si>
    <t>Litros</t>
  </si>
  <si>
    <t>Cajas</t>
  </si>
  <si>
    <t>1/ Días de Inventario = Inventario Final / (Leche vendida por diferencia de inventarios / 24 días de distribución).</t>
  </si>
  <si>
    <t>Para corroborar que los datos registrados en los cuadros anteriores son correctos los siguientes renglones deberán estar en cero.</t>
  </si>
  <si>
    <t>Leche recibida</t>
  </si>
  <si>
    <t>Dev. de ptos. de Vta.</t>
  </si>
  <si>
    <t>Dist. a almacenes Rur.</t>
  </si>
  <si>
    <t>Dist. a ptos de vta.</t>
  </si>
  <si>
    <t>Inventario Final</t>
  </si>
  <si>
    <t>NOMBRE Y FIRMA</t>
  </si>
  <si>
    <t>6. ENTREGA DE LA REQUISICIÓN DE LECHE DE</t>
  </si>
  <si>
    <t>QUE SE CONCILIA:</t>
  </si>
  <si>
    <t xml:space="preserve">Programa de Abasto Social :   </t>
  </si>
  <si>
    <t xml:space="preserve">Información al cierre de :          </t>
  </si>
  <si>
    <t>Fecha</t>
  </si>
  <si>
    <t>Fecha de</t>
  </si>
  <si>
    <t>Establecida</t>
  </si>
  <si>
    <t>Entrega</t>
  </si>
  <si>
    <t>(días)</t>
  </si>
  <si>
    <t>A LOS PUNTOS DE VENTA CORRESPONDIENTE AL MES DE</t>
  </si>
  <si>
    <t>OPERACIÓN QUE SE CONCILIA:</t>
  </si>
  <si>
    <t>8. SEGUIMIENTO DEL PROGRAMA DE DISTRIBUCION</t>
  </si>
  <si>
    <t>Litros entregados en tiendas</t>
  </si>
  <si>
    <t>diferencia</t>
  </si>
  <si>
    <t>9.CANTIDAD DE LECHE A SOLICITAR PARA EL SIGUIENTE</t>
  </si>
  <si>
    <t xml:space="preserve">MES DE OPERACIÓN :          </t>
  </si>
  <si>
    <t>Fecha estimada</t>
  </si>
  <si>
    <t>para su</t>
  </si>
  <si>
    <t>Solicitada</t>
  </si>
  <si>
    <t>recepción</t>
  </si>
  <si>
    <t>(cajas)</t>
  </si>
  <si>
    <t>Programa de Abasto Social :</t>
  </si>
  <si>
    <t>Información al cierre de :</t>
  </si>
  <si>
    <t>Total de Puntos</t>
  </si>
  <si>
    <t>Altas de Punto de Venta</t>
  </si>
  <si>
    <t>Bajas de Punto de Venta</t>
  </si>
  <si>
    <t>al cierre anterior</t>
  </si>
  <si>
    <t>Aperturas</t>
  </si>
  <si>
    <t>-</t>
  </si>
  <si>
    <t>Cambio de</t>
  </si>
  <si>
    <t>Subtotal</t>
  </si>
  <si>
    <t>Cierre</t>
  </si>
  <si>
    <t>Fusión</t>
  </si>
  <si>
    <t>al cierre actual</t>
  </si>
  <si>
    <t>Esquema</t>
  </si>
  <si>
    <t>REFERENCIA</t>
  </si>
  <si>
    <t>ACUERDO</t>
  </si>
  <si>
    <t>RESPONSABLE (S)</t>
  </si>
  <si>
    <t>FECHA PROGRAMADA</t>
  </si>
  <si>
    <t>(DD/MM/AA)</t>
  </si>
  <si>
    <t>14.- LEVANTAMIENTO FÍSICO DE INVENTARIOS</t>
  </si>
  <si>
    <t xml:space="preserve">        EMPRESA RESPONSABLE:</t>
  </si>
  <si>
    <t>ALMACENES RURALES:</t>
  </si>
  <si>
    <t>TIENDAS COMUNITARIAS:</t>
  </si>
  <si>
    <t xml:space="preserve">                        EMPRESA RESPONSABLE:</t>
  </si>
  <si>
    <t>LOS ABAJO FIRMANTES DECLARAN LA VERACIDAD DE LA INFORMACION PARA LOS EFECTOS  A QUE DE LUGAR.</t>
  </si>
  <si>
    <t>LIC. ABEL FLORES FERNÁNDEZ</t>
  </si>
  <si>
    <t>Subgerente de Abasto</t>
  </si>
  <si>
    <t xml:space="preserve">OBSERVACIONES: </t>
  </si>
  <si>
    <t>MVZ. TEODORO J. GUZMAN CORRAL</t>
  </si>
  <si>
    <t>Gerente Estatal Oaxaca</t>
  </si>
  <si>
    <t>GERENTE ESTATAL OAXACA</t>
  </si>
  <si>
    <t>LIC. ANDREA DEL ROSARIO URIAS SOLIS</t>
  </si>
  <si>
    <t>Subgerente de Operaciones y Abasto</t>
  </si>
  <si>
    <t>LIC. YURI ARIEL SALCIDO MACIAS</t>
  </si>
  <si>
    <t>ENCARGADA DE LA GERENCIA ALIMENTACIÓN</t>
  </si>
  <si>
    <t>PARA EL BIENESTAR OAXACA</t>
  </si>
  <si>
    <t xml:space="preserve">SIENDO LAS DIEZ HORAS, EN LAS OFICINAS QUE OCUPA LA GERENCIA ESTATAL DE ALIMENTACIÓN PARA </t>
  </si>
  <si>
    <t>EL BIENESTAR OAXACA S.A. DE C.V., SITO EN CARRETERA INTERNACIONAL KM.543 LOMAS DE SANTA ROSA</t>
  </si>
  <si>
    <t>POR ALIMENTACIÓN PARA EL BIENESTAR</t>
  </si>
  <si>
    <t>Se anexan impresos de problemática y cierres de tiendas Alimentación para el Bienestar</t>
  </si>
  <si>
    <t xml:space="preserve">OBSERVACIONES:  </t>
  </si>
  <si>
    <t>CONTENIDO DE LA MINUTA DE CONCILIACIÓN LECHE PARA EL BIENESTAR - ALIMENTACIÓN PARA EL BIENESTAR</t>
  </si>
  <si>
    <t>1. EMBARQUES DE LECHE DE LAS PLANTAS DE LECHE PARA EL BIENESTAR A LOS ALMACENES ALIMENTACION PARA EL BIENESTAR</t>
  </si>
  <si>
    <t>PADRON DE BENEFICIARIOS EN ALIMENTACIÓN PARA EL BIENESTAR</t>
  </si>
  <si>
    <t>POR ALIMENTACIÓN PARA EL BIENESTAR                      Coordinación de Abasto Promotor Social ó                   Supervisor Operativo</t>
  </si>
  <si>
    <t>POR LECHE PARA EL BIENESTAR                      Ing. Raúl del Angel Sánchez</t>
  </si>
  <si>
    <t>LECHE PARA EL BIENESTAR</t>
  </si>
  <si>
    <t xml:space="preserve"> ALIMENTACIÓN PARA EL BIENESTAR</t>
  </si>
  <si>
    <t>POR LECHE PARA EL BIENESTAR</t>
  </si>
  <si>
    <t>10. NÚMERO DE PUNTOS DE VENTA DE LECHE PARA EL BIENESTAR QUE OPERAN EN LAS TIENDAS DE ALIMENTACIÓN PARA EL BIENESTAR</t>
  </si>
  <si>
    <t>ALIMENTACIÓN PARA EL BIENESTAR CORRESPONDIENTE AL MES DE OPERACIÓN</t>
  </si>
  <si>
    <t>7. ENTREGA A ALIMENTACIÓN PARA EL BIENESTAR DEL PROGRAMA DE DISTRIBUCIÓN</t>
  </si>
  <si>
    <t xml:space="preserve">LECHE PARA </t>
  </si>
  <si>
    <t>EL BIENESTAR</t>
  </si>
  <si>
    <t>Encargado de la Gerencia Alimentación para el Bienestar Oaxaca</t>
  </si>
  <si>
    <t>Litros programados por Leche para el Bienestar</t>
  </si>
  <si>
    <t>SE ENCUENTRA EXTRAVIADA UNA CAJA</t>
  </si>
  <si>
    <t>JUNIO</t>
  </si>
  <si>
    <t>CONVENIO ENTRE LECHE PARA EL BIENESTAR Y ALIMENTACIÓN PARA EL BIENESTAR REALIZADA EL DÍA 10 DE JUNIO DEL 2026</t>
  </si>
  <si>
    <t>SE RECIBIERON 127 + 28 CAJAS DE JUNIO</t>
  </si>
  <si>
    <t>SE RECIBIERON 366+ 25 CAJAS DE JUNIO</t>
  </si>
  <si>
    <t>SE RECIBIERON 167 CAJAS DE $4.5 DE JUNIO</t>
  </si>
  <si>
    <t>SE RECIBIERON 729 + 65 CAJAS DE JUNIO</t>
  </si>
  <si>
    <t>SE RECIBIERON 625 CAJAS DE $4.5  DEL MES DE JUNIO</t>
  </si>
  <si>
    <t>OCOAX9519</t>
  </si>
  <si>
    <t>OCOAX9514</t>
  </si>
  <si>
    <t>OCOAX9513</t>
  </si>
  <si>
    <t>OCOAX9521</t>
  </si>
  <si>
    <t>OCOAX9520</t>
  </si>
  <si>
    <t>OCOAX9540</t>
  </si>
  <si>
    <t>OCOAX9548</t>
  </si>
  <si>
    <t>OCOAX9547</t>
  </si>
  <si>
    <t>OCOAX9531</t>
  </si>
  <si>
    <t>OCOAX9530</t>
  </si>
  <si>
    <t>JUNIO</t>
  </si>
  <si>
    <t>Leche para el Bienestar informa a Alimentación para el Bienestar que el encargado de la tienda 2007311500 - 31, vendió sin registrar 40 litros de leche de la localidad de Asunción Atoyaquillo, correspondiente al almacén de Constancia del Rosario.</t>
  </si>
  <si>
    <t>Leche para el Bienestar informa a Alimentación para el Bienestar que el encargado de la tienda 2051511700 - 8003, registró sin vender 232 litros de leche de la localidad de Santa Cruz Bamba y Garrapatero, correspondiente al almacén de Morro Mazatlan.</t>
  </si>
  <si>
    <t>Leche para el Bienestar informa a Alimentación para el Bienestar que el encargado de la tienda 2032710300 - 101, vendió sin registrar 264 litros de leche de la localidad de Pesqueria Rancho Salinas, correspondiente al almacén de Santiago Niltepec.</t>
  </si>
  <si>
    <t>Leche para el Bienestar informa a Alimentación para el Bienestar que el encargado de la tienda 2050510100 - 21, registró sin vender 26 litros de leche de la localidad de La Blanca, correspondiente al almacén de Santiago Niltepec.</t>
  </si>
  <si>
    <t>Leche para el Bienestar informa a Alimentación para el Bienestar que el encargado de la tienda 2014310500 - 71, vendió sin registrar 172 litros de leche de la localidad de San Francisco Ixhuatan, correspondiente al almacén de Santiago Niltepec.</t>
  </si>
  <si>
    <t>Leche para el Bienestar informa a Alimentación para el Bienestar que el encargado de la tienda 2046310100 - 14, vendió sin registrar 40 litros de leche de la localidad de Santiago Huauclilla, correspondiente al almacén de Santo Domingo Yanhuitlán.</t>
  </si>
  <si>
    <t>Leche para el Bienestar informa a Alimentación para el Bienestar que el encargado de la tienda 2026410200 - 21, vendió sin registrar 32 litros de leche de la localidad de El Fortin Alto, correspondiente al almacén de Santo Domingo Yanhuitlán.</t>
  </si>
  <si>
    <t>Leche para el Bienestar informa a Alimentación para el Bienestar que el encargado de la tienda 2017610300 - 30, vendió sin registrar 72 litros de leche de la localidad de Estancia, correspondiente al almacén de San Juan Bautista Juxtlahuaca.</t>
  </si>
  <si>
    <t>Leche para el Bienestar informa a Alimentación para el Bienestar que el encargado de la tienda 2012030900 - 9, registró sin vender 16 litros de leche de la localidad de Santa Cruz Tacache de Mina, correspondiente al almacén de Santa Cruz Tacache de Mina.</t>
  </si>
  <si>
    <t>Leche para el Bienestar informa a Alimentación para el Bienestar que el encargado de la tienda 2053610200 - 13, vendió sin registrar 200 litros de leche de la localidad de San Vicente Nunu, correspondiente al almacén de Santo Domingo Yanhuitlán.</t>
  </si>
  <si>
    <t>Leche para el Bienestar informa a Alimentación para el Bienestar que el encargado de la tienda 2022410200 - 141, vendió sin registrar 32 litros de leche de la localidad de Santa Maria Chochoapam, correspondiente al almacén de Santo Domingo Yanhuitlán.</t>
  </si>
  <si>
    <t>27 DE JUNIO DE 2026</t>
  </si>
  <si>
    <t>FECHA DEL 22 AL 25 DE JUNIO 2026</t>
  </si>
  <si>
    <t>Leche para el Bienestar informa a Alimentación para el Bienestar que el encargado de la tienda 2036410700 - 50, vendió sin registrar 856 litros de leche de la localidad de Santa Catarina Juquila (Barrio San Nicolás), correspondiente al almacén de San Pedro Juchatengo. Se acordó con la Jefa de Almacén dar seguimiento a la situación y realizar una reunión al final de mes con el promotor de Leche para el Bienestar para revisar los avances correspondientes.</t>
  </si>
  <si>
    <t>Leche para el Bienestar informa a Alimentación para el Bienestar que el encargado de la tienda 2038610700 - 34, vendió sin registrar 10 litros de leche de la localidad de Santa Cruz Zenzontepec, correspondiente al almacén de Santa María Lachixio. Se acordó con el Jefe de Almacén dar seguimiento a la situación y realizar una reunión al final de mes con el promotor de Leche para el Bienestar para revisar los avances correspondientes.</t>
  </si>
  <si>
    <t>En la reunión llevada a cabo en las instalaciones de Alimentación para el Bienestar, en la que participaron representantes tanto de Alimentación para el Bienestar como de Leche para el Bienestar, se acordó que ambas partes darán seguimiento a las ventas sin registro y a los registros sin venta, con la finalidad de evitar que estas situaciones continúen presentándose. Asimismo, se estableció brindar capacitación a los encargados y que, por parte de los Jefes de Almacén, se reforzará la difusión de la información con su personal para procurar evitar este tipo de incidencias.</t>
  </si>
  <si>
    <t>Leche para el Bienestar informa a Alimentación para el Bienestar que el encargado de la tienda 2031410100 - 1, vendió sin registrar 450 litros de leche de la localidad de San Pedro Juchatengo, correspondiente al almacén de San Pedro Juchatengo. Se capacitó nuevamente a la encargada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</si>
  <si>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2056310200 - 39, vendió sin registrar 202 litros de leche de la localidad de Yogana, correspondiente al almacén de Magdalena Ocotlán.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</si>
  <si>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2047110100 - 34, registró sin vender 16 litros de leche de la localidad de Santiago Lalopa,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</si>
  <si>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2054110100 - 17, vendió sin registrar 6 litros de leche de la localidad de Tanetze de Zaragoza,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</si>
  <si>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2047310100 - 34, vendió sin registrar 32 litros de leche de la localidad de Santiago Laxopa,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</si>
  <si>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2024710100 - 1, registró sin vender 2 litros de leche de la localidad de Capulalpam de Mendez,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</si>
  <si>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2012057600 - 16, registró sin vender 16 litros de leche de la localidad de Villa Talea de Castro,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</si>
  <si>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2009710100 - 98, registró sin vender 8 litros de leche de la localidad de Santo Domingo Yojovi,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</si>
  <si>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2036910100 - 142, vendió sin registrar 44 litros de leche de la localidad de Llano de Agua, correspondiente al almacén de San Andres Hidalgo.Se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</si>
</sst>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7" x14ac:knownFonts="1">
    <font>
      <sz val="10"/>
      <name val="Arial"/>
      <charset val="1"/>
    </font>
    <font>
      <sz val="10"/>
      <name val="Arial"/>
      <family val="2"/>
      <charset val="1"/>
    </font>
    <font>
      <b/>
      <sz val="12"/>
      <name val="Arial"/>
      <family val="2"/>
      <charset val="1"/>
    </font>
    <font>
      <b/>
      <sz val="10"/>
      <name val="Arial"/>
      <family val="2"/>
      <charset val="1"/>
    </font>
    <font>
      <b/>
      <sz val="11"/>
      <name val="Arial"/>
      <family val="2"/>
      <charset val="1"/>
    </font>
    <font>
      <sz val="12"/>
      <name val="Arial"/>
      <family val="2"/>
      <charset val="1"/>
    </font>
    <font>
      <b/>
      <sz val="12"/>
      <color rgb="FFFF0000"/>
      <name val="Arial"/>
      <family val="2"/>
      <charset val="1"/>
    </font>
    <font>
      <b/>
      <sz val="10"/>
      <color rgb="FFFF0000"/>
      <name val="Arial"/>
      <family val="2"/>
      <charset val="1"/>
    </font>
    <font>
      <sz val="9"/>
      <name val="Arial"/>
      <family val="2"/>
      <charset val="1"/>
    </font>
    <font>
      <b/>
      <sz val="14"/>
      <name val="Arial"/>
      <family val="2"/>
      <charset val="1"/>
    </font>
    <font>
      <sz val="14"/>
      <name val="Arial"/>
      <family val="2"/>
      <charset val="1"/>
    </font>
    <font>
      <b/>
      <i/>
      <sz val="14"/>
      <name val="Arial"/>
      <family val="2"/>
      <charset val="1"/>
    </font>
    <font>
      <b/>
      <i/>
      <sz val="10"/>
      <name val="Arial"/>
      <family val="2"/>
      <charset val="1"/>
    </font>
    <font>
      <sz val="9"/>
      <color rgb="FF000000"/>
      <name val="Tahoma"/>
      <family val="2"/>
      <charset val="1"/>
    </font>
    <font>
      <b/>
      <sz val="8"/>
      <name val="Arial"/>
      <family val="2"/>
      <charset val="1"/>
    </font>
    <font>
      <u/>
      <sz val="10"/>
      <name val="Arial"/>
      <family val="2"/>
      <charset val="1"/>
    </font>
    <font>
      <sz val="11"/>
      <name val="Arial"/>
      <family val="2"/>
      <charset val="1"/>
    </font>
    <font>
      <u/>
      <sz val="12"/>
      <name val="Arial"/>
      <family val="2"/>
      <charset val="1"/>
    </font>
    <font>
      <b/>
      <sz val="13"/>
      <name val="Arial"/>
      <family val="2"/>
      <charset val="1"/>
    </font>
    <font>
      <sz val="13"/>
      <name val="Arial"/>
      <family val="2"/>
      <charset val="1"/>
    </font>
    <font>
      <sz val="10"/>
      <name val="Arial"/>
      <family val="2"/>
    </font>
    <font>
      <b/>
      <sz val="10"/>
      <name val="Arial"/>
      <family val="2"/>
    </font>
    <font>
      <b/>
      <i/>
      <sz val="12"/>
      <name val="Arial"/>
      <family val="2"/>
      <charset val="1"/>
    </font>
    <font>
      <b/>
      <sz val="10"/>
      <color rgb="FFFF0000"/>
      <name val="Arial"/>
      <family val="2"/>
    </font>
    <font>
      <b/>
      <i/>
      <sz val="11"/>
      <name val="Arial"/>
      <family val="2"/>
      <charset val="1"/>
    </font>
    <font>
      <sz val="10"/>
      <color rgb="FFFF0000"/>
      <name val="Arial"/>
      <family val="2"/>
    </font>
    <font>
      <b/>
      <sz val="10"/>
      <color rgb="FF339933"/>
      <name val="Arial"/>
      <family val="2"/>
    </font>
    <font>
      <sz val="12"/>
      <color theme="0"/>
      <name val="Arial"/>
      <family val="2"/>
      <charset val="1"/>
    </font>
    <font>
      <u/>
      <sz val="7"/>
      <name val="Arial"/>
      <family val="2"/>
      <charset val="1"/>
    </font>
    <font>
      <sz val="5.5"/>
      <name val="Arial"/>
      <family val="2"/>
      <charset val="1"/>
    </font>
    <font>
      <b/>
      <sz val="9.8000000000000007"/>
      <name val="Arial"/>
      <family val="2"/>
      <charset val="1"/>
    </font>
    <font>
      <b/>
      <sz val="7.5"/>
      <name val="Arial"/>
      <family val="2"/>
    </font>
    <font>
      <b/>
      <sz val="10"/>
      <color theme="4" tint="-0.249977111117893"/>
      <name val="Arial"/>
      <family val="2"/>
    </font>
    <font>
      <b/>
      <sz val="10"/>
      <color rgb="FF00B050"/>
      <name val="Arial"/>
      <family val="2"/>
    </font>
    <font>
      <b/>
      <sz val="10"/>
      <color rgb="FF0070C0"/>
      <name val="Arial"/>
      <family val="2"/>
    </font>
    <font>
      <b/>
      <sz val="10"/>
      <color theme="9" tint="-0.249977111117893"/>
      <name val="Arial"/>
      <family val="2"/>
    </font>
    <font>
      <b/>
      <sz val="11"/>
      <name val="Arial"/>
      <family val="2"/>
    </font>
  </fonts>
  <fills count="7">
    <fill>
      <patternFill patternType="none"/>
    </fill>
    <fill>
      <patternFill patternType="gray125"/>
    </fill>
    <fill>
      <patternFill patternType="solid">
        <fgColor rgb="FFFFFF00"/>
        <bgColor rgb="FFFFFF00"/>
      </patternFill>
    </fill>
    <fill>
      <patternFill patternType="solid">
        <fgColor rgb="FFFFFFFF"/>
        <bgColor rgb="FFFFFFCC"/>
      </patternFill>
    </fill>
    <fill>
      <patternFill patternType="solid">
        <fgColor rgb="FF00FFFF"/>
        <bgColor rgb="FF00FFFF"/>
      </patternFill>
    </fill>
    <fill>
      <patternFill patternType="solid">
        <fgColor rgb="FFFFFF00"/>
        <bgColor indexed="64"/>
      </patternFill>
    </fill>
    <fill>
      <patternFill patternType="solid">
        <fgColor rgb="FF00B050"/>
        <bgColor rgb="FFFFFFCC"/>
      </patternFill>
    </fill>
  </fills>
  <borders count="2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top/>
      <bottom style="medium">
        <color auto="1"/>
      </bottom>
      <diagonal/>
    </border>
    <border>
      <left/>
      <right/>
      <top style="medium">
        <color auto="1"/>
      </top>
      <bottom/>
      <diagonal/>
    </border>
    <border>
      <left style="medium">
        <color auto="1"/>
      </left>
      <right style="medium">
        <color auto="1"/>
      </right>
      <top style="medium">
        <color auto="1"/>
      </top>
      <bottom style="medium">
        <color auto="1"/>
      </bottom>
      <diagonal/>
    </border>
    <border>
      <left/>
      <right style="medium">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s>
  <cellStyleXfs count="2">
    <xf numFmtId="0" fontId="0" fillId="0" borderId="0"/>
    <xf numFmtId="0" fontId="1" fillId="0" borderId="0"/>
  </cellStyleXfs>
  <cellXfs count="234">
    <xf numFmtId="0" fontId="0" fillId="0" borderId="0" xfId="0"/>
    <xf numFmtId="0" fontId="2" fillId="0" borderId="0" xfId="0" applyFont="1"/>
    <xf numFmtId="0" fontId="2" fillId="0" borderId="0" xfId="0" applyFont="1" applyProtection="1">
      <protection locked="0"/>
    </xf>
    <xf numFmtId="0" fontId="0" fillId="0" borderId="0" xfId="0" applyProtection="1">
      <protection locked="0"/>
    </xf>
    <xf numFmtId="0" fontId="3" fillId="0" borderId="0" xfId="0" applyFont="1" applyProtection="1">
      <protection locked="0"/>
    </xf>
    <xf numFmtId="0" fontId="3" fillId="0" borderId="0" xfId="0" applyFont="1"/>
    <xf numFmtId="0" fontId="3" fillId="0" borderId="1" xfId="0" applyFont="1" applyBorder="1" applyAlignment="1">
      <alignment horizontal="center"/>
    </xf>
    <xf numFmtId="0" fontId="3" fillId="0" borderId="0" xfId="0" applyFont="1" applyAlignment="1">
      <alignment horizontal="center"/>
    </xf>
    <xf numFmtId="0" fontId="3" fillId="2" borderId="0" xfId="0" applyFont="1" applyFill="1"/>
    <xf numFmtId="0" fontId="3" fillId="0" borderId="3" xfId="0" applyFont="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center"/>
    </xf>
    <xf numFmtId="0" fontId="4" fillId="0" borderId="6" xfId="0" applyFont="1" applyBorder="1" applyAlignment="1">
      <alignment horizontal="left"/>
    </xf>
    <xf numFmtId="0" fontId="3" fillId="0" borderId="7" xfId="0" applyFont="1" applyBorder="1"/>
    <xf numFmtId="3" fontId="0" fillId="0" borderId="6" xfId="0" applyNumberFormat="1" applyBorder="1"/>
    <xf numFmtId="3" fontId="3" fillId="0" borderId="6" xfId="0" applyNumberFormat="1" applyFont="1" applyBorder="1"/>
    <xf numFmtId="3" fontId="0" fillId="0" borderId="0" xfId="0" applyNumberFormat="1"/>
    <xf numFmtId="3" fontId="0" fillId="0" borderId="6" xfId="0" applyNumberFormat="1" applyBorder="1" applyProtection="1">
      <protection locked="0"/>
    </xf>
    <xf numFmtId="0" fontId="0" fillId="0" borderId="11" xfId="0" applyBorder="1"/>
    <xf numFmtId="0" fontId="0" fillId="0" borderId="12" xfId="0" applyBorder="1"/>
    <xf numFmtId="0" fontId="0" fillId="0" borderId="13" xfId="0" applyBorder="1"/>
    <xf numFmtId="3" fontId="3" fillId="0" borderId="1" xfId="0" applyNumberFormat="1" applyFont="1" applyBorder="1"/>
    <xf numFmtId="0" fontId="0" fillId="0" borderId="4" xfId="0" applyBorder="1"/>
    <xf numFmtId="0" fontId="5" fillId="0" borderId="12" xfId="0" applyFont="1" applyBorder="1"/>
    <xf numFmtId="0" fontId="6" fillId="0" borderId="12" xfId="0" applyFont="1" applyBorder="1"/>
    <xf numFmtId="0" fontId="7" fillId="0" borderId="12" xfId="0" applyFont="1" applyBorder="1"/>
    <xf numFmtId="0" fontId="1" fillId="0" borderId="12" xfId="0" applyFont="1" applyBorder="1"/>
    <xf numFmtId="0" fontId="3" fillId="0" borderId="14" xfId="0" applyFont="1" applyBorder="1"/>
    <xf numFmtId="0" fontId="3" fillId="0" borderId="9" xfId="0" applyFont="1" applyBorder="1"/>
    <xf numFmtId="0" fontId="3" fillId="0" borderId="1" xfId="0" applyFont="1" applyBorder="1" applyAlignment="1">
      <alignment horizontal="center" vertical="center"/>
    </xf>
    <xf numFmtId="0" fontId="0" fillId="0" borderId="6" xfId="0" applyBorder="1"/>
    <xf numFmtId="15" fontId="0" fillId="0" borderId="6" xfId="0" applyNumberFormat="1" applyBorder="1"/>
    <xf numFmtId="3" fontId="0" fillId="0" borderId="3" xfId="0" applyNumberFormat="1" applyBorder="1"/>
    <xf numFmtId="0" fontId="0" fillId="0" borderId="7" xfId="0" applyBorder="1"/>
    <xf numFmtId="0" fontId="0" fillId="0" borderId="8" xfId="0" applyBorder="1" applyAlignment="1">
      <alignment horizontal="left"/>
    </xf>
    <xf numFmtId="3" fontId="0" fillId="0" borderId="8" xfId="0" applyNumberFormat="1" applyBorder="1"/>
    <xf numFmtId="0" fontId="0" fillId="0" borderId="8" xfId="0" applyBorder="1"/>
    <xf numFmtId="15" fontId="0" fillId="0" borderId="8" xfId="0" applyNumberFormat="1" applyBorder="1"/>
    <xf numFmtId="3" fontId="3" fillId="0" borderId="8" xfId="0" applyNumberFormat="1" applyFont="1" applyBorder="1"/>
    <xf numFmtId="3" fontId="1" fillId="0" borderId="0" xfId="0" applyNumberFormat="1" applyFont="1"/>
    <xf numFmtId="0" fontId="3" fillId="0" borderId="12" xfId="0" applyFont="1" applyBorder="1" applyAlignment="1">
      <alignment horizontal="center"/>
    </xf>
    <xf numFmtId="3" fontId="3" fillId="0" borderId="12" xfId="0" applyNumberFormat="1" applyFont="1" applyBorder="1"/>
    <xf numFmtId="0" fontId="5" fillId="0" borderId="0" xfId="0" applyFont="1"/>
    <xf numFmtId="0" fontId="3" fillId="0" borderId="15" xfId="0" applyFont="1" applyBorder="1" applyAlignment="1">
      <alignment horizontal="center"/>
    </xf>
    <xf numFmtId="0" fontId="3" fillId="0" borderId="10" xfId="0" applyFont="1" applyBorder="1" applyAlignment="1">
      <alignment horizontal="center"/>
    </xf>
    <xf numFmtId="0" fontId="3" fillId="2" borderId="6" xfId="0" applyFont="1" applyFill="1" applyBorder="1" applyAlignment="1">
      <alignment horizontal="center"/>
    </xf>
    <xf numFmtId="0" fontId="3" fillId="0" borderId="3" xfId="0" applyFont="1" applyBorder="1" applyAlignment="1">
      <alignment horizontal="left" wrapText="1"/>
    </xf>
    <xf numFmtId="3" fontId="3" fillId="0" borderId="3" xfId="0" applyNumberFormat="1" applyFont="1" applyBorder="1"/>
    <xf numFmtId="3" fontId="0" fillId="0" borderId="4" xfId="0" applyNumberFormat="1" applyBorder="1"/>
    <xf numFmtId="3" fontId="5" fillId="0" borderId="0" xfId="0" applyNumberFormat="1" applyFont="1"/>
    <xf numFmtId="3" fontId="3" fillId="0" borderId="10" xfId="0" applyNumberFormat="1" applyFont="1" applyBorder="1"/>
    <xf numFmtId="3" fontId="3" fillId="0" borderId="0" xfId="0" applyNumberFormat="1" applyFont="1"/>
    <xf numFmtId="3" fontId="3" fillId="0" borderId="14" xfId="0" applyNumberFormat="1" applyFont="1" applyBorder="1"/>
    <xf numFmtId="0" fontId="0" fillId="0" borderId="2" xfId="0" applyBorder="1"/>
    <xf numFmtId="15" fontId="0" fillId="0" borderId="1" xfId="0" applyNumberFormat="1" applyBorder="1" applyProtection="1">
      <protection locked="0"/>
    </xf>
    <xf numFmtId="0" fontId="3" fillId="0" borderId="1" xfId="0" applyFont="1" applyBorder="1" applyAlignment="1">
      <alignment horizontal="right"/>
    </xf>
    <xf numFmtId="0" fontId="3" fillId="0" borderId="12" xfId="0" applyFont="1" applyBorder="1"/>
    <xf numFmtId="0" fontId="3" fillId="0" borderId="4" xfId="0" applyFont="1" applyBorder="1" applyAlignment="1">
      <alignment horizontal="center"/>
    </xf>
    <xf numFmtId="0" fontId="3" fillId="2" borderId="0" xfId="0" applyFont="1" applyFill="1" applyAlignment="1">
      <alignment horizontal="center"/>
    </xf>
    <xf numFmtId="0" fontId="3" fillId="0" borderId="14" xfId="0" applyFont="1" applyBorder="1" applyAlignment="1">
      <alignment horizontal="center"/>
    </xf>
    <xf numFmtId="3" fontId="0" fillId="0" borderId="3" xfId="0" applyNumberFormat="1" applyBorder="1" applyProtection="1">
      <protection locked="0"/>
    </xf>
    <xf numFmtId="0" fontId="3" fillId="0" borderId="3" xfId="0" applyFont="1" applyBorder="1" applyAlignment="1">
      <alignment horizontal="left"/>
    </xf>
    <xf numFmtId="3" fontId="0" fillId="0" borderId="1" xfId="0" applyNumberFormat="1" applyBorder="1" applyProtection="1">
      <protection locked="0"/>
    </xf>
    <xf numFmtId="0" fontId="0" fillId="0" borderId="6" xfId="0" applyBorder="1" applyProtection="1">
      <protection locked="0"/>
    </xf>
    <xf numFmtId="0" fontId="3" fillId="0" borderId="1" xfId="0" applyFont="1" applyBorder="1" applyAlignment="1">
      <alignment horizontal="left"/>
    </xf>
    <xf numFmtId="3" fontId="0" fillId="0" borderId="8" xfId="0" applyNumberFormat="1" applyBorder="1" applyProtection="1">
      <protection locked="0"/>
    </xf>
    <xf numFmtId="3" fontId="1" fillId="0" borderId="1" xfId="0" applyNumberFormat="1" applyFont="1" applyBorder="1" applyProtection="1">
      <protection locked="0"/>
    </xf>
    <xf numFmtId="0" fontId="3" fillId="0" borderId="3" xfId="0" applyFont="1" applyBorder="1" applyAlignment="1">
      <alignment horizontal="center" wrapText="1"/>
    </xf>
    <xf numFmtId="0" fontId="8" fillId="0" borderId="1" xfId="0" applyFont="1" applyBorder="1" applyAlignment="1">
      <alignment horizontal="center" vertical="center"/>
    </xf>
    <xf numFmtId="0" fontId="8" fillId="0" borderId="13" xfId="0" applyFont="1" applyBorder="1" applyAlignment="1">
      <alignment horizontal="center" vertical="center"/>
    </xf>
    <xf numFmtId="0" fontId="8" fillId="0" borderId="13" xfId="0" applyFont="1" applyBorder="1" applyAlignment="1">
      <alignment horizontal="center" vertical="center" wrapText="1"/>
    </xf>
    <xf numFmtId="0" fontId="3" fillId="0" borderId="3" xfId="0" applyFont="1" applyBorder="1"/>
    <xf numFmtId="3" fontId="0" fillId="0" borderId="10" xfId="0" applyNumberFormat="1" applyBorder="1" applyProtection="1">
      <protection locked="0"/>
    </xf>
    <xf numFmtId="0" fontId="1" fillId="0" borderId="7" xfId="0" applyFont="1" applyBorder="1" applyProtection="1">
      <protection locked="0"/>
    </xf>
    <xf numFmtId="0" fontId="3" fillId="0" borderId="6" xfId="0" applyFont="1" applyBorder="1"/>
    <xf numFmtId="0" fontId="3" fillId="0" borderId="8" xfId="0" applyFont="1" applyBorder="1"/>
    <xf numFmtId="3" fontId="3" fillId="0" borderId="8" xfId="0" applyNumberFormat="1" applyFont="1" applyBorder="1" applyAlignment="1">
      <alignment horizontal="right"/>
    </xf>
    <xf numFmtId="0" fontId="4" fillId="0" borderId="1" xfId="0" applyFont="1" applyBorder="1" applyAlignment="1">
      <alignment horizontal="right"/>
    </xf>
    <xf numFmtId="1" fontId="3" fillId="0" borderId="13" xfId="0" applyNumberFormat="1" applyFont="1" applyBorder="1"/>
    <xf numFmtId="0" fontId="0" fillId="0" borderId="14" xfId="0" applyBorder="1"/>
    <xf numFmtId="0" fontId="0" fillId="0" borderId="9" xfId="0" applyBorder="1"/>
    <xf numFmtId="0" fontId="1" fillId="0" borderId="0" xfId="0" applyFont="1"/>
    <xf numFmtId="0" fontId="10" fillId="0" borderId="0" xfId="0" applyFont="1"/>
    <xf numFmtId="0" fontId="11" fillId="0" borderId="0" xfId="0" applyFont="1"/>
    <xf numFmtId="3" fontId="11" fillId="0" borderId="0" xfId="0" applyNumberFormat="1" applyFont="1"/>
    <xf numFmtId="0" fontId="12" fillId="0" borderId="0" xfId="0" applyFont="1"/>
    <xf numFmtId="3" fontId="12" fillId="0" borderId="0" xfId="0" applyNumberFormat="1" applyFont="1"/>
    <xf numFmtId="0" fontId="14" fillId="0" borderId="0" xfId="0" applyFont="1"/>
    <xf numFmtId="15" fontId="1" fillId="0" borderId="8" xfId="0" applyNumberFormat="1" applyFont="1" applyBorder="1"/>
    <xf numFmtId="0" fontId="3" fillId="4" borderId="8" xfId="0" applyFont="1" applyFill="1" applyBorder="1"/>
    <xf numFmtId="0" fontId="0" fillId="0" borderId="5" xfId="0" applyBorder="1"/>
    <xf numFmtId="0" fontId="3" fillId="0" borderId="10" xfId="0" applyFont="1" applyBorder="1"/>
    <xf numFmtId="3" fontId="3" fillId="4" borderId="1" xfId="0" applyNumberFormat="1" applyFont="1" applyFill="1" applyBorder="1"/>
    <xf numFmtId="0" fontId="3" fillId="0" borderId="2" xfId="0" applyFont="1" applyBorder="1" applyProtection="1">
      <protection locked="0"/>
    </xf>
    <xf numFmtId="0" fontId="3" fillId="0" borderId="2" xfId="0" applyFont="1" applyBorder="1" applyAlignment="1">
      <alignment horizontal="left"/>
    </xf>
    <xf numFmtId="0" fontId="0" fillId="3" borderId="0" xfId="0" applyFill="1"/>
    <xf numFmtId="0" fontId="3" fillId="3" borderId="15" xfId="0" applyFont="1" applyFill="1" applyBorder="1" applyAlignment="1">
      <alignment horizontal="center"/>
    </xf>
    <xf numFmtId="0" fontId="3" fillId="3" borderId="3" xfId="0" applyFont="1" applyFill="1" applyBorder="1" applyAlignment="1">
      <alignment horizontal="center"/>
    </xf>
    <xf numFmtId="0" fontId="3" fillId="3" borderId="6" xfId="0" applyFont="1" applyFill="1" applyBorder="1" applyAlignment="1">
      <alignment horizontal="center"/>
    </xf>
    <xf numFmtId="0" fontId="3" fillId="3" borderId="8" xfId="0" applyFont="1" applyFill="1" applyBorder="1" applyAlignment="1">
      <alignment horizontal="center"/>
    </xf>
    <xf numFmtId="0" fontId="3" fillId="3" borderId="1" xfId="0" applyFont="1" applyFill="1" applyBorder="1" applyAlignment="1">
      <alignment horizontal="center"/>
    </xf>
    <xf numFmtId="0" fontId="0" fillId="3" borderId="1" xfId="0" applyFill="1" applyBorder="1"/>
    <xf numFmtId="3" fontId="0" fillId="3" borderId="8" xfId="0" applyNumberFormat="1" applyFill="1" applyBorder="1"/>
    <xf numFmtId="3" fontId="0" fillId="3" borderId="1" xfId="0" applyNumberFormat="1" applyFill="1" applyBorder="1" applyProtection="1">
      <protection locked="0"/>
    </xf>
    <xf numFmtId="0" fontId="0" fillId="3" borderId="8" xfId="0" applyFill="1" applyBorder="1"/>
    <xf numFmtId="14" fontId="0" fillId="0" borderId="0" xfId="0" applyNumberFormat="1"/>
    <xf numFmtId="0" fontId="0" fillId="0" borderId="3" xfId="0" applyBorder="1"/>
    <xf numFmtId="0" fontId="3" fillId="4" borderId="3" xfId="0" applyFont="1" applyFill="1" applyBorder="1"/>
    <xf numFmtId="3" fontId="3" fillId="4" borderId="6" xfId="1" applyNumberFormat="1" applyFont="1" applyFill="1" applyBorder="1"/>
    <xf numFmtId="0" fontId="1" fillId="0" borderId="6" xfId="1" applyBorder="1" applyProtection="1">
      <protection locked="0"/>
    </xf>
    <xf numFmtId="0" fontId="1" fillId="0" borderId="6" xfId="1" applyBorder="1"/>
    <xf numFmtId="0" fontId="3" fillId="4" borderId="6" xfId="1" applyFont="1" applyFill="1" applyBorder="1"/>
    <xf numFmtId="49" fontId="0" fillId="3" borderId="0" xfId="0" applyNumberFormat="1" applyFill="1"/>
    <xf numFmtId="0" fontId="0" fillId="3" borderId="0" xfId="0" applyFill="1" applyAlignment="1">
      <alignment horizontal="center"/>
    </xf>
    <xf numFmtId="0" fontId="2" fillId="3" borderId="0" xfId="0" applyFont="1" applyFill="1"/>
    <xf numFmtId="49" fontId="1" fillId="3" borderId="0" xfId="0" applyNumberFormat="1" applyFont="1" applyFill="1"/>
    <xf numFmtId="49" fontId="15" fillId="3" borderId="0" xfId="0" applyNumberFormat="1" applyFont="1" applyFill="1"/>
    <xf numFmtId="0" fontId="10" fillId="3" borderId="0" xfId="0" applyFont="1" applyFill="1"/>
    <xf numFmtId="49" fontId="2" fillId="3" borderId="18" xfId="0" applyNumberFormat="1" applyFont="1" applyFill="1" applyBorder="1" applyAlignment="1">
      <alignment horizontal="center"/>
    </xf>
    <xf numFmtId="0" fontId="2" fillId="3" borderId="18" xfId="0" applyFont="1" applyFill="1" applyBorder="1" applyAlignment="1">
      <alignment horizontal="center" wrapText="1"/>
    </xf>
    <xf numFmtId="0" fontId="1" fillId="3" borderId="0" xfId="0" applyFont="1" applyFill="1" applyAlignment="1">
      <alignment horizontal="left" vertical="center" wrapText="1"/>
    </xf>
    <xf numFmtId="49" fontId="0" fillId="3" borderId="19" xfId="0" applyNumberFormat="1" applyFill="1" applyBorder="1" applyAlignment="1">
      <alignment horizontal="center"/>
    </xf>
    <xf numFmtId="0" fontId="1" fillId="3" borderId="0" xfId="0" applyFont="1" applyFill="1" applyAlignment="1">
      <alignment horizontal="center"/>
    </xf>
    <xf numFmtId="0" fontId="1" fillId="3" borderId="16" xfId="0" applyFont="1" applyFill="1" applyBorder="1"/>
    <xf numFmtId="14" fontId="0" fillId="3" borderId="16" xfId="0" applyNumberFormat="1" applyFill="1" applyBorder="1" applyAlignment="1">
      <alignment horizontal="center"/>
    </xf>
    <xf numFmtId="0" fontId="1" fillId="3" borderId="1" xfId="0" applyFont="1" applyFill="1" applyBorder="1"/>
    <xf numFmtId="0" fontId="1" fillId="3" borderId="20" xfId="0" applyFont="1" applyFill="1" applyBorder="1" applyAlignment="1">
      <alignment vertical="center" wrapText="1"/>
    </xf>
    <xf numFmtId="0" fontId="1" fillId="3" borderId="21" xfId="0" applyFont="1" applyFill="1" applyBorder="1" applyAlignment="1">
      <alignment vertical="center" wrapText="1"/>
    </xf>
    <xf numFmtId="14" fontId="1" fillId="3" borderId="1" xfId="0" applyNumberFormat="1" applyFont="1" applyFill="1" applyBorder="1" applyAlignment="1">
      <alignment horizontal="center"/>
    </xf>
    <xf numFmtId="49" fontId="2" fillId="3" borderId="0" xfId="0" applyNumberFormat="1" applyFont="1" applyFill="1"/>
    <xf numFmtId="0" fontId="2" fillId="3" borderId="0" xfId="0" applyFont="1" applyFill="1" applyAlignment="1">
      <alignment horizontal="center"/>
    </xf>
    <xf numFmtId="0" fontId="5" fillId="3" borderId="0" xfId="0" applyFont="1" applyFill="1" applyAlignment="1">
      <alignment horizontal="center"/>
    </xf>
    <xf numFmtId="0" fontId="5" fillId="3" borderId="0" xfId="0" applyFont="1" applyFill="1"/>
    <xf numFmtId="49" fontId="5" fillId="3" borderId="0" xfId="0" applyNumberFormat="1" applyFont="1" applyFill="1"/>
    <xf numFmtId="0" fontId="3" fillId="3" borderId="0" xfId="0" applyFont="1" applyFill="1"/>
    <xf numFmtId="0" fontId="16" fillId="3" borderId="0" xfId="0" applyFont="1" applyFill="1" applyAlignment="1">
      <alignment horizontal="center"/>
    </xf>
    <xf numFmtId="0" fontId="17" fillId="3" borderId="0" xfId="0" applyFont="1" applyFill="1" applyAlignment="1">
      <alignment horizontal="center"/>
    </xf>
    <xf numFmtId="49" fontId="9" fillId="3" borderId="0" xfId="0" applyNumberFormat="1" applyFont="1" applyFill="1"/>
    <xf numFmtId="0" fontId="10" fillId="3" borderId="0" xfId="0" applyFont="1" applyFill="1" applyAlignment="1">
      <alignment horizontal="center"/>
    </xf>
    <xf numFmtId="49" fontId="9" fillId="3" borderId="0" xfId="0" applyNumberFormat="1" applyFont="1" applyFill="1" applyAlignment="1">
      <alignment horizontal="center"/>
    </xf>
    <xf numFmtId="0" fontId="9" fillId="3" borderId="0" xfId="0" applyFont="1" applyFill="1" applyAlignment="1">
      <alignment horizontal="center"/>
    </xf>
    <xf numFmtId="0" fontId="9" fillId="3" borderId="0" xfId="0" applyFont="1" applyFill="1" applyAlignment="1">
      <alignment horizontal="right"/>
    </xf>
    <xf numFmtId="0" fontId="9" fillId="3" borderId="0" xfId="0" applyFont="1" applyFill="1"/>
    <xf numFmtId="49" fontId="18" fillId="3" borderId="0" xfId="0" applyNumberFormat="1" applyFont="1" applyFill="1" applyAlignment="1">
      <alignment horizontal="left"/>
    </xf>
    <xf numFmtId="0" fontId="18" fillId="3" borderId="0" xfId="0" applyFont="1" applyFill="1" applyAlignment="1">
      <alignment horizontal="center"/>
    </xf>
    <xf numFmtId="49" fontId="18" fillId="3" borderId="0" xfId="0" applyNumberFormat="1" applyFont="1" applyFill="1" applyAlignment="1">
      <alignment horizontal="center"/>
    </xf>
    <xf numFmtId="0" fontId="18" fillId="3" borderId="0" xfId="0" applyFont="1" applyFill="1"/>
    <xf numFmtId="0" fontId="19" fillId="3" borderId="0" xfId="0" applyFont="1" applyFill="1"/>
    <xf numFmtId="0" fontId="18" fillId="3" borderId="0" xfId="0" applyFont="1" applyFill="1" applyAlignment="1">
      <alignment horizontal="right"/>
    </xf>
    <xf numFmtId="49" fontId="18" fillId="3" borderId="0" xfId="0" applyNumberFormat="1" applyFont="1" applyFill="1"/>
    <xf numFmtId="49" fontId="19" fillId="3" borderId="0" xfId="0" applyNumberFormat="1" applyFont="1" applyFill="1"/>
    <xf numFmtId="0" fontId="19" fillId="3" borderId="0" xfId="0" applyFont="1" applyFill="1" applyAlignment="1">
      <alignment horizontal="center"/>
    </xf>
    <xf numFmtId="0" fontId="3" fillId="3" borderId="0" xfId="0" applyFont="1" applyFill="1" applyAlignment="1">
      <alignment horizontal="left"/>
    </xf>
    <xf numFmtId="0" fontId="3" fillId="3" borderId="0" xfId="0" applyFont="1" applyFill="1" applyAlignment="1">
      <alignment horizontal="center"/>
    </xf>
    <xf numFmtId="0" fontId="1" fillId="3" borderId="0" xfId="0" applyFont="1" applyFill="1"/>
    <xf numFmtId="9" fontId="1" fillId="3" borderId="0" xfId="0" applyNumberFormat="1" applyFont="1" applyFill="1" applyAlignment="1">
      <alignment horizontal="center"/>
    </xf>
    <xf numFmtId="0" fontId="20" fillId="0" borderId="0" xfId="0" applyFont="1"/>
    <xf numFmtId="9" fontId="0" fillId="0" borderId="0" xfId="0" applyNumberFormat="1"/>
    <xf numFmtId="3" fontId="0" fillId="0" borderId="0" xfId="0" applyNumberFormat="1" applyProtection="1">
      <protection locked="0"/>
    </xf>
    <xf numFmtId="15" fontId="20" fillId="0" borderId="10" xfId="0" applyNumberFormat="1" applyFont="1" applyBorder="1" applyProtection="1">
      <protection locked="0"/>
    </xf>
    <xf numFmtId="3" fontId="21" fillId="0" borderId="6" xfId="0" applyNumberFormat="1" applyFont="1" applyBorder="1"/>
    <xf numFmtId="0" fontId="22" fillId="0" borderId="0" xfId="0" applyFont="1"/>
    <xf numFmtId="3" fontId="22" fillId="0" borderId="0" xfId="0" applyNumberFormat="1" applyFont="1"/>
    <xf numFmtId="20" fontId="0" fillId="0" borderId="0" xfId="0" applyNumberFormat="1"/>
    <xf numFmtId="3" fontId="1" fillId="0" borderId="0" xfId="0" applyNumberFormat="1" applyFont="1" applyProtection="1">
      <protection locked="0"/>
    </xf>
    <xf numFmtId="0" fontId="23" fillId="0" borderId="0" xfId="0" applyFont="1"/>
    <xf numFmtId="0" fontId="20" fillId="0" borderId="12" xfId="0" applyFont="1" applyBorder="1"/>
    <xf numFmtId="15" fontId="1" fillId="0" borderId="3" xfId="0" applyNumberFormat="1" applyFont="1" applyBorder="1" applyProtection="1">
      <protection locked="0"/>
    </xf>
    <xf numFmtId="3" fontId="0" fillId="0" borderId="7" xfId="0" applyNumberFormat="1" applyBorder="1"/>
    <xf numFmtId="3" fontId="20" fillId="0" borderId="0" xfId="0" applyNumberFormat="1" applyFont="1" applyProtection="1">
      <protection locked="0"/>
    </xf>
    <xf numFmtId="3" fontId="21" fillId="0" borderId="10" xfId="0" applyNumberFormat="1" applyFont="1" applyBorder="1"/>
    <xf numFmtId="3" fontId="20" fillId="0" borderId="7" xfId="0" applyNumberFormat="1" applyFont="1" applyBorder="1"/>
    <xf numFmtId="3" fontId="21" fillId="0" borderId="1" xfId="0" applyNumberFormat="1" applyFont="1" applyBorder="1"/>
    <xf numFmtId="3" fontId="20" fillId="0" borderId="6" xfId="0" applyNumberFormat="1" applyFont="1" applyBorder="1"/>
    <xf numFmtId="3" fontId="1" fillId="0" borderId="7" xfId="0" applyNumberFormat="1" applyFont="1" applyBorder="1"/>
    <xf numFmtId="3" fontId="1" fillId="0" borderId="6" xfId="0" applyNumberFormat="1" applyFont="1" applyBorder="1"/>
    <xf numFmtId="3" fontId="20" fillId="0" borderId="4" xfId="0" applyNumberFormat="1" applyFont="1" applyBorder="1"/>
    <xf numFmtId="0" fontId="3" fillId="0" borderId="6" xfId="0" applyFont="1" applyBorder="1" applyAlignment="1">
      <alignment horizontal="left"/>
    </xf>
    <xf numFmtId="0" fontId="3" fillId="0" borderId="6" xfId="0" applyFont="1" applyBorder="1" applyAlignment="1">
      <alignment horizontal="left" wrapText="1"/>
    </xf>
    <xf numFmtId="0" fontId="21" fillId="0" borderId="6" xfId="0" applyFont="1" applyBorder="1" applyAlignment="1">
      <alignment horizontal="left"/>
    </xf>
    <xf numFmtId="3" fontId="1" fillId="0" borderId="6" xfId="0" applyNumberFormat="1" applyFont="1" applyBorder="1" applyProtection="1">
      <protection locked="0"/>
    </xf>
    <xf numFmtId="0" fontId="25" fillId="0" borderId="0" xfId="0" applyFont="1"/>
    <xf numFmtId="3" fontId="20" fillId="0" borderId="3" xfId="0" applyNumberFormat="1" applyFont="1" applyBorder="1" applyProtection="1">
      <protection locked="0"/>
    </xf>
    <xf numFmtId="0" fontId="4" fillId="0" borderId="10" xfId="0" applyFont="1" applyBorder="1" applyAlignment="1">
      <alignment horizontal="left"/>
    </xf>
    <xf numFmtId="0" fontId="26" fillId="0" borderId="0" xfId="0" applyFont="1"/>
    <xf numFmtId="0" fontId="27" fillId="0" borderId="0" xfId="0" applyFont="1"/>
    <xf numFmtId="0" fontId="28" fillId="3" borderId="0" xfId="0" applyFont="1" applyFill="1" applyAlignment="1">
      <alignment horizontal="center"/>
    </xf>
    <xf numFmtId="0" fontId="29" fillId="3" borderId="0" xfId="0" applyFont="1" applyFill="1" applyAlignment="1">
      <alignment horizontal="center"/>
    </xf>
    <xf numFmtId="0" fontId="30" fillId="0" borderId="0" xfId="0" applyFont="1"/>
    <xf numFmtId="0" fontId="31" fillId="0" borderId="15" xfId="0" applyFont="1" applyBorder="1"/>
    <xf numFmtId="0" fontId="32" fillId="0" borderId="0" xfId="0" applyFont="1"/>
    <xf numFmtId="0" fontId="21" fillId="0" borderId="0" xfId="0" applyFont="1"/>
    <xf numFmtId="0" fontId="33" fillId="0" borderId="0" xfId="0" applyFont="1"/>
    <xf numFmtId="3" fontId="20" fillId="0" borderId="3" xfId="0" applyNumberFormat="1" applyFont="1" applyBorder="1"/>
    <xf numFmtId="0" fontId="34" fillId="0" borderId="0" xfId="0" applyFont="1"/>
    <xf numFmtId="0" fontId="0" fillId="5" borderId="0" xfId="0" applyFill="1"/>
    <xf numFmtId="0" fontId="1" fillId="0" borderId="3" xfId="0" applyFont="1" applyBorder="1" applyProtection="1">
      <protection locked="0"/>
    </xf>
    <xf numFmtId="0" fontId="35" fillId="0" borderId="0" xfId="0" applyFont="1"/>
    <xf numFmtId="3" fontId="35" fillId="0" borderId="0" xfId="0" applyNumberFormat="1" applyFont="1"/>
    <xf numFmtId="0" fontId="3" fillId="5" borderId="6" xfId="0" applyFont="1" applyFill="1" applyBorder="1" applyAlignment="1">
      <alignment horizontal="left"/>
    </xf>
    <xf numFmtId="3" fontId="20" fillId="0" borderId="0" xfId="0" applyNumberFormat="1" applyFont="1"/>
    <xf numFmtId="164" fontId="0" fillId="0" borderId="0" xfId="0" applyNumberFormat="1"/>
    <xf numFmtId="0" fontId="1" fillId="6" borderId="1" xfId="0" applyFont="1" applyFill="1" applyBorder="1"/>
    <xf numFmtId="0" fontId="36" fillId="3" borderId="0" xfId="0" applyFont="1" applyFill="1" applyAlignment="1">
      <alignment horizontal="center"/>
    </xf>
    <xf numFmtId="1" fontId="1" fillId="0" borderId="1" xfId="0" applyNumberFormat="1" applyFont="1" applyBorder="1" applyAlignment="1">
      <alignment horizontal="center"/>
    </xf>
    <xf numFmtId="0" fontId="1" fillId="3" borderId="0" xfId="0" applyFont="1" applyFill="1" applyAlignment="1">
      <alignment horizontal="left" vertical="center" wrapText="1"/>
    </xf>
    <xf numFmtId="0" fontId="2" fillId="3" borderId="18" xfId="0" applyFont="1" applyFill="1" applyBorder="1" applyAlignment="1">
      <alignment horizontal="center"/>
    </xf>
    <xf numFmtId="0" fontId="1" fillId="3" borderId="11" xfId="0" applyFont="1" applyFill="1" applyBorder="1" applyAlignment="1">
      <alignment horizontal="left" vertical="center" wrapText="1"/>
    </xf>
    <xf numFmtId="0" fontId="1" fillId="3" borderId="13" xfId="0" applyFont="1" applyFill="1" applyBorder="1" applyAlignment="1">
      <alignment horizontal="left" vertical="center" wrapText="1"/>
    </xf>
    <xf numFmtId="0" fontId="1" fillId="3" borderId="0" xfId="0" applyFont="1" applyFill="1" applyAlignment="1">
      <alignment horizontal="center" vertical="center" wrapText="1"/>
    </xf>
    <xf numFmtId="0" fontId="18" fillId="3" borderId="0" xfId="0" applyFont="1" applyFill="1" applyAlignment="1">
      <alignment horizontal="center"/>
    </xf>
    <xf numFmtId="0" fontId="2" fillId="3" borderId="0" xfId="0" applyFont="1" applyFill="1" applyAlignment="1">
      <alignment horizontal="center" vertical="center"/>
    </xf>
    <xf numFmtId="0" fontId="18" fillId="0" borderId="0" xfId="0" applyFont="1" applyAlignment="1">
      <alignment horizontal="center"/>
    </xf>
    <xf numFmtId="0" fontId="3" fillId="0" borderId="0" xfId="0" applyFont="1" applyAlignment="1">
      <alignment horizontal="center"/>
    </xf>
    <xf numFmtId="0" fontId="3" fillId="0" borderId="0" xfId="0" applyFont="1" applyAlignment="1">
      <alignment horizontal="left"/>
    </xf>
    <xf numFmtId="0" fontId="3" fillId="0" borderId="2" xfId="0" applyFont="1" applyBorder="1" applyAlignment="1">
      <alignment horizontal="left"/>
    </xf>
    <xf numFmtId="0" fontId="3" fillId="0" borderId="1" xfId="0" applyFont="1" applyBorder="1" applyAlignment="1">
      <alignment horizontal="center"/>
    </xf>
    <xf numFmtId="0" fontId="2" fillId="0" borderId="0" xfId="0" applyFont="1" applyAlignment="1">
      <alignment horizontal="left"/>
    </xf>
    <xf numFmtId="0" fontId="3" fillId="0" borderId="1" xfId="0" applyFont="1" applyBorder="1" applyAlignment="1">
      <alignment horizontal="center" vertical="center" wrapText="1"/>
    </xf>
    <xf numFmtId="0" fontId="3" fillId="0" borderId="3" xfId="0" applyFont="1" applyBorder="1" applyAlignment="1">
      <alignment horizontal="center"/>
    </xf>
    <xf numFmtId="0" fontId="3" fillId="0" borderId="1" xfId="0" applyFont="1" applyBorder="1" applyAlignment="1">
      <alignment horizontal="center" vertical="center"/>
    </xf>
    <xf numFmtId="0" fontId="3" fillId="0" borderId="11" xfId="0" applyFont="1" applyBorder="1" applyAlignment="1">
      <alignment horizontal="center"/>
    </xf>
    <xf numFmtId="0" fontId="2" fillId="0" borderId="0" xfId="0" applyFont="1"/>
    <xf numFmtId="0" fontId="4" fillId="0" borderId="0" xfId="0" applyFont="1" applyAlignment="1">
      <alignment horizontal="center"/>
    </xf>
    <xf numFmtId="0" fontId="24" fillId="0" borderId="16" xfId="0" applyFont="1" applyBorder="1" applyAlignment="1">
      <alignment horizontal="center"/>
    </xf>
    <xf numFmtId="0" fontId="4" fillId="0" borderId="17" xfId="0" applyFont="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cellXfs>
  <cellStyles count="2">
    <cellStyle name="Normal" xfId="0" builtinId="0"/>
    <cellStyle name="Normal 2" xfId="1" xr:uid="{00000000-0005-0000-0000-00000100000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66"/>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99FF"/>
      <color rgb="FF339933"/>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66"/>
    <pageSetUpPr fitToPage="1"/>
  </sheetPr>
  <dimension ref="A1:Y212"/>
  <sheetViews>
    <sheetView zoomScale="70" zoomScaleNormal="70" workbookViewId="0">
      <selection activeCell="N17" sqref="N17"/>
    </sheetView>
  </sheetViews>
  <sheetFormatPr baseColWidth="10" defaultColWidth="11.42578125" defaultRowHeight="12.75" x14ac:dyDescent="0.2"/>
  <cols>
    <col min="1" max="1" width="34.7109375" customWidth="1"/>
    <col min="2" max="2" width="24.140625" customWidth="1"/>
    <col min="3" max="3" width="21.140625" customWidth="1"/>
    <col min="4" max="4" width="23" customWidth="1"/>
    <col min="5" max="5" width="22" customWidth="1"/>
    <col min="6" max="6" width="16.42578125" customWidth="1"/>
    <col min="7" max="7" width="16.5703125" customWidth="1"/>
    <col min="8" max="8" width="20.140625" customWidth="1"/>
    <col min="9" max="9" width="18.85546875" customWidth="1"/>
    <col min="10" max="10" width="18.5703125" customWidth="1"/>
    <col min="11" max="11" width="16.7109375" customWidth="1"/>
    <col min="12" max="12" width="21.28515625" customWidth="1"/>
    <col min="13" max="13" width="13.140625" customWidth="1"/>
    <col min="14" max="14" width="12" customWidth="1"/>
    <col min="15" max="15" width="13.42578125" customWidth="1"/>
    <col min="16" max="16" width="15.85546875" customWidth="1"/>
    <col min="17" max="17" width="14.7109375" customWidth="1"/>
    <col min="18" max="18" width="14.42578125" customWidth="1"/>
    <col min="19" max="19" width="12.85546875" customWidth="1"/>
    <col min="20" max="20" width="19.5703125" customWidth="1"/>
    <col min="23" max="23" width="14.5703125" customWidth="1"/>
    <col min="24" max="24" width="14.140625" customWidth="1"/>
    <col min="25" max="25" width="17.85546875" customWidth="1"/>
    <col min="27" max="27" width="21.140625" customWidth="1"/>
    <col min="28" max="28" width="15" customWidth="1"/>
    <col min="29" max="30" width="18.140625" customWidth="1"/>
    <col min="31" max="31" width="19.42578125" customWidth="1"/>
    <col min="32" max="32" width="14.28515625" customWidth="1"/>
  </cols>
  <sheetData>
    <row r="1" spans="1:10" ht="15.75" x14ac:dyDescent="0.25">
      <c r="A1" s="1" t="s">
        <v>0</v>
      </c>
    </row>
    <row r="2" spans="1:10" s="3" customFormat="1" ht="15.75" x14ac:dyDescent="0.25">
      <c r="A2" s="2" t="s">
        <v>240</v>
      </c>
      <c r="E2" s="4"/>
    </row>
    <row r="3" spans="1:10" ht="15.75" x14ac:dyDescent="0.25">
      <c r="A3" s="1" t="s">
        <v>218</v>
      </c>
    </row>
    <row r="4" spans="1:10" ht="15.75" x14ac:dyDescent="0.25">
      <c r="A4" s="1" t="s">
        <v>219</v>
      </c>
    </row>
    <row r="5" spans="1:10" ht="15.75" x14ac:dyDescent="0.25">
      <c r="A5" s="1"/>
    </row>
    <row r="7" spans="1:10" x14ac:dyDescent="0.2">
      <c r="A7" s="5" t="s">
        <v>1</v>
      </c>
      <c r="C7" s="6">
        <v>24</v>
      </c>
    </row>
    <row r="9" spans="1:10" x14ac:dyDescent="0.2">
      <c r="A9" s="219" t="s">
        <v>223</v>
      </c>
      <c r="B9" s="219"/>
      <c r="C9" s="219"/>
      <c r="D9" s="219"/>
      <c r="E9" s="219"/>
      <c r="F9" s="219"/>
      <c r="G9" s="219"/>
      <c r="H9" s="219"/>
      <c r="I9" s="219"/>
    </row>
    <row r="11" spans="1:10" x14ac:dyDescent="0.2">
      <c r="A11" s="220" t="s">
        <v>224</v>
      </c>
      <c r="B11" s="220"/>
      <c r="C11" s="220"/>
      <c r="D11" s="220"/>
      <c r="E11" s="220"/>
      <c r="F11" s="220"/>
    </row>
    <row r="12" spans="1:10" x14ac:dyDescent="0.2">
      <c r="A12" s="5"/>
    </row>
    <row r="13" spans="1:10" x14ac:dyDescent="0.2">
      <c r="A13" s="220" t="s">
        <v>2</v>
      </c>
      <c r="B13" s="220"/>
      <c r="C13" s="5" t="s">
        <v>3</v>
      </c>
    </row>
    <row r="14" spans="1:10" x14ac:dyDescent="0.2">
      <c r="A14" s="221" t="s">
        <v>4</v>
      </c>
      <c r="B14" s="221"/>
      <c r="C14" s="8" t="s">
        <v>239</v>
      </c>
    </row>
    <row r="15" spans="1:10" x14ac:dyDescent="0.2">
      <c r="A15" s="9" t="s">
        <v>5</v>
      </c>
      <c r="B15" s="10" t="s">
        <v>6</v>
      </c>
      <c r="C15" s="11" t="s">
        <v>7</v>
      </c>
      <c r="D15" s="10" t="s">
        <v>8</v>
      </c>
      <c r="E15" s="9" t="s">
        <v>9</v>
      </c>
      <c r="F15" s="11" t="s">
        <v>10</v>
      </c>
      <c r="G15" s="222" t="s">
        <v>11</v>
      </c>
      <c r="H15" s="222"/>
      <c r="I15" s="222"/>
      <c r="J15" s="12" t="s">
        <v>12</v>
      </c>
    </row>
    <row r="16" spans="1:10" x14ac:dyDescent="0.2">
      <c r="A16" s="13" t="s">
        <v>13</v>
      </c>
      <c r="B16" s="13" t="s">
        <v>14</v>
      </c>
      <c r="C16" s="7" t="s">
        <v>15</v>
      </c>
      <c r="D16" s="13" t="s">
        <v>16</v>
      </c>
      <c r="E16" s="13" t="s">
        <v>17</v>
      </c>
      <c r="F16" s="7" t="s">
        <v>18</v>
      </c>
      <c r="G16" s="9" t="s">
        <v>19</v>
      </c>
      <c r="H16" s="9" t="s">
        <v>20</v>
      </c>
      <c r="I16" s="9" t="s">
        <v>21</v>
      </c>
      <c r="J16" s="14" t="s">
        <v>22</v>
      </c>
    </row>
    <row r="17" spans="1:12" x14ac:dyDescent="0.2">
      <c r="A17" s="15" t="s">
        <v>23</v>
      </c>
      <c r="B17" s="15" t="s">
        <v>24</v>
      </c>
      <c r="C17" s="16" t="s">
        <v>25</v>
      </c>
      <c r="D17" s="15"/>
      <c r="E17" s="15"/>
      <c r="F17" s="16" t="s">
        <v>26</v>
      </c>
      <c r="G17" s="15" t="s">
        <v>27</v>
      </c>
      <c r="H17" s="15" t="s">
        <v>27</v>
      </c>
      <c r="I17" s="15"/>
      <c r="J17" s="17" t="s">
        <v>28</v>
      </c>
    </row>
    <row r="18" spans="1:12" ht="15">
      <c r="A18" s="18" t="inlineStr">
        <is>
          <t>OAXACA</t>
        </is>
      </c>
      <c r="B18" s="165"/>
      <c r="C18" s="165">
        <v>46146</v>
      </c>
      <c r="D18" s="202" t="inlineStr">
        <is>
          <t>80266</t>
        </is>
      </c>
      <c r="E18" s="19">
        <f>IF((+C18-B18)&lt;0,0,(+C18-B18))</f>
      </c>
      <c r="F18" s="186"/>
      <c r="G18" s="20">
        <v>7200</v>
      </c>
      <c r="H18" s="20">
        <f>IF(E18&gt;0,F18,0)</f>
      </c>
      <c r="I18" s="21">
        <f>+G18+H18</f>
      </c>
      <c r="J18" s="22">
        <f>+F18-I18</f>
      </c>
    </row>
    <row r="19" spans="1:12" ht="15">
      <c r="A19" s="18" t="inlineStr">
        <is>
          <t>OAXACA</t>
        </is>
      </c>
      <c r="B19" s="165"/>
      <c r="C19" s="165">
        <v>46146</v>
      </c>
      <c r="D19" s="202" t="inlineStr">
        <is>
          <t>80267</t>
        </is>
      </c>
      <c r="E19" s="19">
        <f>IF((+C19-B19)&lt;0,0,(+C19-B19))</f>
      </c>
      <c r="F19" s="186"/>
      <c r="G19" s="20">
        <v>3528</v>
      </c>
      <c r="H19" s="20">
        <f>IF(E19&gt;0,F19,0)</f>
      </c>
      <c r="I19" s="21">
        <f>+G19+H19</f>
      </c>
      <c r="J19" s="22">
        <f>+F19-I19</f>
      </c>
    </row>
    <row r="20" spans="1:12" ht="15">
      <c r="A20" s="18" t="inlineStr">
        <is>
          <t>OAXACA</t>
        </is>
      </c>
      <c r="B20" s="165"/>
      <c r="C20" s="165">
        <v>46146</v>
      </c>
      <c r="D20" s="202" t="inlineStr">
        <is>
          <t>80268</t>
        </is>
      </c>
      <c r="E20" s="19">
        <f>IF((+C20-B20)&lt;0,0,(+C20-B20))</f>
      </c>
      <c r="F20" s="186"/>
      <c r="G20" s="20">
        <v>2376</v>
      </c>
      <c r="H20" s="20">
        <f>IF(E20&gt;0,F20,0)</f>
      </c>
      <c r="I20" s="21">
        <f>+G20+H20</f>
      </c>
      <c r="J20" s="22">
        <f>+F20-I20</f>
      </c>
    </row>
    <row r="21" spans="1:12" ht="15">
      <c r="A21" s="18" t="inlineStr">
        <is>
          <t>OAXACA</t>
        </is>
      </c>
      <c r="B21" s="165"/>
      <c r="C21" s="165">
        <v>46146</v>
      </c>
      <c r="D21" s="202" t="inlineStr">
        <is>
          <t>80269</t>
        </is>
      </c>
      <c r="E21" s="19">
        <f>IF((+C21-B21)&lt;0,0,(+C21-B21))</f>
      </c>
      <c r="F21" s="186"/>
      <c r="G21" s="20">
        <v>3600</v>
      </c>
      <c r="H21" s="20">
        <f>IF(E21&gt;0,F21,0)</f>
      </c>
      <c r="I21" s="21">
        <f>+G21+H21</f>
      </c>
      <c r="J21" s="22">
        <f>+F21-I21</f>
      </c>
    </row>
    <row r="22" spans="1:12" ht="15">
      <c r="A22" s="18" t="inlineStr">
        <is>
          <t>OAXACA</t>
        </is>
      </c>
      <c r="B22" s="165"/>
      <c r="C22" s="165">
        <v>46146</v>
      </c>
      <c r="D22" s="202" t="inlineStr">
        <is>
          <t>80270</t>
        </is>
      </c>
      <c r="E22" s="19">
        <f>IF((+C22-B22)&lt;0,0,(+C22-B22))</f>
      </c>
      <c r="F22" s="186"/>
      <c r="G22" s="20">
        <v>1440</v>
      </c>
      <c r="H22" s="20">
        <f>IF(E22&gt;0,F22,0)</f>
      </c>
      <c r="I22" s="21">
        <f>+G22+H22</f>
      </c>
      <c r="J22" s="22">
        <f>+F22-I22</f>
      </c>
    </row>
    <row r="23" spans="1:12" ht="15">
      <c r="A23" s="18" t="inlineStr">
        <is>
          <t>OAXACA</t>
        </is>
      </c>
      <c r="B23" s="165"/>
      <c r="C23" s="165">
        <v>46155</v>
      </c>
      <c r="D23" s="202" t="inlineStr">
        <is>
          <t>80271</t>
        </is>
      </c>
      <c r="E23" s="19">
        <f>IF((+C23-B23)&lt;0,0,(+C23-B23))</f>
      </c>
      <c r="F23" s="186"/>
      <c r="G23" s="20">
        <v>2160</v>
      </c>
      <c r="H23" s="20">
        <f>IF(E23&gt;0,F23,0)</f>
      </c>
      <c r="I23" s="21">
        <f>+G23+H23</f>
      </c>
      <c r="J23" s="22">
        <f>+F23-I23</f>
      </c>
    </row>
    <row r="24" spans="1:12" ht="15">
      <c r="A24" s="18" t="inlineStr">
        <is>
          <t>OAXACA</t>
        </is>
      </c>
      <c r="B24" s="165"/>
      <c r="C24" s="165">
        <v>46179</v>
      </c>
      <c r="D24" s="202" t="inlineStr">
        <is>
          <t>80273</t>
        </is>
      </c>
      <c r="E24" s="19">
        <f>IF((+C24-B24)&lt;0,0,(+C24-B24))</f>
      </c>
      <c r="F24" s="186"/>
      <c r="G24" s="20">
        <v>4896</v>
      </c>
      <c r="H24" s="20">
        <f>IF(E24&gt;0,F24,0)</f>
      </c>
      <c r="I24" s="21">
        <f>+G24+H24</f>
      </c>
      <c r="J24" s="22">
        <f>+F24-I24</f>
      </c>
    </row>
    <row r="25" spans="1:12" ht="15">
      <c r="A25" s="18" t="inlineStr">
        <is>
          <t>OAXACA</t>
        </is>
      </c>
      <c r="B25" s="165"/>
      <c r="C25" s="165">
        <v>46182</v>
      </c>
      <c r="D25" s="202" t="inlineStr">
        <is>
          <t>33279</t>
        </is>
      </c>
      <c r="E25" s="19">
        <f>IF((+C25-B25)&lt;0,0,(+C25-B25))</f>
      </c>
      <c r="F25" s="186"/>
      <c r="G25" s="20">
        <v>1440</v>
      </c>
      <c r="H25" s="20">
        <f>IF(E25&gt;0,F25,0)</f>
      </c>
      <c r="I25" s="21">
        <f>+G25+H25</f>
      </c>
      <c r="J25" s="22">
        <f>+F25-I25</f>
      </c>
    </row>
    <row r="26" spans="1:12" ht="15">
      <c r="A26" s="18" t="inlineStr">
        <is>
          <t>OAXACA</t>
        </is>
      </c>
      <c r="B26" s="165"/>
      <c r="C26" s="165">
        <v>46183</v>
      </c>
      <c r="D26" s="202" t="inlineStr">
        <is>
          <t>11248</t>
        </is>
      </c>
      <c r="E26" s="19">
        <f>IF((+C26-B26)&lt;0,0,(+C26-B26))</f>
      </c>
      <c r="F26" s="186"/>
      <c r="G26" s="20">
        <v>360</v>
      </c>
      <c r="H26" s="20">
        <f>IF(E26&gt;0,F26,0)</f>
      </c>
      <c r="I26" s="21">
        <f>+G26+H26</f>
      </c>
      <c r="J26" s="22">
        <f>+F26-I26</f>
      </c>
    </row>
    <row r="27" spans="1:12" ht="15">
      <c r="A27" s="18" t="inlineStr">
        <is>
          <t>OAXACA</t>
        </is>
      </c>
      <c r="B27" s="165"/>
      <c r="C27" s="165">
        <v>46183</v>
      </c>
      <c r="D27" s="202" t="inlineStr">
        <is>
          <t>80264</t>
        </is>
      </c>
      <c r="E27" s="19">
        <f>IF((+C27-B27)&lt;0,0,(+C27-B27))</f>
      </c>
      <c r="F27" s="186"/>
      <c r="G27" s="20">
        <v>3600</v>
      </c>
      <c r="H27" s="20">
        <f>IF(E27&gt;0,F27,0)</f>
      </c>
      <c r="I27" s="21">
        <f>+G27+H27</f>
      </c>
      <c r="J27" s="22">
        <f>+F27-I27</f>
      </c>
    </row>
    <row r="28" spans="1:12" x14ac:dyDescent="0.2">
      <c r="A28" s="6" t="s">
        <v>31</v>
      </c>
      <c r="B28" s="24"/>
      <c r="C28" s="25"/>
      <c r="D28" s="25" t="s">
        <v>53</v>
      </c>
      <c r="E28" s="26"/>
      <c r="F28" s="27">
        <f>SUM(F18:F27)</f>
        <v>922248</v>
      </c>
      <c r="G28" s="27">
        <f>SUM(G18:G27)</f>
        <v>922248</v>
      </c>
      <c r="H28" s="27">
        <f>SUM(H18:H27)</f>
        <v>0</v>
      </c>
      <c r="I28" s="27">
        <f>SUM(I18:I27)</f>
        <v>922248</v>
      </c>
      <c r="J28" s="27">
        <f>SUM(J18:J27)</f>
        <v>0</v>
      </c>
      <c r="L28" s="162"/>
    </row>
    <row r="29" spans="1:12" x14ac:dyDescent="0.2">
      <c r="A29" s="28"/>
      <c r="F29" s="54"/>
      <c r="G29" s="54"/>
      <c r="H29" s="54"/>
      <c r="I29" s="54"/>
    </row>
    <row r="30" spans="1:12" x14ac:dyDescent="0.2">
      <c r="A30" s="5" t="s">
        <v>222</v>
      </c>
      <c r="F30" s="22"/>
      <c r="G30" s="22"/>
      <c r="H30" s="22"/>
      <c r="I30" s="22"/>
      <c r="J30" s="22"/>
    </row>
    <row r="31" spans="1:12" ht="15.75" x14ac:dyDescent="0.25">
      <c r="A31" s="32"/>
      <c r="B31" s="30"/>
      <c r="C31" s="30"/>
      <c r="D31" s="30"/>
      <c r="E31" s="30"/>
      <c r="F31" s="30"/>
      <c r="G31" s="31"/>
      <c r="H31" s="31"/>
      <c r="I31" s="31"/>
      <c r="J31" s="31"/>
    </row>
    <row r="32" spans="1:12" ht="15" x14ac:dyDescent="0.2">
      <c r="A32" s="29"/>
      <c r="B32" s="31"/>
      <c r="C32" s="31"/>
      <c r="D32" s="31"/>
      <c r="E32" s="31"/>
      <c r="F32" s="31"/>
      <c r="G32" s="31"/>
      <c r="H32" s="31"/>
      <c r="I32" s="31"/>
      <c r="J32" s="31"/>
    </row>
    <row r="33" spans="1:25" x14ac:dyDescent="0.2">
      <c r="A33" s="25"/>
      <c r="B33" s="25"/>
      <c r="C33" s="25"/>
      <c r="D33" s="25"/>
      <c r="E33" s="25"/>
      <c r="F33" s="25"/>
      <c r="G33" s="25"/>
      <c r="H33" s="25"/>
      <c r="I33" s="25"/>
      <c r="J33" s="25"/>
    </row>
    <row r="34" spans="1:25" x14ac:dyDescent="0.2">
      <c r="A34" s="32"/>
      <c r="B34" s="25"/>
      <c r="C34" s="25"/>
      <c r="D34" s="25"/>
      <c r="E34" s="25"/>
      <c r="F34" s="25"/>
      <c r="G34" s="25"/>
      <c r="H34" s="25"/>
      <c r="I34" s="25"/>
      <c r="J34" s="25"/>
    </row>
    <row r="35" spans="1:25" x14ac:dyDescent="0.2">
      <c r="A35" s="25"/>
      <c r="B35" s="25"/>
      <c r="C35" s="25"/>
      <c r="D35" s="25"/>
      <c r="E35" s="25"/>
      <c r="F35" s="25"/>
      <c r="G35" s="25"/>
      <c r="H35" s="25"/>
      <c r="I35" s="25"/>
      <c r="J35" s="25"/>
    </row>
    <row r="36" spans="1:25" x14ac:dyDescent="0.2">
      <c r="A36" s="25"/>
      <c r="B36" s="25"/>
      <c r="C36" s="25"/>
      <c r="D36" s="25"/>
      <c r="E36" s="25"/>
      <c r="F36" s="25"/>
      <c r="G36" s="25"/>
      <c r="H36" s="25"/>
      <c r="I36" s="25"/>
      <c r="J36" s="25"/>
    </row>
    <row r="37" spans="1:25" x14ac:dyDescent="0.2">
      <c r="A37" s="25"/>
      <c r="B37" s="25"/>
      <c r="C37" s="25"/>
      <c r="D37" s="25"/>
      <c r="E37" s="25"/>
      <c r="F37" s="25"/>
      <c r="G37" s="25"/>
      <c r="H37" s="25"/>
      <c r="I37" s="25"/>
      <c r="J37" s="25"/>
    </row>
    <row r="39" spans="1:25" ht="15.75" x14ac:dyDescent="0.25">
      <c r="A39" s="223" t="s">
        <v>33</v>
      </c>
      <c r="B39" s="223"/>
      <c r="C39" s="223"/>
      <c r="D39" s="223"/>
      <c r="E39" s="223"/>
      <c r="F39" s="223"/>
      <c r="G39" s="223"/>
      <c r="H39" s="223"/>
      <c r="I39" s="223"/>
      <c r="J39" s="5"/>
      <c r="K39" s="5"/>
      <c r="L39" s="5"/>
      <c r="M39" s="5"/>
      <c r="N39" s="5"/>
      <c r="O39" s="5"/>
      <c r="P39" s="5"/>
      <c r="Q39" s="5"/>
    </row>
    <row r="40" spans="1:25" x14ac:dyDescent="0.2">
      <c r="A40" s="5"/>
      <c r="B40" s="5"/>
      <c r="C40" s="5"/>
      <c r="D40" s="5"/>
      <c r="E40" s="5"/>
      <c r="F40" s="5"/>
      <c r="G40" s="5"/>
      <c r="H40" s="5"/>
      <c r="I40" s="5"/>
      <c r="J40" s="5"/>
      <c r="K40" s="5"/>
      <c r="L40" s="5"/>
      <c r="M40" s="5"/>
      <c r="N40" s="5"/>
      <c r="O40" s="5"/>
      <c r="P40" s="5"/>
      <c r="Q40" s="5"/>
    </row>
    <row r="41" spans="1:25" x14ac:dyDescent="0.2">
      <c r="A41" s="220" t="s">
        <v>2</v>
      </c>
      <c r="B41" s="220"/>
      <c r="C41" s="5" t="s">
        <v>3</v>
      </c>
      <c r="D41" s="5"/>
      <c r="E41" s="5"/>
      <c r="F41" s="5"/>
      <c r="G41" s="5"/>
      <c r="H41" s="5"/>
      <c r="I41" s="5"/>
      <c r="J41" s="5"/>
      <c r="K41" s="5"/>
      <c r="L41" s="5"/>
      <c r="M41" s="5"/>
      <c r="N41" s="5"/>
      <c r="O41" s="5"/>
      <c r="P41" s="5"/>
      <c r="Q41" s="5"/>
    </row>
    <row r="42" spans="1:25" x14ac:dyDescent="0.2">
      <c r="A42" s="221" t="s">
        <v>4</v>
      </c>
      <c r="B42" s="221"/>
      <c r="C42" s="5" t="str">
        <f>C14</f>
        <v>ABRIL</v>
      </c>
      <c r="D42" s="5"/>
      <c r="E42" s="5"/>
      <c r="F42" s="5"/>
      <c r="G42" s="5"/>
      <c r="H42" s="5"/>
      <c r="I42" s="5"/>
      <c r="J42" s="5"/>
      <c r="K42" s="5"/>
      <c r="L42" s="5"/>
      <c r="M42" s="5"/>
      <c r="N42" s="5"/>
      <c r="O42" s="5"/>
      <c r="P42" s="5"/>
      <c r="Q42" s="5"/>
    </row>
    <row r="43" spans="1:25" ht="12.75" customHeight="1" x14ac:dyDescent="0.2">
      <c r="A43" s="224" t="s">
        <v>34</v>
      </c>
      <c r="B43" s="225" t="s">
        <v>35</v>
      </c>
      <c r="C43" s="225"/>
      <c r="D43" s="224" t="s">
        <v>36</v>
      </c>
      <c r="E43" s="225" t="s">
        <v>37</v>
      </c>
      <c r="F43" s="225"/>
      <c r="G43" s="225"/>
      <c r="H43" s="222" t="s">
        <v>38</v>
      </c>
      <c r="I43" s="222"/>
      <c r="J43" s="222"/>
      <c r="K43" s="227" t="s">
        <v>39</v>
      </c>
      <c r="L43" s="227"/>
      <c r="M43" s="227"/>
      <c r="N43" s="227"/>
      <c r="O43" s="12"/>
      <c r="P43" s="224" t="s">
        <v>40</v>
      </c>
      <c r="Q43" s="224" t="s">
        <v>41</v>
      </c>
      <c r="R43" s="224" t="s">
        <v>42</v>
      </c>
      <c r="S43" s="224" t="s">
        <v>43</v>
      </c>
    </row>
    <row r="44" spans="1:25" ht="12.75" customHeight="1" x14ac:dyDescent="0.2">
      <c r="A44" s="224"/>
      <c r="B44" s="33"/>
      <c r="C44" s="34"/>
      <c r="D44" s="224"/>
      <c r="E44" s="226" t="s">
        <v>44</v>
      </c>
      <c r="F44" s="224" t="s">
        <v>45</v>
      </c>
      <c r="G44" s="226" t="s">
        <v>21</v>
      </c>
      <c r="H44" s="224" t="s">
        <v>46</v>
      </c>
      <c r="I44" s="226" t="s">
        <v>47</v>
      </c>
      <c r="J44" s="226" t="s">
        <v>21</v>
      </c>
      <c r="K44" s="224" t="s">
        <v>45</v>
      </c>
      <c r="L44" s="224" t="s">
        <v>48</v>
      </c>
      <c r="M44" s="224" t="s">
        <v>49</v>
      </c>
      <c r="N44" s="224" t="s">
        <v>50</v>
      </c>
      <c r="O44" s="226" t="s">
        <v>21</v>
      </c>
      <c r="P44" s="224"/>
      <c r="Q44" s="224"/>
      <c r="R44" s="224"/>
      <c r="S44" s="224"/>
    </row>
    <row r="45" spans="1:25" ht="27" customHeight="1" x14ac:dyDescent="0.2">
      <c r="A45" s="224"/>
      <c r="B45" s="35" t="s">
        <v>51</v>
      </c>
      <c r="C45" s="35" t="s">
        <v>52</v>
      </c>
      <c r="D45" s="224"/>
      <c r="E45" s="226"/>
      <c r="F45" s="224"/>
      <c r="G45" s="226"/>
      <c r="H45" s="224"/>
      <c r="I45" s="226"/>
      <c r="J45" s="226"/>
      <c r="K45" s="224"/>
      <c r="L45" s="224"/>
      <c r="M45" s="224"/>
      <c r="N45" s="224"/>
      <c r="O45" s="226"/>
      <c r="P45" s="224"/>
      <c r="Q45" s="224"/>
      <c r="R45" s="224"/>
      <c r="S45" s="224"/>
      <c r="T45" s="22"/>
    </row>
    <row r="46" spans="1:25" ht="15" x14ac:dyDescent="0.25">
      <c r="A46" s="18" t="s">
        <v>3</v>
      </c>
      <c r="B46" s="38">
        <v>282798</v>
      </c>
      <c r="C46" s="36"/>
      <c r="D46" s="37">
        <v>46139</v>
      </c>
      <c r="E46" s="38">
        <f>SUM(F18:F21)</f>
        <v>325368</v>
      </c>
      <c r="F46" s="22">
        <v>0</v>
      </c>
      <c r="G46" s="21">
        <f>+E46+F46</f>
        <v>325368</v>
      </c>
      <c r="H46" s="20"/>
      <c r="I46" s="166"/>
      <c r="J46" s="21">
        <f>SUM(H46:I46)</f>
        <v>0</v>
      </c>
      <c r="K46" s="20"/>
      <c r="L46" s="38"/>
      <c r="M46" s="38">
        <f>SUM(C95:C106)</f>
        <v>497016</v>
      </c>
      <c r="N46" s="20"/>
      <c r="O46" s="21">
        <f>+K46+L46+M46+N46</f>
        <v>497016</v>
      </c>
      <c r="P46" s="20"/>
      <c r="Q46" s="21">
        <f>+B46+G46+J46-O46-P46</f>
        <v>111150</v>
      </c>
      <c r="R46" s="37">
        <v>46139</v>
      </c>
      <c r="S46" s="21">
        <f>IF(ISERROR(+Q46/($K$186)),0,+(Q46/($K$186)))</f>
        <v>10.396028028277694</v>
      </c>
      <c r="T46" s="22"/>
      <c r="U46" s="207">
        <f>+Q46/72</f>
        <v>1543.75</v>
      </c>
      <c r="V46" s="22"/>
      <c r="W46" s="22"/>
      <c r="X46" s="22"/>
      <c r="Y46" s="22"/>
    </row>
    <row r="47" spans="1:25" ht="15" x14ac:dyDescent="0.25">
      <c r="A47" s="189" t="s">
        <v>29</v>
      </c>
      <c r="B47" s="20">
        <v>171000</v>
      </c>
      <c r="C47" s="39"/>
      <c r="D47" s="37">
        <v>46139</v>
      </c>
      <c r="E47" s="20">
        <f>SUM(F22:F24)</f>
        <v>255960</v>
      </c>
      <c r="F47" s="20">
        <v>0</v>
      </c>
      <c r="G47" s="21">
        <f>+E47+F47</f>
        <v>255960</v>
      </c>
      <c r="H47" s="21"/>
      <c r="I47" s="21"/>
      <c r="J47" s="21">
        <f>SUM(H47:I47)</f>
        <v>0</v>
      </c>
      <c r="K47" s="20"/>
      <c r="L47" s="20"/>
      <c r="M47" s="20">
        <f>SUM(C77:C84)</f>
        <v>171000</v>
      </c>
      <c r="N47" s="20"/>
      <c r="O47" s="21">
        <f>+K47+L47+M47+N47</f>
        <v>171000</v>
      </c>
      <c r="P47" s="20"/>
      <c r="Q47" s="21">
        <f>+B47+G47+J47-O47-P47</f>
        <v>255960</v>
      </c>
      <c r="R47" s="37">
        <v>46139</v>
      </c>
      <c r="S47" s="21">
        <f>IF(ISERROR(+Q47/($K$187)),0,+(Q47/($K$187)))</f>
        <v>18.264049520434316</v>
      </c>
      <c r="T47" s="22"/>
      <c r="U47" s="207">
        <f t="shared" ref="U47:U48" si="30">+Q47/72</f>
        <v>3555</v>
      </c>
      <c r="V47" s="22">
        <f>+U47-336</f>
        <v>3219</v>
      </c>
      <c r="W47" s="22"/>
      <c r="X47" s="22"/>
      <c r="Y47" s="22"/>
    </row>
    <row r="48" spans="1:25" ht="15" x14ac:dyDescent="0.25">
      <c r="A48" s="18" t="s">
        <v>30</v>
      </c>
      <c r="B48" s="20">
        <v>348768</v>
      </c>
      <c r="C48" s="20"/>
      <c r="D48" s="37">
        <v>46134</v>
      </c>
      <c r="E48" s="20">
        <f>SUM(F25:F27)</f>
        <v>340920</v>
      </c>
      <c r="F48" s="20">
        <v>0</v>
      </c>
      <c r="G48" s="21">
        <f>+E48+F48</f>
        <v>340920</v>
      </c>
      <c r="H48" s="21"/>
      <c r="I48" s="21"/>
      <c r="J48" s="21">
        <f>SUM(H48:I48)</f>
        <v>0</v>
      </c>
      <c r="K48" s="20"/>
      <c r="L48" s="20"/>
      <c r="M48" s="20">
        <f>SUM(C85:C94)</f>
        <v>379368</v>
      </c>
      <c r="N48" s="20"/>
      <c r="O48" s="21">
        <f>+K48+L48+M48+N48</f>
        <v>379368</v>
      </c>
      <c r="P48" s="20"/>
      <c r="Q48" s="21">
        <f>+B48+G48+J48-O48-P48</f>
        <v>310320</v>
      </c>
      <c r="R48" s="37">
        <v>46134</v>
      </c>
      <c r="S48" s="21">
        <f>IF(ISERROR(+Q48/($K$188)),0,+(Q48/($K$188)))</f>
        <v>23.565326346964348</v>
      </c>
      <c r="T48" s="22"/>
      <c r="U48" s="207">
        <f t="shared" si="30"/>
        <v>4310</v>
      </c>
      <c r="V48" s="22"/>
      <c r="W48" s="22"/>
      <c r="X48" s="22"/>
      <c r="Y48" s="22"/>
    </row>
    <row r="49" spans="1:22" x14ac:dyDescent="0.2">
      <c r="A49" s="40"/>
      <c r="B49" s="41"/>
      <c r="C49" s="42"/>
      <c r="D49" s="43"/>
      <c r="E49" s="41"/>
      <c r="F49" s="41"/>
      <c r="G49" s="44"/>
      <c r="H49" s="44"/>
      <c r="I49" s="44"/>
      <c r="J49" s="44"/>
      <c r="K49" s="41"/>
      <c r="L49" s="41"/>
      <c r="M49" s="41"/>
      <c r="N49" s="44"/>
      <c r="O49" s="44"/>
      <c r="P49" s="41"/>
      <c r="Q49" s="44"/>
      <c r="R49" s="43"/>
      <c r="S49" s="44"/>
      <c r="U49" s="22"/>
      <c r="V49" s="22"/>
    </row>
    <row r="50" spans="1:22" ht="11.25" customHeight="1" x14ac:dyDescent="0.2">
      <c r="B50" s="22"/>
      <c r="E50" s="22"/>
      <c r="F50" s="22"/>
      <c r="G50" s="22"/>
      <c r="H50" s="22"/>
      <c r="I50" s="22"/>
      <c r="J50" s="22"/>
      <c r="K50" s="22"/>
      <c r="L50" s="22"/>
      <c r="M50" s="45" t="s">
        <v>53</v>
      </c>
      <c r="N50" s="22"/>
      <c r="O50" s="22"/>
      <c r="P50" s="22"/>
      <c r="Q50" s="22"/>
      <c r="S50" s="22"/>
      <c r="V50" s="22"/>
    </row>
    <row r="51" spans="1:22" x14ac:dyDescent="0.2">
      <c r="A51" s="46" t="s">
        <v>31</v>
      </c>
      <c r="B51" s="47">
        <f>SUM(B46:B49)</f>
        <v>802566</v>
      </c>
      <c r="C51" s="25"/>
      <c r="D51" s="25"/>
      <c r="E51" s="47">
        <f>SUM(E46:E48)</f>
        <v>922248</v>
      </c>
      <c r="F51" s="47">
        <f t="shared" ref="F51:Q51" si="31">SUM(F46:F49)</f>
        <v>0</v>
      </c>
      <c r="G51" s="47">
        <f>SUM(G46:G49)</f>
        <v>922248</v>
      </c>
      <c r="H51" s="47">
        <f t="shared" si="31"/>
        <v>0</v>
      </c>
      <c r="I51" s="47">
        <f t="shared" si="31"/>
        <v>0</v>
      </c>
      <c r="J51" s="47">
        <f t="shared" si="31"/>
        <v>0</v>
      </c>
      <c r="K51" s="47">
        <f t="shared" si="31"/>
        <v>0</v>
      </c>
      <c r="L51" s="47">
        <f t="shared" si="31"/>
        <v>0</v>
      </c>
      <c r="M51" s="47">
        <f t="shared" si="31"/>
        <v>1047384</v>
      </c>
      <c r="N51" s="47">
        <f t="shared" si="31"/>
        <v>0</v>
      </c>
      <c r="O51" s="47">
        <f t="shared" si="31"/>
        <v>1047384</v>
      </c>
      <c r="P51" s="47">
        <f t="shared" si="31"/>
        <v>0</v>
      </c>
      <c r="Q51" s="47">
        <f t="shared" si="31"/>
        <v>677430</v>
      </c>
      <c r="R51" s="25"/>
      <c r="S51" s="47">
        <f>IF(ISERROR(+Q51/(E187/$C$7)),0,+(Q51/(E187/$C$7)))</f>
        <v>17.886176715204162</v>
      </c>
    </row>
    <row r="52" spans="1:22" x14ac:dyDescent="0.2">
      <c r="C52" s="22"/>
    </row>
    <row r="53" spans="1:22" ht="15" x14ac:dyDescent="0.2">
      <c r="A53" s="191" t="s">
        <v>54</v>
      </c>
      <c r="B53" s="48"/>
      <c r="C53" s="48"/>
      <c r="D53" s="48"/>
      <c r="E53" s="22"/>
      <c r="Q53" s="22"/>
    </row>
    <row r="54" spans="1:22" ht="15" x14ac:dyDescent="0.2">
      <c r="A54" s="191" t="s">
        <v>55</v>
      </c>
      <c r="B54" s="48"/>
      <c r="C54" s="48"/>
      <c r="D54" s="48"/>
    </row>
    <row r="55" spans="1:22" x14ac:dyDescent="0.2">
      <c r="E55" s="22"/>
      <c r="Q55" s="22"/>
    </row>
    <row r="57" spans="1:22" x14ac:dyDescent="0.2">
      <c r="A57" s="5" t="s">
        <v>209</v>
      </c>
      <c r="Q57" s="22"/>
    </row>
    <row r="58" spans="1:22" x14ac:dyDescent="0.2">
      <c r="A58" s="25"/>
      <c r="B58" s="25"/>
      <c r="C58" s="25"/>
      <c r="D58" s="25"/>
      <c r="E58" s="25"/>
      <c r="F58" s="25"/>
      <c r="G58" s="25"/>
      <c r="H58" s="25"/>
      <c r="I58" s="25"/>
      <c r="J58" s="25"/>
      <c r="K58" s="25"/>
      <c r="L58" s="25"/>
      <c r="M58" s="25"/>
      <c r="N58" s="25"/>
      <c r="O58" s="25"/>
      <c r="P58" s="25"/>
      <c r="Q58" s="25"/>
      <c r="R58" s="25"/>
      <c r="S58" s="25"/>
    </row>
    <row r="59" spans="1:22" x14ac:dyDescent="0.2">
      <c r="A59" s="25"/>
      <c r="B59" s="25"/>
      <c r="C59" s="25"/>
      <c r="D59" s="25"/>
      <c r="E59" s="25"/>
      <c r="F59" s="25"/>
      <c r="G59" s="25"/>
      <c r="H59" s="25"/>
      <c r="I59" s="25"/>
      <c r="J59" s="25"/>
      <c r="K59" s="25"/>
      <c r="L59" s="25"/>
      <c r="M59" s="25"/>
      <c r="N59" s="25"/>
      <c r="O59" s="25"/>
      <c r="P59" s="25"/>
      <c r="Q59" s="25"/>
      <c r="R59" s="25"/>
      <c r="S59" s="25"/>
    </row>
    <row r="60" spans="1:22" x14ac:dyDescent="0.2">
      <c r="A60" s="25"/>
      <c r="C60" s="25"/>
      <c r="D60" s="25"/>
      <c r="E60" s="25"/>
      <c r="F60" s="25"/>
      <c r="G60" s="25"/>
      <c r="H60" s="25"/>
      <c r="I60" s="25"/>
      <c r="J60" s="25"/>
      <c r="K60" s="25"/>
      <c r="L60" s="25"/>
      <c r="M60" s="25"/>
      <c r="N60" s="25"/>
      <c r="O60" s="25"/>
      <c r="P60" s="25"/>
      <c r="Q60" s="25"/>
      <c r="R60" s="25"/>
      <c r="S60" s="25"/>
    </row>
    <row r="61" spans="1:22" x14ac:dyDescent="0.2">
      <c r="A61" s="25"/>
      <c r="B61" s="25"/>
      <c r="C61" s="25"/>
      <c r="D61" s="25"/>
      <c r="E61" s="25"/>
      <c r="F61" s="25"/>
      <c r="G61" s="25"/>
      <c r="H61" s="25"/>
      <c r="I61" s="25"/>
      <c r="J61" s="25"/>
      <c r="K61" s="25"/>
      <c r="L61" s="25"/>
      <c r="M61" s="25"/>
      <c r="N61" s="25"/>
      <c r="O61" s="25"/>
      <c r="P61" s="25"/>
      <c r="Q61" s="25"/>
      <c r="R61" s="25"/>
      <c r="S61" s="25"/>
    </row>
    <row r="62" spans="1:22" x14ac:dyDescent="0.2">
      <c r="A62" s="25"/>
      <c r="B62" s="25"/>
      <c r="C62" s="25"/>
      <c r="D62" s="25"/>
      <c r="E62" s="25"/>
      <c r="F62" s="25"/>
      <c r="G62" s="25"/>
      <c r="H62" s="25"/>
      <c r="I62" s="25"/>
      <c r="J62" s="25"/>
      <c r="K62" s="25"/>
      <c r="L62" s="25"/>
      <c r="M62" s="25"/>
      <c r="N62" s="25"/>
      <c r="O62" s="25"/>
      <c r="P62" s="25"/>
      <c r="Q62" s="25"/>
      <c r="R62" s="25"/>
      <c r="S62" s="25"/>
    </row>
    <row r="63" spans="1:22" x14ac:dyDescent="0.2">
      <c r="A63" s="25"/>
      <c r="B63" s="25"/>
      <c r="C63" s="25"/>
      <c r="D63" s="25"/>
      <c r="E63" s="25"/>
      <c r="F63" s="25"/>
      <c r="G63" s="25"/>
      <c r="H63" s="25"/>
      <c r="I63" s="25"/>
      <c r="J63" s="25"/>
      <c r="K63" s="25"/>
      <c r="L63" s="25"/>
      <c r="M63" s="25"/>
      <c r="N63" s="25"/>
      <c r="O63" s="25"/>
      <c r="P63" s="25"/>
      <c r="Q63" s="25"/>
      <c r="R63" s="25"/>
      <c r="S63" s="25"/>
    </row>
    <row r="64" spans="1:22" x14ac:dyDescent="0.2">
      <c r="A64" s="25"/>
      <c r="B64" s="25"/>
      <c r="C64" s="25"/>
      <c r="D64" s="25"/>
      <c r="E64" s="25"/>
      <c r="F64" s="25"/>
      <c r="G64" s="25"/>
      <c r="I64" s="25"/>
      <c r="J64" s="25"/>
      <c r="K64" s="25"/>
      <c r="L64" s="25"/>
      <c r="M64" s="25"/>
      <c r="N64" s="25"/>
      <c r="O64" s="25"/>
      <c r="P64" s="25"/>
      <c r="Q64" s="25"/>
      <c r="R64" s="25"/>
      <c r="S64" s="25"/>
    </row>
    <row r="65" spans="1:19" x14ac:dyDescent="0.2">
      <c r="A65" s="25"/>
      <c r="B65" s="25"/>
      <c r="C65" s="25"/>
      <c r="D65" s="25"/>
      <c r="E65" s="25"/>
      <c r="F65" s="25"/>
      <c r="G65" s="25"/>
      <c r="H65" s="25"/>
      <c r="I65" s="25"/>
      <c r="J65" s="25"/>
      <c r="K65" s="25"/>
      <c r="L65" s="25"/>
      <c r="M65" s="25"/>
      <c r="N65" s="25"/>
      <c r="O65" s="25"/>
      <c r="P65" s="25"/>
      <c r="Q65" s="25"/>
      <c r="R65" s="25"/>
      <c r="S65" s="25"/>
    </row>
    <row r="66" spans="1:19" ht="15" x14ac:dyDescent="0.2">
      <c r="A66" s="48" t="s">
        <v>56</v>
      </c>
      <c r="B66" s="48"/>
      <c r="C66" s="48"/>
      <c r="D66" s="48"/>
      <c r="E66" s="48"/>
      <c r="F66" s="48"/>
      <c r="G66" s="48"/>
      <c r="H66" s="48"/>
    </row>
    <row r="70" spans="1:19" ht="15.75" x14ac:dyDescent="0.25">
      <c r="A70" s="1" t="s">
        <v>57</v>
      </c>
      <c r="B70" s="48"/>
      <c r="C70" s="48"/>
      <c r="D70" s="48"/>
      <c r="E70" s="48"/>
      <c r="F70" s="48"/>
      <c r="G70" s="48"/>
      <c r="H70" s="48"/>
    </row>
    <row r="71" spans="1:19" x14ac:dyDescent="0.2">
      <c r="A71" s="5"/>
    </row>
    <row r="72" spans="1:19" x14ac:dyDescent="0.2">
      <c r="A72" s="220" t="s">
        <v>2</v>
      </c>
      <c r="B72" s="220"/>
      <c r="C72" s="5" t="s">
        <v>3</v>
      </c>
    </row>
    <row r="73" spans="1:19" x14ac:dyDescent="0.2">
      <c r="A73" s="221" t="s">
        <v>4</v>
      </c>
      <c r="B73" s="221"/>
      <c r="C73" s="5" t="str">
        <f>C14</f>
        <v>ABRIL</v>
      </c>
    </row>
    <row r="74" spans="1:19" x14ac:dyDescent="0.2">
      <c r="A74" s="49" t="s">
        <v>58</v>
      </c>
      <c r="B74" s="9" t="s">
        <v>59</v>
      </c>
      <c r="C74" s="222" t="s">
        <v>60</v>
      </c>
      <c r="D74" s="222"/>
      <c r="E74" s="222"/>
      <c r="F74" s="222"/>
      <c r="G74" s="222" t="s">
        <v>39</v>
      </c>
      <c r="H74" s="222"/>
      <c r="I74" s="222"/>
      <c r="J74" s="222"/>
      <c r="K74" s="9" t="s">
        <v>61</v>
      </c>
      <c r="L74" s="9" t="s">
        <v>59</v>
      </c>
      <c r="M74" s="11" t="s">
        <v>62</v>
      </c>
      <c r="N74" s="9" t="s">
        <v>63</v>
      </c>
      <c r="O74" s="201"/>
    </row>
    <row r="75" spans="1:19" x14ac:dyDescent="0.2">
      <c r="A75" s="50" t="s">
        <v>64</v>
      </c>
      <c r="B75" s="13" t="s">
        <v>65</v>
      </c>
      <c r="C75" s="51" t="s">
        <v>66</v>
      </c>
      <c r="D75" s="13" t="s">
        <v>67</v>
      </c>
      <c r="E75" s="13" t="s">
        <v>68</v>
      </c>
      <c r="F75" s="226" t="s">
        <v>21</v>
      </c>
      <c r="G75" s="51" t="s">
        <v>69</v>
      </c>
      <c r="H75" s="13" t="s">
        <v>67</v>
      </c>
      <c r="I75" s="13" t="s">
        <v>47</v>
      </c>
      <c r="J75" s="226" t="s">
        <v>21</v>
      </c>
      <c r="K75" s="13" t="s">
        <v>70</v>
      </c>
      <c r="L75" s="13" t="s">
        <v>71</v>
      </c>
      <c r="M75" s="7" t="s">
        <v>59</v>
      </c>
      <c r="N75" s="13" t="s">
        <v>59</v>
      </c>
    </row>
    <row r="76" spans="1:19" x14ac:dyDescent="0.2">
      <c r="A76" s="50" t="s">
        <v>72</v>
      </c>
      <c r="B76" s="15" t="s">
        <v>26</v>
      </c>
      <c r="C76" s="15" t="s">
        <v>73</v>
      </c>
      <c r="D76" s="15" t="s">
        <v>74</v>
      </c>
      <c r="E76" s="15" t="s">
        <v>75</v>
      </c>
      <c r="F76" s="226"/>
      <c r="G76" s="15" t="s">
        <v>76</v>
      </c>
      <c r="H76" s="15" t="s">
        <v>74</v>
      </c>
      <c r="I76" s="15" t="s">
        <v>77</v>
      </c>
      <c r="J76" s="226"/>
      <c r="K76" s="15" t="s">
        <v>59</v>
      </c>
      <c r="L76" s="15" t="s">
        <v>26</v>
      </c>
      <c r="M76" s="7" t="s">
        <v>71</v>
      </c>
      <c r="N76" s="15" t="s">
        <v>78</v>
      </c>
    </row>
    <row r="77" spans="1:19" ht="15" x14ac:dyDescent="0.2">
      <c r="A77" s="52" t="s">
        <v>79</v>
      </c>
      <c r="B77" s="53">
        <v>792</v>
      </c>
      <c r="C77" s="164">
        <f>349*72</f>
        <v>25128</v>
      </c>
      <c r="D77" s="54"/>
      <c r="E77" s="182"/>
      <c r="F77" s="27">
        <f t="shared" ref="F77:F106" si="32">+C77+D77+E77</f>
        <v>25128</v>
      </c>
      <c r="G77" s="199">
        <f>355*72</f>
        <v>25560</v>
      </c>
      <c r="H77" s="38"/>
      <c r="I77" s="20"/>
      <c r="J77" s="27">
        <f t="shared" ref="J77:J106" si="33">+G77+H77+I77</f>
        <v>25560</v>
      </c>
      <c r="K77" s="20"/>
      <c r="L77" s="27">
        <f t="shared" ref="L77:L106" si="34">+B77+F77-J77-K77</f>
        <v>360</v>
      </c>
      <c r="M77" s="173">
        <v>46139</v>
      </c>
      <c r="N77" s="27">
        <f t="shared" ref="N77:N97" si="35">IF(ISERROR(+L77/(J130/$C$7)),0,+(L77/(J130/$C$7)))</f>
        <v>0.34015748031496068</v>
      </c>
      <c r="O77" s="55">
        <f>+L77/72</f>
        <v>5</v>
      </c>
      <c r="P77">
        <v>5</v>
      </c>
      <c r="Q77" s="22">
        <f>+O77-P77</f>
        <v>0</v>
      </c>
      <c r="R77" s="162"/>
      <c r="S77" s="187"/>
    </row>
    <row r="78" spans="1:19" ht="15" x14ac:dyDescent="0.2">
      <c r="A78" s="183" t="s">
        <v>80</v>
      </c>
      <c r="B78" s="56">
        <v>1224</v>
      </c>
      <c r="C78" s="164">
        <f>281*72</f>
        <v>20232</v>
      </c>
      <c r="E78" s="177"/>
      <c r="F78" s="27">
        <f t="shared" si="32"/>
        <v>20232</v>
      </c>
      <c r="G78" s="175">
        <f>274*72</f>
        <v>19728</v>
      </c>
      <c r="H78" s="20"/>
      <c r="I78" s="20"/>
      <c r="J78" s="27">
        <f t="shared" si="33"/>
        <v>19728</v>
      </c>
      <c r="K78" s="20"/>
      <c r="L78" s="27">
        <f>+B78+F78-J78-K78</f>
        <v>1728</v>
      </c>
      <c r="M78" s="173">
        <v>46136</v>
      </c>
      <c r="N78" s="27">
        <f>IF(ISERROR(+L78/(J131/$C$7)),0,+(L78/(J131/$C$7)))</f>
        <v>2.1584261476007076</v>
      </c>
      <c r="O78" s="55">
        <f t="shared" ref="O78:O106" si="36">+L78/72</f>
        <v>24</v>
      </c>
      <c r="P78">
        <v>24</v>
      </c>
      <c r="Q78">
        <f t="shared" ref="Q78:Q106" si="37">+O78-P78</f>
        <v>0</v>
      </c>
      <c r="R78" s="162"/>
      <c r="S78" s="203"/>
    </row>
    <row r="79" spans="1:19" ht="15" x14ac:dyDescent="0.2">
      <c r="A79" s="184" t="s">
        <v>81</v>
      </c>
      <c r="B79" s="56">
        <v>38664</v>
      </c>
      <c r="C79" s="164">
        <v>0</v>
      </c>
      <c r="E79" s="177"/>
      <c r="F79" s="27">
        <f t="shared" si="32"/>
        <v>0</v>
      </c>
      <c r="G79" s="175">
        <f>490*72</f>
        <v>35280</v>
      </c>
      <c r="H79" s="20"/>
      <c r="I79" s="20"/>
      <c r="J79" s="27">
        <f t="shared" si="33"/>
        <v>35280</v>
      </c>
      <c r="K79" s="20"/>
      <c r="L79" s="27">
        <f>+B79+F79-J79-K79</f>
        <v>3384</v>
      </c>
      <c r="M79" s="173">
        <v>46136</v>
      </c>
      <c r="N79" s="27">
        <f t="shared" si="35"/>
        <v>2.3196618302296357</v>
      </c>
      <c r="O79" s="55">
        <f t="shared" si="36"/>
        <v>47</v>
      </c>
      <c r="P79">
        <f>23+24</f>
        <v>47</v>
      </c>
      <c r="Q79">
        <f t="shared" si="37"/>
        <v>0</v>
      </c>
      <c r="S79" s="203"/>
    </row>
    <row r="80" spans="1:19" ht="15" x14ac:dyDescent="0.2">
      <c r="A80" s="183" t="s">
        <v>82</v>
      </c>
      <c r="B80" s="56">
        <v>0</v>
      </c>
      <c r="C80" s="164">
        <f>526*72</f>
        <v>37872</v>
      </c>
      <c r="E80" s="177"/>
      <c r="F80" s="27">
        <f t="shared" si="32"/>
        <v>37872</v>
      </c>
      <c r="G80" s="175">
        <f>514*72</f>
        <v>37008</v>
      </c>
      <c r="H80" s="20"/>
      <c r="I80" s="20"/>
      <c r="J80" s="27">
        <f t="shared" si="33"/>
        <v>37008</v>
      </c>
      <c r="K80" s="20"/>
      <c r="L80" s="27">
        <f t="shared" si="34"/>
        <v>864</v>
      </c>
      <c r="M80" s="173">
        <v>46133</v>
      </c>
      <c r="N80" s="27">
        <f t="shared" si="35"/>
        <v>0.54999734762081587</v>
      </c>
      <c r="O80" s="55">
        <f t="shared" si="36"/>
        <v>12</v>
      </c>
      <c r="P80">
        <v>12</v>
      </c>
      <c r="Q80">
        <f t="shared" si="37"/>
        <v>0</v>
      </c>
      <c r="R80" s="162"/>
      <c r="S80" s="203"/>
    </row>
    <row r="81" spans="1:24" ht="15" x14ac:dyDescent="0.2">
      <c r="A81" s="183" t="s">
        <v>83</v>
      </c>
      <c r="B81" s="56">
        <v>25560</v>
      </c>
      <c r="C81" s="164">
        <v>0</v>
      </c>
      <c r="D81" s="22"/>
      <c r="E81" s="177"/>
      <c r="F81" s="27">
        <f t="shared" si="32"/>
        <v>0</v>
      </c>
      <c r="G81" s="175">
        <f>348*72</f>
        <v>25056</v>
      </c>
      <c r="H81" s="20"/>
      <c r="I81" s="174"/>
      <c r="J81" s="27">
        <f t="shared" si="33"/>
        <v>25056</v>
      </c>
      <c r="K81" s="20"/>
      <c r="L81" s="27">
        <f t="shared" si="34"/>
        <v>504</v>
      </c>
      <c r="M81" s="173">
        <v>46136</v>
      </c>
      <c r="N81" s="27">
        <f t="shared" si="35"/>
        <v>0.48053392658509458</v>
      </c>
      <c r="O81" s="55">
        <f t="shared" si="36"/>
        <v>7</v>
      </c>
      <c r="P81">
        <v>7</v>
      </c>
      <c r="Q81">
        <f t="shared" si="37"/>
        <v>0</v>
      </c>
      <c r="S81" s="203"/>
    </row>
    <row r="82" spans="1:24" ht="15" x14ac:dyDescent="0.2">
      <c r="A82" s="183" t="s">
        <v>84</v>
      </c>
      <c r="B82" s="56">
        <v>1944</v>
      </c>
      <c r="C82" s="164">
        <f>593*72</f>
        <v>42696</v>
      </c>
      <c r="E82" s="177"/>
      <c r="F82" s="27">
        <f t="shared" si="32"/>
        <v>42696</v>
      </c>
      <c r="G82" s="175">
        <f>608*72</f>
        <v>43776</v>
      </c>
      <c r="H82" s="20"/>
      <c r="I82" s="174"/>
      <c r="J82" s="27">
        <f t="shared" si="33"/>
        <v>43776</v>
      </c>
      <c r="K82" s="20"/>
      <c r="L82" s="27">
        <f t="shared" si="34"/>
        <v>864</v>
      </c>
      <c r="M82" s="173">
        <v>46136</v>
      </c>
      <c r="N82" s="27">
        <f t="shared" si="35"/>
        <v>0.48459920542182749</v>
      </c>
      <c r="O82" s="55">
        <f t="shared" si="36"/>
        <v>12</v>
      </c>
      <c r="P82">
        <v>12</v>
      </c>
      <c r="Q82">
        <f t="shared" si="37"/>
        <v>0</v>
      </c>
      <c r="R82" s="162"/>
      <c r="S82" s="203"/>
    </row>
    <row r="83" spans="1:24" ht="15" x14ac:dyDescent="0.2">
      <c r="A83" s="183" t="s">
        <v>85</v>
      </c>
      <c r="B83" s="56">
        <v>31896</v>
      </c>
      <c r="C83" s="164">
        <v>0</v>
      </c>
      <c r="E83" s="177"/>
      <c r="F83" s="27">
        <f t="shared" si="32"/>
        <v>0</v>
      </c>
      <c r="G83" s="175">
        <f>365*72</f>
        <v>26280</v>
      </c>
      <c r="H83" s="20"/>
      <c r="I83" s="174"/>
      <c r="J83" s="27">
        <f t="shared" si="33"/>
        <v>26280</v>
      </c>
      <c r="K83" s="20"/>
      <c r="L83" s="27">
        <f t="shared" si="34"/>
        <v>5616</v>
      </c>
      <c r="M83" s="173">
        <v>46139</v>
      </c>
      <c r="N83" s="27">
        <f t="shared" si="35"/>
        <v>5.1217510259917924</v>
      </c>
      <c r="O83" s="55">
        <f t="shared" si="36"/>
        <v>78</v>
      </c>
      <c r="P83">
        <v>78</v>
      </c>
      <c r="Q83">
        <f t="shared" si="37"/>
        <v>0</v>
      </c>
      <c r="S83" s="203"/>
    </row>
    <row r="84" spans="1:24" ht="15" x14ac:dyDescent="0.2">
      <c r="A84" s="183" t="s">
        <v>86</v>
      </c>
      <c r="B84" s="56">
        <v>1944</v>
      </c>
      <c r="C84" s="175">
        <f>626*72</f>
        <v>45072</v>
      </c>
      <c r="E84" s="177"/>
      <c r="F84" s="27">
        <f t="shared" si="32"/>
        <v>45072</v>
      </c>
      <c r="G84" s="175">
        <f>630*72</f>
        <v>45360</v>
      </c>
      <c r="H84" s="20"/>
      <c r="I84" s="174"/>
      <c r="J84" s="27">
        <f t="shared" si="33"/>
        <v>45360</v>
      </c>
      <c r="K84" s="20"/>
      <c r="L84" s="27">
        <f t="shared" si="34"/>
        <v>1656</v>
      </c>
      <c r="M84" s="173">
        <v>46139</v>
      </c>
      <c r="N84" s="27">
        <f t="shared" si="35"/>
        <v>0.88335704125177805</v>
      </c>
      <c r="O84" s="55">
        <f t="shared" si="36"/>
        <v>23</v>
      </c>
      <c r="P84">
        <v>23</v>
      </c>
      <c r="Q84">
        <f t="shared" si="37"/>
        <v>0</v>
      </c>
      <c r="R84" s="162"/>
      <c r="S84" s="171"/>
      <c r="X84" s="171"/>
    </row>
    <row r="85" spans="1:24" ht="15" x14ac:dyDescent="0.2">
      <c r="A85" s="183" t="s">
        <v>87</v>
      </c>
      <c r="B85" s="56">
        <v>13320</v>
      </c>
      <c r="C85" s="164">
        <f>287*72</f>
        <v>20664</v>
      </c>
      <c r="E85" s="177"/>
      <c r="F85" s="27">
        <f t="shared" si="32"/>
        <v>20664</v>
      </c>
      <c r="G85" s="175">
        <f>457*72</f>
        <v>32904</v>
      </c>
      <c r="H85" s="20"/>
      <c r="I85" s="174"/>
      <c r="J85" s="27">
        <f t="shared" si="33"/>
        <v>32904</v>
      </c>
      <c r="K85" s="20"/>
      <c r="L85" s="27">
        <f t="shared" si="34"/>
        <v>1080</v>
      </c>
      <c r="M85" s="173">
        <v>46133</v>
      </c>
      <c r="N85" s="27">
        <f t="shared" si="35"/>
        <v>0.77781778898091469</v>
      </c>
      <c r="O85" s="55">
        <f t="shared" si="36"/>
        <v>15</v>
      </c>
      <c r="P85">
        <v>15</v>
      </c>
      <c r="Q85">
        <f t="shared" si="37"/>
        <v>0</v>
      </c>
      <c r="S85" s="203"/>
    </row>
    <row r="86" spans="1:24" ht="15" x14ac:dyDescent="0.2">
      <c r="A86" s="183" t="s">
        <v>88</v>
      </c>
      <c r="B86" s="56">
        <v>6264</v>
      </c>
      <c r="C86" s="164">
        <f>271*72</f>
        <v>19512</v>
      </c>
      <c r="E86" s="177"/>
      <c r="F86" s="27">
        <f t="shared" si="32"/>
        <v>19512</v>
      </c>
      <c r="G86" s="175">
        <f>97*72</f>
        <v>6984</v>
      </c>
      <c r="H86" s="20"/>
      <c r="I86" s="174"/>
      <c r="J86" s="27">
        <f t="shared" si="33"/>
        <v>6984</v>
      </c>
      <c r="K86" s="20"/>
      <c r="L86" s="27">
        <f t="shared" si="34"/>
        <v>18792</v>
      </c>
      <c r="M86" s="173">
        <v>46136</v>
      </c>
      <c r="N86" s="27">
        <f t="shared" si="35"/>
        <v>49.161543492478742</v>
      </c>
      <c r="O86" s="55">
        <f t="shared" si="36"/>
        <v>261</v>
      </c>
      <c r="P86">
        <f>233+28</f>
        <v>261</v>
      </c>
      <c r="Q86">
        <f t="shared" si="37"/>
        <v>0</v>
      </c>
      <c r="S86" s="203" t="s">
        <v>241</v>
      </c>
    </row>
    <row r="87" spans="1:24" ht="15" x14ac:dyDescent="0.2">
      <c r="A87" s="185" t="s">
        <v>89</v>
      </c>
      <c r="B87" s="176">
        <v>0</v>
      </c>
      <c r="C87" s="175">
        <f>772*72</f>
        <v>55584</v>
      </c>
      <c r="D87" s="162"/>
      <c r="E87" s="177"/>
      <c r="F87" s="178">
        <f t="shared" si="32"/>
        <v>55584</v>
      </c>
      <c r="G87" s="175">
        <f>318*72</f>
        <v>22896</v>
      </c>
      <c r="H87" s="179"/>
      <c r="I87" s="177"/>
      <c r="J87" s="178">
        <f t="shared" si="33"/>
        <v>22896</v>
      </c>
      <c r="K87" s="179"/>
      <c r="L87" s="178">
        <f t="shared" si="34"/>
        <v>32688</v>
      </c>
      <c r="M87" s="173">
        <v>46135</v>
      </c>
      <c r="N87" s="178">
        <f t="shared" si="35"/>
        <v>33.448963929393706</v>
      </c>
      <c r="O87" s="55">
        <f t="shared" si="36"/>
        <v>454</v>
      </c>
      <c r="P87" s="162">
        <f>409+45</f>
        <v>454</v>
      </c>
      <c r="Q87" s="162">
        <f t="shared" si="37"/>
        <v>0</v>
      </c>
      <c r="R87" s="162"/>
      <c r="S87" s="204" t="s">
        <v>242</v>
      </c>
    </row>
    <row r="88" spans="1:24" ht="15" x14ac:dyDescent="0.2">
      <c r="A88" s="183" t="s">
        <v>90</v>
      </c>
      <c r="B88" s="56">
        <v>6912</v>
      </c>
      <c r="C88" s="170">
        <f>245*72</f>
        <v>17640</v>
      </c>
      <c r="D88" s="87"/>
      <c r="E88" s="177"/>
      <c r="F88" s="27">
        <f t="shared" si="32"/>
        <v>17640</v>
      </c>
      <c r="G88" s="175">
        <f>265*72</f>
        <v>19080</v>
      </c>
      <c r="H88" s="181"/>
      <c r="I88" s="180"/>
      <c r="J88" s="27">
        <f t="shared" si="33"/>
        <v>19080</v>
      </c>
      <c r="K88" s="181"/>
      <c r="L88" s="27">
        <f t="shared" si="34"/>
        <v>5472</v>
      </c>
      <c r="M88" s="173">
        <v>46134</v>
      </c>
      <c r="N88" s="27">
        <f t="shared" si="35"/>
        <v>8.0078048780487805</v>
      </c>
      <c r="O88" s="55">
        <f t="shared" si="36"/>
        <v>76</v>
      </c>
      <c r="P88">
        <f>29+47</f>
        <v>76</v>
      </c>
      <c r="Q88" s="162">
        <f t="shared" si="37"/>
        <v>0</v>
      </c>
      <c r="R88" s="171"/>
      <c r="S88" s="203"/>
    </row>
    <row r="89" spans="1:24" ht="15" x14ac:dyDescent="0.2">
      <c r="A89" s="183" t="s">
        <v>91</v>
      </c>
      <c r="B89" s="56">
        <v>2520</v>
      </c>
      <c r="C89" s="164">
        <f>814*72</f>
        <v>58608</v>
      </c>
      <c r="E89" s="177"/>
      <c r="F89" s="27">
        <f t="shared" si="32"/>
        <v>58608</v>
      </c>
      <c r="G89" s="175">
        <f>798*72</f>
        <v>57456</v>
      </c>
      <c r="H89" s="20"/>
      <c r="I89" s="20"/>
      <c r="J89" s="27">
        <f t="shared" si="33"/>
        <v>57456</v>
      </c>
      <c r="K89" s="20"/>
      <c r="L89" s="27">
        <f t="shared" si="34"/>
        <v>3672</v>
      </c>
      <c r="M89" s="173">
        <v>46136</v>
      </c>
      <c r="N89" s="27">
        <f t="shared" si="35"/>
        <v>1.5454003437028723</v>
      </c>
      <c r="O89" s="55">
        <f t="shared" si="36"/>
        <v>51</v>
      </c>
      <c r="P89">
        <f>50+1</f>
        <v>51</v>
      </c>
      <c r="Q89">
        <f t="shared" si="37"/>
        <v>0</v>
      </c>
      <c r="R89" s="162"/>
      <c r="S89" s="196"/>
    </row>
    <row r="90" spans="1:24" ht="15" x14ac:dyDescent="0.2">
      <c r="A90" s="184" t="s">
        <v>92</v>
      </c>
      <c r="B90" s="56">
        <v>6048</v>
      </c>
      <c r="C90" s="175">
        <f>1194*72</f>
        <v>85968</v>
      </c>
      <c r="D90" s="22"/>
      <c r="E90" s="177"/>
      <c r="F90" s="27">
        <f t="shared" si="32"/>
        <v>85968</v>
      </c>
      <c r="G90" s="175">
        <f>1220*72</f>
        <v>87840</v>
      </c>
      <c r="H90" s="20"/>
      <c r="I90" s="20"/>
      <c r="J90" s="27">
        <f t="shared" si="33"/>
        <v>87840</v>
      </c>
      <c r="K90" s="20"/>
      <c r="L90" s="27">
        <f t="shared" si="34"/>
        <v>4176</v>
      </c>
      <c r="M90" s="173">
        <v>46136</v>
      </c>
      <c r="N90" s="27">
        <f t="shared" si="35"/>
        <v>1.1870380898237636</v>
      </c>
      <c r="O90" s="55">
        <f t="shared" si="36"/>
        <v>58</v>
      </c>
      <c r="P90" s="162">
        <f>41+17</f>
        <v>58</v>
      </c>
      <c r="Q90" s="162">
        <f t="shared" si="37"/>
        <v>0</v>
      </c>
      <c r="R90" s="171"/>
      <c r="S90" s="200"/>
    </row>
    <row r="91" spans="1:24" ht="15" x14ac:dyDescent="0.2">
      <c r="A91" s="184" t="s">
        <v>93</v>
      </c>
      <c r="B91" s="56">
        <v>12168</v>
      </c>
      <c r="C91" s="175">
        <f>561*72</f>
        <v>40392</v>
      </c>
      <c r="D91" s="22"/>
      <c r="E91" s="177"/>
      <c r="F91" s="27">
        <f t="shared" si="32"/>
        <v>40392</v>
      </c>
      <c r="G91" s="175">
        <f>431*72</f>
        <v>31032</v>
      </c>
      <c r="H91" s="20"/>
      <c r="I91" s="20"/>
      <c r="J91" s="27">
        <f t="shared" si="33"/>
        <v>31032</v>
      </c>
      <c r="K91" s="20"/>
      <c r="L91" s="27">
        <f t="shared" si="34"/>
        <v>21528</v>
      </c>
      <c r="M91" s="173">
        <v>46136</v>
      </c>
      <c r="N91" s="27">
        <f t="shared" si="35"/>
        <v>15.982182628062361</v>
      </c>
      <c r="O91" s="55">
        <f t="shared" si="36"/>
        <v>299</v>
      </c>
      <c r="P91">
        <v>299</v>
      </c>
      <c r="Q91" s="162">
        <f t="shared" si="37"/>
        <v>0</v>
      </c>
      <c r="S91" s="203"/>
    </row>
    <row r="92" spans="1:24" ht="15" x14ac:dyDescent="0.2">
      <c r="A92" s="184" t="s">
        <v>94</v>
      </c>
      <c r="B92" s="56">
        <v>4032</v>
      </c>
      <c r="C92" s="164">
        <f>256*72</f>
        <v>18432</v>
      </c>
      <c r="E92" s="177"/>
      <c r="F92" s="27">
        <f t="shared" si="32"/>
        <v>18432</v>
      </c>
      <c r="G92" s="175">
        <f>265*72</f>
        <v>19080</v>
      </c>
      <c r="H92" s="20"/>
      <c r="I92" s="20"/>
      <c r="J92" s="27">
        <f t="shared" si="33"/>
        <v>19080</v>
      </c>
      <c r="K92" s="20"/>
      <c r="L92" s="27">
        <f t="shared" si="34"/>
        <v>3384</v>
      </c>
      <c r="M92" s="173">
        <v>46134</v>
      </c>
      <c r="N92" s="27">
        <f t="shared" si="35"/>
        <v>4.1521472392638037</v>
      </c>
      <c r="O92" s="55">
        <f t="shared" si="36"/>
        <v>47</v>
      </c>
      <c r="P92">
        <f>9+38</f>
        <v>47</v>
      </c>
      <c r="Q92" s="162">
        <f t="shared" si="37"/>
        <v>0</v>
      </c>
      <c r="S92" s="203"/>
    </row>
    <row r="93" spans="1:24" ht="15" x14ac:dyDescent="0.2">
      <c r="A93" s="205" t="s">
        <v>95</v>
      </c>
      <c r="B93" s="56">
        <v>5256</v>
      </c>
      <c r="C93" s="164">
        <f>695*72</f>
        <v>50040</v>
      </c>
      <c r="D93" s="22"/>
      <c r="E93" s="177">
        <f>26*72</f>
        <v>1872</v>
      </c>
      <c r="F93" s="27">
        <f t="shared" si="32"/>
        <v>51912</v>
      </c>
      <c r="G93" s="175">
        <f>630*72</f>
        <v>45360</v>
      </c>
      <c r="H93" s="20"/>
      <c r="I93" s="20"/>
      <c r="J93" s="27">
        <f t="shared" si="33"/>
        <v>45360</v>
      </c>
      <c r="K93" s="20"/>
      <c r="L93" s="27">
        <f t="shared" si="34"/>
        <v>11808</v>
      </c>
      <c r="M93" s="173">
        <v>46139</v>
      </c>
      <c r="N93" s="27">
        <f t="shared" si="35"/>
        <v>6.2853087295954575</v>
      </c>
      <c r="O93" s="55">
        <f t="shared" si="36"/>
        <v>164</v>
      </c>
      <c r="P93">
        <v>164</v>
      </c>
      <c r="Q93" s="162">
        <f t="shared" si="37"/>
        <v>0</v>
      </c>
      <c r="R93" s="162"/>
      <c r="S93" s="203"/>
    </row>
    <row r="94" spans="1:24" ht="15" x14ac:dyDescent="0.2">
      <c r="A94" s="183" t="s">
        <v>96</v>
      </c>
      <c r="B94" s="56">
        <v>8424</v>
      </c>
      <c r="C94" s="164">
        <f>174*72</f>
        <v>12528</v>
      </c>
      <c r="E94" s="177"/>
      <c r="F94" s="27">
        <f t="shared" si="32"/>
        <v>12528</v>
      </c>
      <c r="G94" s="175">
        <f>218*72</f>
        <v>15696</v>
      </c>
      <c r="H94" s="20"/>
      <c r="I94" s="166"/>
      <c r="J94" s="27">
        <f t="shared" si="33"/>
        <v>15696</v>
      </c>
      <c r="K94" s="20"/>
      <c r="L94" s="27">
        <f t="shared" si="34"/>
        <v>5256</v>
      </c>
      <c r="M94" s="173">
        <v>46136</v>
      </c>
      <c r="N94" s="27">
        <f t="shared" si="35"/>
        <v>8.1069408740359901</v>
      </c>
      <c r="O94" s="55">
        <f t="shared" si="36"/>
        <v>73</v>
      </c>
      <c r="P94">
        <v>73</v>
      </c>
      <c r="Q94">
        <f t="shared" si="37"/>
        <v>0</v>
      </c>
      <c r="R94" s="162"/>
      <c r="S94" s="200"/>
    </row>
    <row r="95" spans="1:24" ht="15" x14ac:dyDescent="0.2">
      <c r="A95" s="184" t="s">
        <v>97</v>
      </c>
      <c r="B95" s="56">
        <v>1426</v>
      </c>
      <c r="C95" s="164">
        <f>440*72</f>
        <v>31680</v>
      </c>
      <c r="E95" s="177"/>
      <c r="F95" s="27">
        <f t="shared" si="32"/>
        <v>31680</v>
      </c>
      <c r="G95" s="175">
        <f>273*72</f>
        <v>19656</v>
      </c>
      <c r="H95" s="20"/>
      <c r="I95" s="20"/>
      <c r="J95" s="27">
        <f t="shared" si="33"/>
        <v>19656</v>
      </c>
      <c r="K95" s="20"/>
      <c r="L95" s="27">
        <f t="shared" si="34"/>
        <v>13450</v>
      </c>
      <c r="M95" s="173">
        <v>46139</v>
      </c>
      <c r="N95" s="27">
        <f t="shared" si="35"/>
        <v>18.138907619689817</v>
      </c>
      <c r="O95" s="55">
        <f t="shared" si="36"/>
        <v>186.80555555555554</v>
      </c>
      <c r="P95">
        <f>15+172</f>
        <v>187</v>
      </c>
      <c r="Q95" s="22">
        <f>+O95-P95</f>
        <v>-0.19444444444445708</v>
      </c>
      <c r="S95" s="190" t="s">
        <v>243</v>
      </c>
    </row>
    <row r="96" spans="1:24" ht="15" x14ac:dyDescent="0.2">
      <c r="A96" s="183" t="s">
        <v>98</v>
      </c>
      <c r="B96" s="56">
        <v>12960</v>
      </c>
      <c r="C96" s="164">
        <f>1516*72</f>
        <v>109152</v>
      </c>
      <c r="E96" s="174">
        <f>27*72</f>
        <v>1944</v>
      </c>
      <c r="F96" s="27">
        <f t="shared" si="32"/>
        <v>111096</v>
      </c>
      <c r="G96" s="175">
        <f>835*72</f>
        <v>60120</v>
      </c>
      <c r="H96" s="20"/>
      <c r="I96" s="174"/>
      <c r="J96" s="27">
        <f t="shared" si="33"/>
        <v>60120</v>
      </c>
      <c r="K96" s="20"/>
      <c r="L96" s="27">
        <f t="shared" si="34"/>
        <v>63936</v>
      </c>
      <c r="M96" s="173">
        <v>46139</v>
      </c>
      <c r="N96" s="27">
        <f t="shared" si="35"/>
        <v>26.601206573746619</v>
      </c>
      <c r="O96" s="55">
        <f t="shared" si="36"/>
        <v>888</v>
      </c>
      <c r="P96" s="22">
        <f>808+80</f>
        <v>888</v>
      </c>
      <c r="Q96" s="162">
        <f t="shared" si="37"/>
        <v>0</v>
      </c>
      <c r="R96" s="162"/>
      <c r="S96" s="203" t="s">
        <v>244</v>
      </c>
    </row>
    <row r="97" spans="1:20" ht="15" x14ac:dyDescent="0.2">
      <c r="A97" s="183" t="s">
        <v>99</v>
      </c>
      <c r="B97" s="56">
        <v>4752</v>
      </c>
      <c r="C97" s="164">
        <f>332*72</f>
        <v>23904</v>
      </c>
      <c r="D97" s="22"/>
      <c r="E97" s="177"/>
      <c r="F97" s="27">
        <f t="shared" si="32"/>
        <v>23904</v>
      </c>
      <c r="G97" s="175">
        <f>305*72</f>
        <v>21960</v>
      </c>
      <c r="H97" s="20"/>
      <c r="I97" s="174"/>
      <c r="J97" s="27">
        <f t="shared" si="33"/>
        <v>21960</v>
      </c>
      <c r="K97" s="20"/>
      <c r="L97" s="27">
        <f t="shared" si="34"/>
        <v>6696</v>
      </c>
      <c r="M97" s="173">
        <v>46139</v>
      </c>
      <c r="N97" s="27">
        <f t="shared" si="35"/>
        <v>6.6848585690515812</v>
      </c>
      <c r="O97" s="55">
        <f t="shared" si="36"/>
        <v>93</v>
      </c>
      <c r="P97">
        <f>27+66</f>
        <v>93</v>
      </c>
      <c r="Q97" s="162">
        <f t="shared" si="37"/>
        <v>0</v>
      </c>
      <c r="R97" s="162"/>
      <c r="S97" s="198"/>
    </row>
    <row r="98" spans="1:20" ht="15" x14ac:dyDescent="0.2">
      <c r="A98" s="184" t="s">
        <v>100</v>
      </c>
      <c r="B98" s="56">
        <v>6840</v>
      </c>
      <c r="C98" s="164">
        <f>921*72</f>
        <v>66312</v>
      </c>
      <c r="D98" s="22"/>
      <c r="E98" s="177">
        <f>3*72</f>
        <v>216</v>
      </c>
      <c r="F98" s="27">
        <f t="shared" si="32"/>
        <v>66528</v>
      </c>
      <c r="G98" s="175">
        <f>445*72</f>
        <v>32040</v>
      </c>
      <c r="H98" s="20"/>
      <c r="I98" s="174"/>
      <c r="J98" s="27">
        <f t="shared" si="33"/>
        <v>32040</v>
      </c>
      <c r="K98" s="20"/>
      <c r="L98" s="27">
        <f t="shared" si="34"/>
        <v>41328</v>
      </c>
      <c r="M98" s="173">
        <v>46136</v>
      </c>
      <c r="N98" s="27">
        <f t="shared" ref="N98:N103" si="38">IF(ISERROR(+L98/(J151/$C$7)),0,+(L98/(J151/$C$7)))</f>
        <v>31.021204728842186</v>
      </c>
      <c r="O98" s="55">
        <f t="shared" si="36"/>
        <v>574</v>
      </c>
      <c r="P98">
        <f>514+60</f>
        <v>574</v>
      </c>
      <c r="Q98" s="162">
        <f t="shared" si="37"/>
        <v>0</v>
      </c>
      <c r="R98" s="162"/>
      <c r="S98" s="198"/>
    </row>
    <row r="99" spans="1:20" ht="15" x14ac:dyDescent="0.2">
      <c r="A99" s="183" t="s">
        <v>101</v>
      </c>
      <c r="B99" s="56">
        <v>7272</v>
      </c>
      <c r="C99" s="164">
        <f>782*72</f>
        <v>56304</v>
      </c>
      <c r="E99" s="177"/>
      <c r="F99" s="27">
        <f t="shared" si="32"/>
        <v>56304</v>
      </c>
      <c r="G99" s="175">
        <f>423*72</f>
        <v>30456</v>
      </c>
      <c r="H99" s="20"/>
      <c r="I99" s="20"/>
      <c r="J99" s="27">
        <f t="shared" si="33"/>
        <v>30456</v>
      </c>
      <c r="K99" s="20"/>
      <c r="L99" s="27">
        <f t="shared" si="34"/>
        <v>33120</v>
      </c>
      <c r="M99" s="173">
        <v>46136</v>
      </c>
      <c r="N99" s="27">
        <f t="shared" si="38"/>
        <v>25.714285714285715</v>
      </c>
      <c r="O99" s="55">
        <f t="shared" si="36"/>
        <v>460</v>
      </c>
      <c r="P99">
        <f>398+62</f>
        <v>460</v>
      </c>
      <c r="Q99">
        <f t="shared" si="37"/>
        <v>0</v>
      </c>
      <c r="S99" s="203" t="s">
        <v>245</v>
      </c>
    </row>
    <row r="100" spans="1:20" ht="15" x14ac:dyDescent="0.2">
      <c r="A100" s="183" t="s">
        <v>102</v>
      </c>
      <c r="B100" s="56">
        <v>2232</v>
      </c>
      <c r="C100" s="164">
        <f>304*72</f>
        <v>21888</v>
      </c>
      <c r="E100" s="177"/>
      <c r="F100" s="27">
        <f t="shared" si="32"/>
        <v>21888</v>
      </c>
      <c r="G100" s="175">
        <f>151*72</f>
        <v>10872</v>
      </c>
      <c r="H100" s="20"/>
      <c r="I100" s="20"/>
      <c r="J100" s="27">
        <f t="shared" si="33"/>
        <v>10872</v>
      </c>
      <c r="K100" s="20"/>
      <c r="L100" s="27">
        <f t="shared" si="34"/>
        <v>13248</v>
      </c>
      <c r="M100" s="173">
        <v>46139</v>
      </c>
      <c r="N100" s="27">
        <f t="shared" si="38"/>
        <v>26.220682830282037</v>
      </c>
      <c r="O100" s="55">
        <f t="shared" si="36"/>
        <v>184</v>
      </c>
      <c r="P100">
        <v>184</v>
      </c>
      <c r="Q100">
        <f t="shared" si="37"/>
        <v>0</v>
      </c>
      <c r="S100" s="203"/>
    </row>
    <row r="101" spans="1:20" ht="15" x14ac:dyDescent="0.2">
      <c r="A101" s="183" t="s">
        <v>103</v>
      </c>
      <c r="B101" s="56">
        <v>216</v>
      </c>
      <c r="C101" s="164">
        <f>169*72</f>
        <v>12168</v>
      </c>
      <c r="E101" s="177"/>
      <c r="F101" s="27">
        <f t="shared" si="32"/>
        <v>12168</v>
      </c>
      <c r="G101" s="175">
        <f>159*72</f>
        <v>11448</v>
      </c>
      <c r="H101" s="20"/>
      <c r="I101" s="20"/>
      <c r="J101" s="27">
        <f t="shared" si="33"/>
        <v>11448</v>
      </c>
      <c r="K101" s="20"/>
      <c r="L101" s="27">
        <f t="shared" si="34"/>
        <v>936</v>
      </c>
      <c r="M101" s="173">
        <v>46136</v>
      </c>
      <c r="N101" s="27">
        <f t="shared" si="38"/>
        <v>1.6452321663981253</v>
      </c>
      <c r="O101" s="55">
        <f t="shared" si="36"/>
        <v>13</v>
      </c>
      <c r="P101">
        <f>10+3</f>
        <v>13</v>
      </c>
      <c r="Q101" s="162">
        <f t="shared" si="37"/>
        <v>0</v>
      </c>
      <c r="R101" s="162"/>
      <c r="S101" s="203"/>
    </row>
    <row r="102" spans="1:20" ht="15" x14ac:dyDescent="0.2">
      <c r="A102" s="184" t="s">
        <v>104</v>
      </c>
      <c r="B102" s="56">
        <v>18576</v>
      </c>
      <c r="C102" s="175">
        <f>1068*72</f>
        <v>76896</v>
      </c>
      <c r="E102" s="177">
        <f>138*72</f>
        <v>9936</v>
      </c>
      <c r="F102" s="27">
        <f t="shared" si="32"/>
        <v>86832</v>
      </c>
      <c r="G102" s="175">
        <f>450*72</f>
        <v>32400</v>
      </c>
      <c r="H102" s="20"/>
      <c r="I102" s="20"/>
      <c r="J102" s="27">
        <f t="shared" si="33"/>
        <v>32400</v>
      </c>
      <c r="K102" s="20"/>
      <c r="L102" s="27">
        <f>+B102+F102-J102-K102</f>
        <v>73008</v>
      </c>
      <c r="M102" s="173">
        <v>46139</v>
      </c>
      <c r="N102" s="27">
        <f>IF(ISERROR(+L102/(J155/$C$7)),0,+(L102/(J155/$C$7)))</f>
        <v>65.055023390510129</v>
      </c>
      <c r="O102" s="55">
        <f>+L102/72</f>
        <v>1014</v>
      </c>
      <c r="P102">
        <f>298+716</f>
        <v>1014</v>
      </c>
      <c r="Q102" s="206">
        <f>+O102-P102</f>
        <v>0</v>
      </c>
      <c r="S102" s="203"/>
    </row>
    <row r="103" spans="1:20" ht="15" x14ac:dyDescent="0.2">
      <c r="A103" s="184" t="s">
        <v>105</v>
      </c>
      <c r="B103" s="56">
        <v>12816</v>
      </c>
      <c r="C103" s="164">
        <f>546*72</f>
        <v>39312</v>
      </c>
      <c r="D103" s="22"/>
      <c r="E103" s="177"/>
      <c r="F103" s="27">
        <f t="shared" si="32"/>
        <v>39312</v>
      </c>
      <c r="G103" s="175">
        <f>701*72</f>
        <v>50472</v>
      </c>
      <c r="H103" s="20"/>
      <c r="I103" s="20"/>
      <c r="J103" s="27">
        <f t="shared" si="33"/>
        <v>50472</v>
      </c>
      <c r="K103" s="20"/>
      <c r="L103" s="27">
        <f t="shared" si="34"/>
        <v>1656</v>
      </c>
      <c r="M103" s="173">
        <v>46139</v>
      </c>
      <c r="N103" s="27">
        <f t="shared" si="38"/>
        <v>0.80810052458216419</v>
      </c>
      <c r="O103" s="55">
        <f t="shared" si="36"/>
        <v>23</v>
      </c>
      <c r="P103">
        <v>23</v>
      </c>
      <c r="Q103">
        <f t="shared" si="37"/>
        <v>0</v>
      </c>
      <c r="R103" s="162"/>
      <c r="S103" s="187"/>
    </row>
    <row r="104" spans="1:20" ht="15" x14ac:dyDescent="0.2">
      <c r="A104" s="184" t="s">
        <v>106</v>
      </c>
      <c r="B104" s="57">
        <v>1872</v>
      </c>
      <c r="C104" s="164">
        <f>197*72</f>
        <v>14184</v>
      </c>
      <c r="E104" s="177">
        <f>2*72</f>
        <v>144</v>
      </c>
      <c r="F104" s="27">
        <f t="shared" si="32"/>
        <v>14328</v>
      </c>
      <c r="G104" s="175">
        <f>127*72</f>
        <v>9144</v>
      </c>
      <c r="H104" s="20"/>
      <c r="I104" s="174"/>
      <c r="J104" s="27">
        <f t="shared" si="33"/>
        <v>9144</v>
      </c>
      <c r="K104" s="20"/>
      <c r="L104" s="27">
        <f t="shared" si="34"/>
        <v>7056</v>
      </c>
      <c r="M104" s="173">
        <v>46136</v>
      </c>
      <c r="N104" s="27">
        <f>IF(ISERROR(+L104/(J156/$C$7)),0,+(L104/(J156/$C$7)))</f>
        <v>3.4432109308283518</v>
      </c>
      <c r="O104" s="55">
        <f t="shared" si="36"/>
        <v>98</v>
      </c>
      <c r="P104">
        <v>98</v>
      </c>
      <c r="Q104">
        <f t="shared" si="37"/>
        <v>0</v>
      </c>
      <c r="S104" s="203"/>
    </row>
    <row r="105" spans="1:20" ht="15" x14ac:dyDescent="0.2">
      <c r="A105" s="184" t="s">
        <v>107</v>
      </c>
      <c r="B105" s="56">
        <v>288</v>
      </c>
      <c r="C105" s="164">
        <f>87*72</f>
        <v>6264</v>
      </c>
      <c r="E105" s="177"/>
      <c r="F105" s="27">
        <f t="shared" si="32"/>
        <v>6264</v>
      </c>
      <c r="G105" s="175">
        <f>58*72</f>
        <v>4176</v>
      </c>
      <c r="H105" s="20"/>
      <c r="I105" s="20"/>
      <c r="J105" s="27">
        <f t="shared" si="33"/>
        <v>4176</v>
      </c>
      <c r="K105" s="20"/>
      <c r="L105" s="27">
        <f t="shared" si="34"/>
        <v>2376</v>
      </c>
      <c r="M105" s="173">
        <v>46136</v>
      </c>
      <c r="N105" s="27">
        <f>IF(ISERROR(+L105/(J158/$C$7)),0,+(L105/(J158/$C$7)))</f>
        <v>12.866425992779783</v>
      </c>
      <c r="O105" s="55">
        <f t="shared" si="36"/>
        <v>33</v>
      </c>
      <c r="P105">
        <v>33</v>
      </c>
      <c r="Q105">
        <f t="shared" si="37"/>
        <v>0</v>
      </c>
      <c r="S105" s="203"/>
    </row>
    <row r="106" spans="1:20" ht="15" x14ac:dyDescent="0.2">
      <c r="A106" s="183" t="s">
        <v>108</v>
      </c>
      <c r="B106" s="56">
        <v>2736</v>
      </c>
      <c r="C106" s="164">
        <f>541*72</f>
        <v>38952</v>
      </c>
      <c r="E106" s="177"/>
      <c r="F106" s="27">
        <f t="shared" si="32"/>
        <v>38952</v>
      </c>
      <c r="G106" s="175">
        <f>541*72</f>
        <v>38952</v>
      </c>
      <c r="H106" s="20"/>
      <c r="I106" s="20"/>
      <c r="J106" s="27">
        <f t="shared" si="33"/>
        <v>38952</v>
      </c>
      <c r="K106" s="20"/>
      <c r="L106" s="27">
        <f t="shared" si="34"/>
        <v>2736</v>
      </c>
      <c r="M106" s="173">
        <v>46139</v>
      </c>
      <c r="N106" s="27">
        <f>IF(ISERROR(+L106/(J159/$C$7)),0,+(L106/(J159/$C$7)))</f>
        <v>1.640697616311029</v>
      </c>
      <c r="O106" s="55">
        <f t="shared" si="36"/>
        <v>38</v>
      </c>
      <c r="P106">
        <f>26+11</f>
        <v>37</v>
      </c>
      <c r="Q106">
        <f t="shared" si="37"/>
        <v>1</v>
      </c>
      <c r="S106" s="171" t="s">
        <v>238</v>
      </c>
    </row>
    <row r="107" spans="1:20" ht="15" x14ac:dyDescent="0.2">
      <c r="A107" s="61" t="s">
        <v>31</v>
      </c>
      <c r="B107" s="27">
        <f t="shared" ref="B107:L107" si="39">SUM(B77:B106)</f>
        <v>238954</v>
      </c>
      <c r="C107" s="27">
        <f t="shared" si="39"/>
        <v>1047384</v>
      </c>
      <c r="D107" s="27">
        <f t="shared" si="39"/>
        <v>0</v>
      </c>
      <c r="E107" s="27">
        <f t="shared" si="39"/>
        <v>14112</v>
      </c>
      <c r="F107" s="27">
        <f t="shared" si="39"/>
        <v>1061496</v>
      </c>
      <c r="G107" s="27">
        <f t="shared" si="39"/>
        <v>918072</v>
      </c>
      <c r="H107" s="27">
        <f t="shared" si="39"/>
        <v>0</v>
      </c>
      <c r="I107" s="27">
        <f t="shared" si="39"/>
        <v>0</v>
      </c>
      <c r="J107" s="27">
        <f t="shared" si="39"/>
        <v>918072</v>
      </c>
      <c r="K107" s="27">
        <f t="shared" si="39"/>
        <v>0</v>
      </c>
      <c r="L107" s="27">
        <f t="shared" si="39"/>
        <v>382378</v>
      </c>
      <c r="M107" s="60"/>
      <c r="N107" s="27">
        <f>IF(ISERROR(+L107/(E187/$C$7)),0,+(L107/(E187/$C$7)))</f>
        <v>10.095922058377008</v>
      </c>
      <c r="O107" s="55">
        <f t="shared" ref="O107" si="40">+L107/72</f>
        <v>5310.8055555555557</v>
      </c>
      <c r="P107" s="57"/>
      <c r="Q107" s="57"/>
      <c r="R107" s="57"/>
      <c r="S107" s="57"/>
      <c r="T107" s="57"/>
    </row>
    <row r="108" spans="1:20" x14ac:dyDescent="0.2">
      <c r="B108" s="56"/>
      <c r="C108" s="22"/>
      <c r="D108" s="22"/>
      <c r="E108" s="22"/>
      <c r="F108" s="21"/>
      <c r="G108" s="22"/>
      <c r="H108" s="22"/>
    </row>
    <row r="109" spans="1:20" ht="15" x14ac:dyDescent="0.2">
      <c r="A109" s="191" t="s">
        <v>54</v>
      </c>
      <c r="B109" s="48"/>
      <c r="C109" s="48"/>
      <c r="D109" s="48"/>
      <c r="E109" s="22"/>
      <c r="F109" s="22"/>
      <c r="G109" s="22"/>
      <c r="H109" s="22"/>
      <c r="J109" s="22"/>
    </row>
    <row r="110" spans="1:20" x14ac:dyDescent="0.2">
      <c r="C110" t="s">
        <v>109</v>
      </c>
      <c r="F110" s="22"/>
      <c r="G110" s="22"/>
      <c r="H110" s="22"/>
    </row>
    <row r="111" spans="1:20" x14ac:dyDescent="0.2">
      <c r="B111" s="22"/>
      <c r="C111" s="22"/>
      <c r="G111" s="22"/>
      <c r="J111" s="22"/>
    </row>
    <row r="112" spans="1:20" x14ac:dyDescent="0.2">
      <c r="A112" s="197" t="s">
        <v>209</v>
      </c>
    </row>
    <row r="113" spans="1:22" x14ac:dyDescent="0.2">
      <c r="A113" s="172"/>
      <c r="B113" s="25"/>
      <c r="C113" s="25"/>
      <c r="D113" s="25"/>
      <c r="E113" s="25"/>
      <c r="F113" s="25"/>
      <c r="G113" s="25"/>
      <c r="H113" s="25"/>
      <c r="I113" s="25"/>
      <c r="J113" s="25"/>
      <c r="K113" s="25"/>
      <c r="L113" s="25"/>
      <c r="M113" s="25"/>
      <c r="N113" s="25"/>
    </row>
    <row r="114" spans="1:22" x14ac:dyDescent="0.2">
      <c r="A114" s="32"/>
      <c r="B114" s="25"/>
      <c r="C114" s="25"/>
      <c r="D114" s="25"/>
      <c r="E114" s="25"/>
      <c r="F114" s="25"/>
      <c r="G114" s="25"/>
      <c r="H114" s="25"/>
      <c r="I114" s="25"/>
      <c r="J114" s="25"/>
      <c r="K114" s="25"/>
      <c r="L114" s="25"/>
      <c r="M114" s="25"/>
      <c r="N114" s="25"/>
    </row>
    <row r="115" spans="1:22" x14ac:dyDescent="0.2">
      <c r="A115" s="62"/>
      <c r="B115" s="25"/>
      <c r="C115" s="25"/>
      <c r="D115" s="25"/>
      <c r="E115" s="25"/>
      <c r="F115" s="25"/>
      <c r="G115" s="25"/>
      <c r="H115" s="25"/>
      <c r="I115" s="25"/>
      <c r="J115" s="25"/>
      <c r="K115" s="25"/>
      <c r="L115" s="25"/>
      <c r="M115" s="25"/>
      <c r="N115" s="25"/>
    </row>
    <row r="116" spans="1:22" x14ac:dyDescent="0.2">
      <c r="A116" s="172"/>
      <c r="B116" s="25"/>
      <c r="C116" s="25"/>
      <c r="D116" s="25"/>
      <c r="E116" s="25"/>
      <c r="F116" s="25"/>
      <c r="G116" s="25"/>
      <c r="H116" s="25"/>
      <c r="I116" s="25"/>
      <c r="J116" s="25"/>
      <c r="K116" s="25"/>
      <c r="L116" s="25"/>
      <c r="M116" s="25"/>
      <c r="N116" s="25"/>
    </row>
    <row r="117" spans="1:22" x14ac:dyDescent="0.2">
      <c r="A117" s="25"/>
      <c r="B117" s="25"/>
      <c r="C117" s="25"/>
      <c r="D117" s="25"/>
      <c r="E117" s="25"/>
      <c r="F117" s="25"/>
      <c r="G117" s="25"/>
      <c r="H117" s="25"/>
      <c r="I117" s="25"/>
      <c r="J117" s="25"/>
      <c r="K117" s="25"/>
      <c r="L117" s="25"/>
      <c r="M117" s="25"/>
      <c r="N117" s="25"/>
    </row>
    <row r="118" spans="1:22" x14ac:dyDescent="0.2">
      <c r="A118" s="25"/>
      <c r="B118" s="25"/>
      <c r="C118" s="25"/>
      <c r="D118" s="25"/>
      <c r="E118" s="25"/>
      <c r="F118" s="25"/>
      <c r="G118" s="25"/>
      <c r="H118" s="25"/>
      <c r="I118" s="25"/>
      <c r="J118" s="25"/>
      <c r="K118" s="25"/>
      <c r="L118" s="25"/>
      <c r="M118" s="25"/>
      <c r="N118" s="25"/>
    </row>
    <row r="119" spans="1:22" x14ac:dyDescent="0.2">
      <c r="A119" s="25"/>
      <c r="B119" s="25"/>
      <c r="C119" s="25"/>
      <c r="D119" s="25"/>
      <c r="E119" s="25"/>
      <c r="F119" s="25"/>
      <c r="G119" s="25"/>
      <c r="H119" s="25"/>
      <c r="I119" s="25"/>
      <c r="J119" s="25"/>
      <c r="K119" s="25"/>
      <c r="L119" s="25"/>
      <c r="M119" s="25"/>
      <c r="N119" s="25"/>
    </row>
    <row r="120" spans="1:22" x14ac:dyDescent="0.2">
      <c r="V120" s="5"/>
    </row>
    <row r="121" spans="1:22" x14ac:dyDescent="0.2">
      <c r="V121" s="5"/>
    </row>
    <row r="122" spans="1:22" x14ac:dyDescent="0.2">
      <c r="A122" s="5"/>
    </row>
    <row r="123" spans="1:22" ht="15.75" x14ac:dyDescent="0.25">
      <c r="A123" s="228" t="s">
        <v>110</v>
      </c>
      <c r="B123" s="228"/>
      <c r="C123" s="228"/>
      <c r="D123" s="228"/>
      <c r="E123" s="1"/>
      <c r="F123" s="5"/>
      <c r="G123" s="5"/>
      <c r="H123" s="5"/>
      <c r="I123" s="5"/>
      <c r="J123" s="5"/>
    </row>
    <row r="124" spans="1:22" ht="15.75" x14ac:dyDescent="0.25">
      <c r="A124" s="1"/>
      <c r="B124" s="1"/>
      <c r="C124" s="1"/>
      <c r="D124" s="1"/>
      <c r="E124" s="1"/>
      <c r="F124" s="5"/>
      <c r="G124" s="5"/>
      <c r="H124" s="5"/>
      <c r="I124" s="5"/>
      <c r="J124" s="5"/>
    </row>
    <row r="125" spans="1:22" x14ac:dyDescent="0.2">
      <c r="A125" s="220" t="s">
        <v>2</v>
      </c>
      <c r="B125" s="220"/>
      <c r="C125" s="5" t="s">
        <v>3</v>
      </c>
      <c r="D125" s="5"/>
      <c r="E125" s="5"/>
      <c r="F125" s="5"/>
      <c r="G125" s="5"/>
      <c r="H125" s="5"/>
      <c r="I125" s="5"/>
      <c r="J125" s="5"/>
    </row>
    <row r="126" spans="1:22" x14ac:dyDescent="0.2">
      <c r="A126" s="221" t="s">
        <v>4</v>
      </c>
      <c r="B126" s="221"/>
      <c r="C126" s="5" t="str">
        <f>+C73</f>
        <v>ABRIL</v>
      </c>
      <c r="D126" s="5"/>
      <c r="F126" s="5"/>
      <c r="G126" s="5"/>
      <c r="I126" s="5"/>
      <c r="J126" s="5"/>
      <c r="K126" s="5"/>
      <c r="L126" s="5"/>
    </row>
    <row r="127" spans="1:22" x14ac:dyDescent="0.2">
      <c r="A127" s="49" t="s">
        <v>58</v>
      </c>
      <c r="B127" s="9" t="s">
        <v>111</v>
      </c>
      <c r="C127" s="11" t="s">
        <v>59</v>
      </c>
      <c r="D127" s="10" t="s">
        <v>112</v>
      </c>
      <c r="E127" s="9" t="s">
        <v>113</v>
      </c>
      <c r="F127" s="63" t="s">
        <v>114</v>
      </c>
      <c r="G127" s="10" t="s">
        <v>59</v>
      </c>
      <c r="H127" s="9" t="s">
        <v>115</v>
      </c>
      <c r="I127" s="63" t="s">
        <v>116</v>
      </c>
      <c r="J127" s="222" t="s">
        <v>117</v>
      </c>
      <c r="K127" s="222"/>
      <c r="L127" s="222"/>
      <c r="M127" s="222"/>
    </row>
    <row r="128" spans="1:22" x14ac:dyDescent="0.2">
      <c r="A128" s="50" t="s">
        <v>64</v>
      </c>
      <c r="B128" s="13" t="s">
        <v>118</v>
      </c>
      <c r="C128" s="7" t="s">
        <v>65</v>
      </c>
      <c r="D128" s="13" t="s">
        <v>119</v>
      </c>
      <c r="E128" s="13" t="s">
        <v>120</v>
      </c>
      <c r="F128" s="7" t="s">
        <v>121</v>
      </c>
      <c r="G128" s="13" t="s">
        <v>71</v>
      </c>
      <c r="H128" s="13" t="s">
        <v>122</v>
      </c>
      <c r="I128" s="7" t="s">
        <v>17</v>
      </c>
      <c r="J128" s="13" t="s">
        <v>123</v>
      </c>
      <c r="K128" s="64" t="s">
        <v>124</v>
      </c>
      <c r="L128" s="225" t="s">
        <v>125</v>
      </c>
      <c r="M128" s="225"/>
    </row>
    <row r="129" spans="1:13" x14ac:dyDescent="0.2">
      <c r="A129" s="65" t="s">
        <v>126</v>
      </c>
      <c r="B129" s="15" t="s">
        <v>127</v>
      </c>
      <c r="C129" s="16" t="s">
        <v>26</v>
      </c>
      <c r="D129" s="15"/>
      <c r="E129" s="42"/>
      <c r="F129" s="16"/>
      <c r="G129" s="15" t="s">
        <v>26</v>
      </c>
      <c r="H129" s="15"/>
      <c r="I129" s="16" t="s">
        <v>78</v>
      </c>
      <c r="J129" s="15" t="s">
        <v>128</v>
      </c>
      <c r="K129" s="16" t="s">
        <v>129</v>
      </c>
      <c r="L129" s="15" t="s">
        <v>130</v>
      </c>
      <c r="M129" s="15" t="s">
        <v>131</v>
      </c>
    </row>
    <row r="130" spans="1:13" x14ac:dyDescent="0.2">
      <c r="A130" s="52" t="s">
        <v>79</v>
      </c>
      <c r="B130" s="66">
        <v>20</v>
      </c>
      <c r="C130" s="66">
        <v>768</v>
      </c>
      <c r="D130" s="199">
        <v>25560</v>
      </c>
      <c r="E130" s="54"/>
      <c r="F130" s="182"/>
      <c r="G130" s="66">
        <v>928</v>
      </c>
      <c r="H130" s="56">
        <f t="shared" ref="H130:H158" si="41">+C130+D130+E130-F130-J130</f>
        <v>928</v>
      </c>
      <c r="I130" s="21">
        <f t="shared" ref="I130:I160" si="42">IF(ISERROR(+H130/(J130/$C$7)),0,+(H130/(J130/$C$7)))</f>
        <v>0.87685039370078743</v>
      </c>
      <c r="J130" s="27">
        <f>+C130+D130-G130-F130</f>
        <v>25400</v>
      </c>
      <c r="K130" s="66">
        <v>25400</v>
      </c>
      <c r="L130" s="27">
        <f t="shared" ref="L130:L159" si="43">IF(($K130-$J130)&gt;0,($K130-$J130),0)</f>
        <v>0</v>
      </c>
      <c r="M130" s="27">
        <f t="shared" ref="M130:M159" si="44">IF(($K130-$J130)&lt;0,($K130-$J130),0)</f>
        <v>0</v>
      </c>
    </row>
    <row r="131" spans="1:13" x14ac:dyDescent="0.2">
      <c r="A131" s="67" t="s">
        <v>80</v>
      </c>
      <c r="B131" s="23">
        <v>15</v>
      </c>
      <c r="C131" s="23">
        <v>1118</v>
      </c>
      <c r="D131" s="175">
        <v>19728</v>
      </c>
      <c r="F131" s="177"/>
      <c r="G131" s="23">
        <v>1632</v>
      </c>
      <c r="H131" s="56">
        <f t="shared" si="41"/>
        <v>1632</v>
      </c>
      <c r="I131" s="21">
        <f t="shared" si="42"/>
        <v>2.0385135838451127</v>
      </c>
      <c r="J131" s="27">
        <f t="shared" ref="J131:J159" si="45">+C131+D131-G131-F131</f>
        <v>19214</v>
      </c>
      <c r="K131" s="66">
        <v>19150</v>
      </c>
      <c r="L131" s="27">
        <f t="shared" si="43"/>
        <v>0</v>
      </c>
      <c r="M131" s="27">
        <f t="shared" si="44"/>
        <v>-64</v>
      </c>
    </row>
    <row r="132" spans="1:13" x14ac:dyDescent="0.2">
      <c r="A132" s="52" t="s">
        <v>81</v>
      </c>
      <c r="B132" s="23">
        <v>21</v>
      </c>
      <c r="C132" s="23">
        <v>1492</v>
      </c>
      <c r="D132" s="175">
        <v>35280</v>
      </c>
      <c r="F132" s="177"/>
      <c r="G132" s="23">
        <v>1760</v>
      </c>
      <c r="H132" s="56">
        <f t="shared" si="41"/>
        <v>1760</v>
      </c>
      <c r="I132" s="21">
        <f t="shared" si="42"/>
        <v>1.2064435050839712</v>
      </c>
      <c r="J132" s="27">
        <f t="shared" si="45"/>
        <v>35012</v>
      </c>
      <c r="K132" s="66">
        <v>34972</v>
      </c>
      <c r="L132" s="27">
        <f t="shared" si="43"/>
        <v>0</v>
      </c>
      <c r="M132" s="27">
        <f t="shared" si="44"/>
        <v>-40</v>
      </c>
    </row>
    <row r="133" spans="1:13" x14ac:dyDescent="0.2">
      <c r="A133" s="67" t="s">
        <v>82</v>
      </c>
      <c r="B133" s="23">
        <v>22</v>
      </c>
      <c r="C133" s="23">
        <v>2944</v>
      </c>
      <c r="D133" s="175">
        <v>37008</v>
      </c>
      <c r="F133" s="177"/>
      <c r="G133" s="23">
        <v>2250</v>
      </c>
      <c r="H133" s="56">
        <f t="shared" si="41"/>
        <v>2250</v>
      </c>
      <c r="I133" s="21">
        <f t="shared" si="42"/>
        <v>1.4322847594292079</v>
      </c>
      <c r="J133" s="27">
        <f t="shared" si="45"/>
        <v>37702</v>
      </c>
      <c r="K133" s="66">
        <v>37702</v>
      </c>
      <c r="L133" s="27">
        <f t="shared" si="43"/>
        <v>0</v>
      </c>
      <c r="M133" s="27">
        <f t="shared" si="44"/>
        <v>0</v>
      </c>
    </row>
    <row r="134" spans="1:13" x14ac:dyDescent="0.2">
      <c r="A134" s="67" t="s">
        <v>83</v>
      </c>
      <c r="B134" s="23">
        <v>20</v>
      </c>
      <c r="C134" s="23">
        <v>868</v>
      </c>
      <c r="D134" s="175">
        <v>25056</v>
      </c>
      <c r="F134" s="177"/>
      <c r="G134" s="23">
        <v>752</v>
      </c>
      <c r="H134" s="56">
        <f t="shared" si="41"/>
        <v>752</v>
      </c>
      <c r="I134" s="21">
        <f t="shared" si="42"/>
        <v>0.71698712855553792</v>
      </c>
      <c r="J134" s="27">
        <f t="shared" si="45"/>
        <v>25172</v>
      </c>
      <c r="K134" s="66">
        <v>25188</v>
      </c>
      <c r="L134" s="27">
        <f t="shared" si="43"/>
        <v>16</v>
      </c>
      <c r="M134" s="27">
        <f t="shared" si="44"/>
        <v>0</v>
      </c>
    </row>
    <row r="135" spans="1:13" x14ac:dyDescent="0.2">
      <c r="A135" s="67" t="s">
        <v>84</v>
      </c>
      <c r="B135" s="23">
        <v>31</v>
      </c>
      <c r="C135" s="23">
        <v>2886</v>
      </c>
      <c r="D135" s="175">
        <v>43776</v>
      </c>
      <c r="F135" s="177"/>
      <c r="G135" s="23">
        <v>3872</v>
      </c>
      <c r="H135" s="56">
        <f t="shared" si="41"/>
        <v>3872</v>
      </c>
      <c r="I135" s="21">
        <f t="shared" si="42"/>
        <v>2.1717223650385602</v>
      </c>
      <c r="J135" s="27">
        <f t="shared" si="45"/>
        <v>42790</v>
      </c>
      <c r="K135" s="66">
        <v>42838</v>
      </c>
      <c r="L135" s="27">
        <f t="shared" si="43"/>
        <v>48</v>
      </c>
      <c r="M135" s="27">
        <f t="shared" si="44"/>
        <v>0</v>
      </c>
    </row>
    <row r="136" spans="1:13" x14ac:dyDescent="0.2">
      <c r="A136" s="67" t="s">
        <v>85</v>
      </c>
      <c r="B136" s="23">
        <v>15</v>
      </c>
      <c r="C136" s="23">
        <v>2736</v>
      </c>
      <c r="D136" s="175">
        <v>26280</v>
      </c>
      <c r="F136" s="177"/>
      <c r="G136" s="23">
        <v>2700</v>
      </c>
      <c r="H136" s="56">
        <f t="shared" si="41"/>
        <v>2700</v>
      </c>
      <c r="I136" s="21">
        <f t="shared" si="42"/>
        <v>2.4623803009575922</v>
      </c>
      <c r="J136" s="27">
        <f t="shared" si="45"/>
        <v>26316</v>
      </c>
      <c r="K136" s="66">
        <v>26316</v>
      </c>
      <c r="L136" s="27">
        <f t="shared" si="43"/>
        <v>0</v>
      </c>
      <c r="M136" s="27">
        <f t="shared" si="44"/>
        <v>0</v>
      </c>
    </row>
    <row r="137" spans="1:13" x14ac:dyDescent="0.2">
      <c r="A137" s="67" t="s">
        <v>86</v>
      </c>
      <c r="B137" s="23">
        <v>36</v>
      </c>
      <c r="C137" s="23">
        <v>4208</v>
      </c>
      <c r="D137" s="175">
        <v>45360</v>
      </c>
      <c r="F137" s="177"/>
      <c r="G137" s="23">
        <v>4576</v>
      </c>
      <c r="H137" s="56">
        <f t="shared" si="41"/>
        <v>4576</v>
      </c>
      <c r="I137" s="21">
        <f t="shared" si="42"/>
        <v>2.440967283072546</v>
      </c>
      <c r="J137" s="27">
        <f t="shared" si="45"/>
        <v>44992</v>
      </c>
      <c r="K137" s="66">
        <v>44704</v>
      </c>
      <c r="L137" s="27">
        <f t="shared" si="43"/>
        <v>0</v>
      </c>
      <c r="M137" s="27">
        <f t="shared" si="44"/>
        <v>-288</v>
      </c>
    </row>
    <row r="138" spans="1:13" x14ac:dyDescent="0.2">
      <c r="A138" s="67" t="s">
        <v>87</v>
      </c>
      <c r="B138" s="23">
        <v>12</v>
      </c>
      <c r="C138" s="23">
        <v>1806</v>
      </c>
      <c r="D138" s="175">
        <v>32904</v>
      </c>
      <c r="F138" s="177"/>
      <c r="G138" s="23">
        <v>1386</v>
      </c>
      <c r="H138" s="56">
        <f t="shared" si="41"/>
        <v>1386</v>
      </c>
      <c r="I138" s="21">
        <f t="shared" si="42"/>
        <v>0.99819949585884049</v>
      </c>
      <c r="J138" s="27">
        <f t="shared" si="45"/>
        <v>33324</v>
      </c>
      <c r="K138" s="66">
        <v>33556</v>
      </c>
      <c r="L138" s="27">
        <f t="shared" si="43"/>
        <v>232</v>
      </c>
      <c r="M138" s="27">
        <f t="shared" si="44"/>
        <v>0</v>
      </c>
    </row>
    <row r="139" spans="1:13" x14ac:dyDescent="0.2">
      <c r="A139" s="67" t="s">
        <v>88</v>
      </c>
      <c r="B139" s="23">
        <v>13</v>
      </c>
      <c r="C139" s="23">
        <v>3752</v>
      </c>
      <c r="D139" s="175">
        <v>6984</v>
      </c>
      <c r="F139" s="177"/>
      <c r="G139" s="23">
        <v>1562</v>
      </c>
      <c r="H139" s="56">
        <f t="shared" si="41"/>
        <v>1562</v>
      </c>
      <c r="I139" s="21">
        <f t="shared" si="42"/>
        <v>4.0863309352517989</v>
      </c>
      <c r="J139" s="27">
        <f t="shared" si="45"/>
        <v>9174</v>
      </c>
      <c r="K139" s="66">
        <v>9174</v>
      </c>
      <c r="L139" s="27">
        <f t="shared" si="43"/>
        <v>0</v>
      </c>
      <c r="M139" s="27">
        <f t="shared" si="44"/>
        <v>0</v>
      </c>
    </row>
    <row r="140" spans="1:13" x14ac:dyDescent="0.2">
      <c r="A140" s="67" t="s">
        <v>89</v>
      </c>
      <c r="B140" s="23">
        <v>23</v>
      </c>
      <c r="C140" s="23">
        <v>2008</v>
      </c>
      <c r="D140" s="175">
        <v>22896</v>
      </c>
      <c r="E140" s="162"/>
      <c r="F140" s="177"/>
      <c r="G140" s="23">
        <v>1450</v>
      </c>
      <c r="H140" s="56">
        <f t="shared" si="41"/>
        <v>1450</v>
      </c>
      <c r="I140" s="21">
        <f t="shared" si="42"/>
        <v>1.4837554361729342</v>
      </c>
      <c r="J140" s="27">
        <f t="shared" si="45"/>
        <v>23454</v>
      </c>
      <c r="K140" s="66">
        <v>23044</v>
      </c>
      <c r="L140" s="27">
        <f t="shared" si="43"/>
        <v>0</v>
      </c>
      <c r="M140" s="27">
        <f>IF(($K140-$J140)&lt;0,($K140-$J140),0)</f>
        <v>-410</v>
      </c>
    </row>
    <row r="141" spans="1:13" x14ac:dyDescent="0.2">
      <c r="A141" s="67" t="s">
        <v>90</v>
      </c>
      <c r="B141" s="23">
        <v>14</v>
      </c>
      <c r="C141" s="23">
        <v>160</v>
      </c>
      <c r="D141" s="175">
        <v>19080</v>
      </c>
      <c r="E141" s="87"/>
      <c r="F141" s="177"/>
      <c r="G141" s="23">
        <v>2840</v>
      </c>
      <c r="H141" s="56">
        <f t="shared" si="41"/>
        <v>2840</v>
      </c>
      <c r="I141" s="21">
        <f t="shared" si="42"/>
        <v>4.1560975609756099</v>
      </c>
      <c r="J141" s="27">
        <f t="shared" si="45"/>
        <v>16400</v>
      </c>
      <c r="K141" s="66">
        <v>16400</v>
      </c>
      <c r="L141" s="27">
        <f t="shared" si="43"/>
        <v>0</v>
      </c>
      <c r="M141" s="27">
        <f t="shared" si="44"/>
        <v>0</v>
      </c>
    </row>
    <row r="142" spans="1:13" x14ac:dyDescent="0.2">
      <c r="A142" s="67" t="s">
        <v>91</v>
      </c>
      <c r="B142" s="23">
        <v>24</v>
      </c>
      <c r="C142" s="23">
        <v>2346</v>
      </c>
      <c r="D142" s="175">
        <v>57456</v>
      </c>
      <c r="F142" s="177"/>
      <c r="G142" s="23">
        <v>2776</v>
      </c>
      <c r="H142" s="56">
        <f t="shared" si="41"/>
        <v>2776</v>
      </c>
      <c r="I142" s="21">
        <f t="shared" si="42"/>
        <v>1.1683091922982498</v>
      </c>
      <c r="J142" s="27">
        <f t="shared" si="45"/>
        <v>57026</v>
      </c>
      <c r="K142" s="66">
        <v>57026</v>
      </c>
      <c r="L142" s="27">
        <f t="shared" si="43"/>
        <v>0</v>
      </c>
      <c r="M142" s="27">
        <f t="shared" si="44"/>
        <v>0</v>
      </c>
    </row>
    <row r="143" spans="1:13" x14ac:dyDescent="0.2">
      <c r="A143" s="52" t="s">
        <v>92</v>
      </c>
      <c r="B143" s="23">
        <v>47</v>
      </c>
      <c r="C143" s="23">
        <v>18568</v>
      </c>
      <c r="D143" s="175">
        <v>87840</v>
      </c>
      <c r="E143" s="22"/>
      <c r="F143" s="177"/>
      <c r="G143" s="23">
        <v>21976</v>
      </c>
      <c r="H143" s="56">
        <f t="shared" si="41"/>
        <v>21976</v>
      </c>
      <c r="I143" s="21">
        <f t="shared" si="42"/>
        <v>6.246731097214326</v>
      </c>
      <c r="J143" s="27">
        <f t="shared" si="45"/>
        <v>84432</v>
      </c>
      <c r="K143" s="66">
        <v>84416</v>
      </c>
      <c r="L143" s="27">
        <f t="shared" si="43"/>
        <v>0</v>
      </c>
      <c r="M143" s="27">
        <f>IF(($K143-$J143)&lt;0,($K143-$J143),0)</f>
        <v>-16</v>
      </c>
    </row>
    <row r="144" spans="1:13" x14ac:dyDescent="0.2">
      <c r="A144" s="67" t="s">
        <v>93</v>
      </c>
      <c r="B144" s="23">
        <v>22</v>
      </c>
      <c r="C144" s="23">
        <v>6088</v>
      </c>
      <c r="D144" s="175">
        <v>31032</v>
      </c>
      <c r="E144" s="22"/>
      <c r="F144" s="177"/>
      <c r="G144" s="23">
        <v>4792</v>
      </c>
      <c r="H144" s="56">
        <f t="shared" si="41"/>
        <v>4792</v>
      </c>
      <c r="I144" s="21">
        <f t="shared" si="42"/>
        <v>3.5575352635486266</v>
      </c>
      <c r="J144" s="27">
        <f t="shared" si="45"/>
        <v>32328</v>
      </c>
      <c r="K144" s="66">
        <v>32328</v>
      </c>
      <c r="L144" s="27">
        <f t="shared" si="43"/>
        <v>0</v>
      </c>
      <c r="M144" s="27">
        <f t="shared" si="44"/>
        <v>0</v>
      </c>
    </row>
    <row r="145" spans="1:14" x14ac:dyDescent="0.2">
      <c r="A145" s="67" t="s">
        <v>94</v>
      </c>
      <c r="B145" s="23">
        <v>19</v>
      </c>
      <c r="C145" s="23">
        <v>2130</v>
      </c>
      <c r="D145" s="175">
        <v>19080</v>
      </c>
      <c r="F145" s="177"/>
      <c r="G145" s="23">
        <v>1650</v>
      </c>
      <c r="H145" s="56">
        <f t="shared" si="41"/>
        <v>1650</v>
      </c>
      <c r="I145" s="21">
        <f t="shared" si="42"/>
        <v>2.0245398773006134</v>
      </c>
      <c r="J145" s="27">
        <f t="shared" si="45"/>
        <v>19560</v>
      </c>
      <c r="K145" s="66">
        <v>19560</v>
      </c>
      <c r="L145" s="27">
        <f t="shared" si="43"/>
        <v>0</v>
      </c>
      <c r="M145" s="27">
        <f t="shared" si="44"/>
        <v>0</v>
      </c>
    </row>
    <row r="146" spans="1:14" x14ac:dyDescent="0.2">
      <c r="A146" s="67" t="s">
        <v>95</v>
      </c>
      <c r="B146" s="23">
        <v>16</v>
      </c>
      <c r="C146" s="23">
        <v>6126</v>
      </c>
      <c r="D146" s="175">
        <v>45360</v>
      </c>
      <c r="E146" s="22"/>
      <c r="F146" s="177">
        <v>1872</v>
      </c>
      <c r="G146" s="23">
        <v>4526</v>
      </c>
      <c r="H146" s="56">
        <f t="shared" si="41"/>
        <v>4526</v>
      </c>
      <c r="I146" s="21">
        <f t="shared" si="42"/>
        <v>2.4091554293825408</v>
      </c>
      <c r="J146" s="27">
        <f t="shared" si="45"/>
        <v>45088</v>
      </c>
      <c r="K146" s="66">
        <v>45376</v>
      </c>
      <c r="L146" s="27">
        <f t="shared" si="43"/>
        <v>288</v>
      </c>
      <c r="M146" s="27">
        <f t="shared" si="44"/>
        <v>0</v>
      </c>
    </row>
    <row r="147" spans="1:14" x14ac:dyDescent="0.2">
      <c r="A147" s="67" t="s">
        <v>96</v>
      </c>
      <c r="B147" s="23">
        <v>13</v>
      </c>
      <c r="C147" s="23">
        <v>1992</v>
      </c>
      <c r="D147" s="175">
        <v>15696</v>
      </c>
      <c r="F147" s="177"/>
      <c r="G147" s="23">
        <v>2128</v>
      </c>
      <c r="H147" s="56">
        <f t="shared" si="41"/>
        <v>2128</v>
      </c>
      <c r="I147" s="21">
        <f t="shared" si="42"/>
        <v>3.2822622107969148</v>
      </c>
      <c r="J147" s="27">
        <f t="shared" si="45"/>
        <v>15560</v>
      </c>
      <c r="K147" s="188">
        <v>15560</v>
      </c>
      <c r="L147" s="27">
        <f t="shared" si="43"/>
        <v>0</v>
      </c>
      <c r="M147" s="27">
        <f t="shared" si="44"/>
        <v>0</v>
      </c>
    </row>
    <row r="148" spans="1:14" x14ac:dyDescent="0.2">
      <c r="A148" s="52" t="s">
        <v>97</v>
      </c>
      <c r="B148" s="23">
        <v>15</v>
      </c>
      <c r="C148" s="23">
        <v>1056</v>
      </c>
      <c r="D148" s="175">
        <v>19656</v>
      </c>
      <c r="F148" s="177"/>
      <c r="G148" s="23">
        <v>2916</v>
      </c>
      <c r="H148" s="56">
        <f t="shared" si="41"/>
        <v>2916</v>
      </c>
      <c r="I148" s="21">
        <f t="shared" si="42"/>
        <v>3.932569116655428</v>
      </c>
      <c r="J148" s="27">
        <f t="shared" si="45"/>
        <v>17796</v>
      </c>
      <c r="K148" s="66">
        <v>17796</v>
      </c>
      <c r="L148" s="27">
        <f t="shared" si="43"/>
        <v>0</v>
      </c>
      <c r="M148" s="27">
        <f t="shared" si="44"/>
        <v>0</v>
      </c>
    </row>
    <row r="149" spans="1:14" x14ac:dyDescent="0.2">
      <c r="A149" s="67" t="s">
        <v>98</v>
      </c>
      <c r="B149" s="23">
        <v>23</v>
      </c>
      <c r="C149" s="23">
        <v>1944</v>
      </c>
      <c r="D149" s="175">
        <v>60120</v>
      </c>
      <c r="F149" s="174">
        <v>1944</v>
      </c>
      <c r="G149" s="23">
        <v>2436</v>
      </c>
      <c r="H149" s="56">
        <f t="shared" si="41"/>
        <v>2436</v>
      </c>
      <c r="I149" s="21">
        <f t="shared" si="42"/>
        <v>1.0135219471603911</v>
      </c>
      <c r="J149" s="27">
        <f t="shared" si="45"/>
        <v>57684</v>
      </c>
      <c r="K149" s="66">
        <v>57640</v>
      </c>
      <c r="L149" s="27">
        <f t="shared" si="43"/>
        <v>0</v>
      </c>
      <c r="M149" s="27">
        <f t="shared" si="44"/>
        <v>-44</v>
      </c>
    </row>
    <row r="150" spans="1:14" x14ac:dyDescent="0.2">
      <c r="A150" s="67" t="s">
        <v>99</v>
      </c>
      <c r="B150" s="23">
        <v>19</v>
      </c>
      <c r="C150" s="23">
        <v>2448</v>
      </c>
      <c r="D150" s="175">
        <v>21960</v>
      </c>
      <c r="E150" s="22"/>
      <c r="F150" s="177"/>
      <c r="G150" s="23">
        <v>368</v>
      </c>
      <c r="H150" s="56">
        <f t="shared" si="41"/>
        <v>368</v>
      </c>
      <c r="I150" s="21">
        <f t="shared" si="42"/>
        <v>0.36738768718802001</v>
      </c>
      <c r="J150" s="27">
        <f t="shared" si="45"/>
        <v>24040</v>
      </c>
      <c r="K150" s="66">
        <v>24040</v>
      </c>
      <c r="L150" s="27">
        <f t="shared" si="43"/>
        <v>0</v>
      </c>
      <c r="M150" s="27">
        <f t="shared" si="44"/>
        <v>0</v>
      </c>
    </row>
    <row r="151" spans="1:14" x14ac:dyDescent="0.2">
      <c r="A151" s="52" t="s">
        <v>100</v>
      </c>
      <c r="B151" s="23">
        <v>32</v>
      </c>
      <c r="C151" s="23">
        <v>3538</v>
      </c>
      <c r="D151" s="175">
        <v>32040</v>
      </c>
      <c r="E151" s="22"/>
      <c r="F151" s="177">
        <v>216</v>
      </c>
      <c r="G151" s="23">
        <v>3388</v>
      </c>
      <c r="H151" s="56">
        <f t="shared" si="41"/>
        <v>3388</v>
      </c>
      <c r="I151" s="21">
        <f t="shared" si="42"/>
        <v>2.5430662413210734</v>
      </c>
      <c r="J151" s="27">
        <f t="shared" si="45"/>
        <v>31974</v>
      </c>
      <c r="K151" s="66">
        <v>32118</v>
      </c>
      <c r="L151" s="27">
        <f t="shared" si="43"/>
        <v>144</v>
      </c>
      <c r="M151" s="27">
        <f t="shared" si="44"/>
        <v>0</v>
      </c>
    </row>
    <row r="152" spans="1:14" x14ac:dyDescent="0.2">
      <c r="A152" s="67" t="s">
        <v>101</v>
      </c>
      <c r="B152" s="23">
        <v>26</v>
      </c>
      <c r="C152" s="23">
        <v>1280</v>
      </c>
      <c r="D152" s="175">
        <v>30456</v>
      </c>
      <c r="F152" s="177"/>
      <c r="G152" s="23">
        <v>824</v>
      </c>
      <c r="H152" s="56">
        <f t="shared" si="41"/>
        <v>824</v>
      </c>
      <c r="I152" s="21">
        <f t="shared" si="42"/>
        <v>0.63975155279503104</v>
      </c>
      <c r="J152" s="27">
        <f t="shared" si="45"/>
        <v>30912</v>
      </c>
      <c r="K152" s="66">
        <v>30912</v>
      </c>
      <c r="L152" s="27">
        <f t="shared" si="43"/>
        <v>0</v>
      </c>
      <c r="M152" s="27">
        <f t="shared" si="44"/>
        <v>0</v>
      </c>
    </row>
    <row r="153" spans="1:14" x14ac:dyDescent="0.2">
      <c r="A153" s="67" t="s">
        <v>102</v>
      </c>
      <c r="B153" s="23">
        <v>13</v>
      </c>
      <c r="C153" s="69">
        <v>3738</v>
      </c>
      <c r="D153" s="175">
        <v>10872</v>
      </c>
      <c r="F153" s="177"/>
      <c r="G153" s="23">
        <v>2484</v>
      </c>
      <c r="H153" s="56">
        <f t="shared" si="41"/>
        <v>2484</v>
      </c>
      <c r="I153" s="21">
        <f t="shared" si="42"/>
        <v>4.9163780306778824</v>
      </c>
      <c r="J153" s="27">
        <f t="shared" si="45"/>
        <v>12126</v>
      </c>
      <c r="K153" s="68">
        <v>12130</v>
      </c>
      <c r="L153" s="27">
        <f t="shared" si="43"/>
        <v>4</v>
      </c>
      <c r="M153" s="27">
        <f t="shared" si="44"/>
        <v>0</v>
      </c>
    </row>
    <row r="154" spans="1:14" x14ac:dyDescent="0.2">
      <c r="A154" s="67" t="s">
        <v>103</v>
      </c>
      <c r="B154" s="23">
        <v>17</v>
      </c>
      <c r="C154" s="23">
        <v>6706</v>
      </c>
      <c r="D154" s="175">
        <v>11448</v>
      </c>
      <c r="F154" s="177"/>
      <c r="G154" s="23">
        <v>4500</v>
      </c>
      <c r="H154" s="56">
        <f t="shared" si="41"/>
        <v>4500</v>
      </c>
      <c r="I154" s="21">
        <f t="shared" si="42"/>
        <v>7.9097700307602175</v>
      </c>
      <c r="J154" s="27">
        <f t="shared" si="45"/>
        <v>13654</v>
      </c>
      <c r="K154" s="66">
        <v>13452</v>
      </c>
      <c r="L154" s="27">
        <f t="shared" si="43"/>
        <v>0</v>
      </c>
      <c r="M154" s="27">
        <f t="shared" si="44"/>
        <v>-202</v>
      </c>
    </row>
    <row r="155" spans="1:14" x14ac:dyDescent="0.2">
      <c r="A155" s="52" t="s">
        <v>104</v>
      </c>
      <c r="B155" s="23">
        <v>42</v>
      </c>
      <c r="C155" s="23">
        <v>9106</v>
      </c>
      <c r="D155" s="175">
        <v>32400</v>
      </c>
      <c r="F155" s="177">
        <v>9936</v>
      </c>
      <c r="G155" s="23">
        <v>4636</v>
      </c>
      <c r="H155" s="56">
        <f t="shared" si="41"/>
        <v>4636</v>
      </c>
      <c r="I155" s="21">
        <f>IF(ISERROR(+H155/(J155/$C$7)),0,+(H155/(J155/$C$7)))</f>
        <v>4.1309868567609715</v>
      </c>
      <c r="J155" s="27">
        <f>+C155+D155-G155-F155</f>
        <v>26934</v>
      </c>
      <c r="K155" s="66">
        <v>26934</v>
      </c>
      <c r="L155" s="27">
        <f>IF(($K155-$J155)&gt;0,($K155-$J155),0)</f>
        <v>0</v>
      </c>
      <c r="M155" s="27">
        <f>IF(($K155-$J155)&lt;0,($K155-$J155),0)</f>
        <v>0</v>
      </c>
    </row>
    <row r="156" spans="1:14" x14ac:dyDescent="0.2">
      <c r="A156" s="67" t="s">
        <v>105</v>
      </c>
      <c r="B156" s="23">
        <v>20</v>
      </c>
      <c r="C156" s="23">
        <v>3148</v>
      </c>
      <c r="D156" s="175">
        <v>50472</v>
      </c>
      <c r="F156" s="177"/>
      <c r="G156" s="23">
        <v>4438</v>
      </c>
      <c r="H156" s="56">
        <f t="shared" si="41"/>
        <v>4438</v>
      </c>
      <c r="I156" s="21">
        <f t="shared" si="42"/>
        <v>2.165670367207515</v>
      </c>
      <c r="J156" s="27">
        <f t="shared" si="45"/>
        <v>49182</v>
      </c>
      <c r="K156" s="66">
        <v>47844</v>
      </c>
      <c r="L156" s="27">
        <f t="shared" si="43"/>
        <v>0</v>
      </c>
      <c r="M156" s="27">
        <f t="shared" si="44"/>
        <v>-1338</v>
      </c>
    </row>
    <row r="157" spans="1:14" x14ac:dyDescent="0.2">
      <c r="A157" s="52" t="s">
        <v>132</v>
      </c>
      <c r="B157" s="23">
        <v>9</v>
      </c>
      <c r="C157" s="23">
        <v>622</v>
      </c>
      <c r="D157" s="175">
        <v>9144</v>
      </c>
      <c r="F157" s="177">
        <v>144</v>
      </c>
      <c r="G157" s="23">
        <v>2334</v>
      </c>
      <c r="H157" s="56">
        <f t="shared" si="41"/>
        <v>2334</v>
      </c>
      <c r="I157" s="21">
        <f t="shared" si="42"/>
        <v>7.686059275521405</v>
      </c>
      <c r="J157" s="27">
        <f t="shared" si="45"/>
        <v>7288</v>
      </c>
      <c r="K157" s="66">
        <v>7360</v>
      </c>
      <c r="L157" s="27">
        <f t="shared" si="43"/>
        <v>72</v>
      </c>
      <c r="M157" s="27">
        <f t="shared" si="44"/>
        <v>0</v>
      </c>
    </row>
    <row r="158" spans="1:14" x14ac:dyDescent="0.2">
      <c r="A158" s="52" t="s">
        <v>107</v>
      </c>
      <c r="B158" s="69">
        <v>7</v>
      </c>
      <c r="C158" s="69">
        <v>344</v>
      </c>
      <c r="D158" s="175">
        <v>4176</v>
      </c>
      <c r="F158" s="177"/>
      <c r="G158" s="23">
        <v>88</v>
      </c>
      <c r="H158" s="56">
        <f t="shared" si="41"/>
        <v>88</v>
      </c>
      <c r="I158" s="21">
        <f t="shared" si="42"/>
        <v>0.47653429602888087</v>
      </c>
      <c r="J158" s="27">
        <f t="shared" si="45"/>
        <v>4432</v>
      </c>
      <c r="K158" s="66">
        <v>4432</v>
      </c>
      <c r="L158" s="27">
        <f t="shared" si="43"/>
        <v>0</v>
      </c>
      <c r="M158" s="27">
        <f t="shared" si="44"/>
        <v>0</v>
      </c>
    </row>
    <row r="159" spans="1:14" x14ac:dyDescent="0.2">
      <c r="A159" s="70" t="s">
        <v>108</v>
      </c>
      <c r="B159" s="71">
        <v>26</v>
      </c>
      <c r="C159" s="71">
        <v>4420</v>
      </c>
      <c r="D159" s="175">
        <v>38952</v>
      </c>
      <c r="F159" s="177"/>
      <c r="G159" s="3">
        <v>3350</v>
      </c>
      <c r="H159" s="58">
        <f>+C159+D159+E159-F159-J159</f>
        <v>3350</v>
      </c>
      <c r="I159" s="44">
        <f t="shared" si="42"/>
        <v>2.00889510769077</v>
      </c>
      <c r="J159" s="27">
        <f t="shared" si="45"/>
        <v>40022</v>
      </c>
      <c r="K159" s="72">
        <v>40156</v>
      </c>
      <c r="L159" s="27">
        <f t="shared" si="43"/>
        <v>134</v>
      </c>
      <c r="M159" s="27">
        <f t="shared" si="44"/>
        <v>0</v>
      </c>
    </row>
    <row r="160" spans="1:14" x14ac:dyDescent="0.2">
      <c r="A160" s="61" t="s">
        <v>31</v>
      </c>
      <c r="B160" s="27">
        <f>SUM(B130:B159)</f>
        <v>632</v>
      </c>
      <c r="C160" s="27">
        <f t="shared" ref="C160:H160" si="46">SUM(C130:C159)</f>
        <v>100346</v>
      </c>
      <c r="D160" s="27">
        <f t="shared" si="46"/>
        <v>918072</v>
      </c>
      <c r="E160" s="27">
        <f t="shared" si="46"/>
        <v>0</v>
      </c>
      <c r="F160" s="27">
        <f t="shared" si="46"/>
        <v>14112</v>
      </c>
      <c r="G160" s="27">
        <f t="shared" si="46"/>
        <v>95318</v>
      </c>
      <c r="H160" s="27">
        <f t="shared" si="46"/>
        <v>95318</v>
      </c>
      <c r="I160" s="27">
        <f t="shared" si="42"/>
        <v>2.5166800881859825</v>
      </c>
      <c r="J160" s="27">
        <f>SUM(J130:J159)</f>
        <v>908988</v>
      </c>
      <c r="K160" s="27">
        <f>SUM(K130:K159)</f>
        <v>907524</v>
      </c>
      <c r="L160" s="27">
        <f>SUM(L130:L159)</f>
        <v>938</v>
      </c>
      <c r="M160" s="27">
        <f>SUM(M130:M159)</f>
        <v>-2402</v>
      </c>
      <c r="N160" s="22"/>
    </row>
    <row r="161" spans="1:13" x14ac:dyDescent="0.2">
      <c r="C161" s="23"/>
      <c r="D161" s="22"/>
      <c r="E161" s="22"/>
      <c r="K161" s="22"/>
    </row>
    <row r="162" spans="1:13" ht="15" x14ac:dyDescent="0.2">
      <c r="A162" s="191" t="s">
        <v>54</v>
      </c>
      <c r="B162" s="48"/>
      <c r="C162" s="48"/>
      <c r="D162" s="48"/>
      <c r="E162" s="55"/>
      <c r="G162" s="22"/>
      <c r="J162" s="22"/>
      <c r="L162" s="22"/>
      <c r="M162" s="22"/>
    </row>
    <row r="163" spans="1:13" ht="15" x14ac:dyDescent="0.2">
      <c r="A163" s="191" t="s">
        <v>133</v>
      </c>
      <c r="B163" s="48"/>
      <c r="C163" s="48"/>
      <c r="D163" s="48"/>
      <c r="E163" s="48"/>
      <c r="G163" s="22"/>
      <c r="L163" s="22"/>
    </row>
    <row r="164" spans="1:13" x14ac:dyDescent="0.2">
      <c r="G164" s="22"/>
    </row>
    <row r="165" spans="1:13" x14ac:dyDescent="0.2">
      <c r="A165" s="162" t="s">
        <v>209</v>
      </c>
      <c r="B165" s="59"/>
      <c r="C165" s="59"/>
    </row>
    <row r="166" spans="1:13" x14ac:dyDescent="0.2">
      <c r="A166" s="25"/>
      <c r="B166" s="25"/>
      <c r="C166" s="25"/>
      <c r="D166" s="25"/>
      <c r="E166" s="25"/>
      <c r="F166" s="25"/>
      <c r="G166" s="25"/>
      <c r="H166" s="25"/>
      <c r="I166" s="25"/>
      <c r="J166" s="25"/>
      <c r="K166" s="25"/>
      <c r="L166" s="25"/>
    </row>
    <row r="167" spans="1:13" x14ac:dyDescent="0.2">
      <c r="A167" s="25"/>
      <c r="B167" s="25"/>
      <c r="C167" s="25"/>
      <c r="D167" s="25"/>
      <c r="E167" s="25"/>
      <c r="F167" s="25"/>
      <c r="G167" s="25"/>
      <c r="H167" s="25"/>
      <c r="I167" s="25"/>
      <c r="J167" s="25"/>
      <c r="K167" s="25"/>
      <c r="L167" s="25"/>
    </row>
    <row r="168" spans="1:13" x14ac:dyDescent="0.2">
      <c r="A168" s="25"/>
      <c r="B168" s="25"/>
      <c r="C168" s="25"/>
      <c r="D168" s="25"/>
      <c r="E168" s="25"/>
      <c r="F168" s="25"/>
      <c r="G168" s="25"/>
      <c r="H168" s="25"/>
      <c r="I168" s="25"/>
      <c r="J168" s="25"/>
      <c r="K168" s="25"/>
      <c r="L168" s="25"/>
    </row>
    <row r="169" spans="1:13" x14ac:dyDescent="0.2">
      <c r="A169" s="25"/>
      <c r="B169" s="25"/>
      <c r="C169" s="25"/>
      <c r="D169" s="25"/>
      <c r="E169" s="25"/>
      <c r="F169" s="25"/>
      <c r="G169" s="25"/>
      <c r="H169" s="25"/>
      <c r="I169" s="25"/>
      <c r="J169" s="25"/>
      <c r="K169" s="25"/>
      <c r="L169" s="25"/>
    </row>
    <row r="170" spans="1:13" x14ac:dyDescent="0.2">
      <c r="A170" s="25"/>
      <c r="B170" s="25"/>
      <c r="C170" s="25"/>
      <c r="D170" s="25"/>
      <c r="E170" s="25"/>
      <c r="F170" s="25"/>
      <c r="G170" s="25"/>
      <c r="H170" s="25"/>
      <c r="I170" s="25"/>
      <c r="J170" s="25"/>
      <c r="K170" s="25"/>
      <c r="L170" s="25"/>
    </row>
    <row r="171" spans="1:13" x14ac:dyDescent="0.2">
      <c r="A171" s="25"/>
      <c r="B171" s="25"/>
      <c r="C171" s="25"/>
      <c r="D171" s="25"/>
      <c r="E171" s="25"/>
      <c r="F171" s="25"/>
      <c r="G171" s="25"/>
      <c r="H171" s="25"/>
      <c r="I171" s="25"/>
      <c r="J171" s="25"/>
      <c r="K171" s="25"/>
      <c r="L171" s="25"/>
    </row>
    <row r="172" spans="1:13" x14ac:dyDescent="0.2">
      <c r="A172" s="25"/>
      <c r="B172" s="25"/>
      <c r="C172" s="25"/>
      <c r="D172" s="25"/>
      <c r="E172" s="25"/>
      <c r="F172" s="25"/>
      <c r="G172" s="25"/>
      <c r="H172" s="25"/>
      <c r="I172" s="25"/>
      <c r="J172" s="25"/>
      <c r="K172" s="25"/>
      <c r="L172" s="25"/>
    </row>
    <row r="178" spans="1:17" ht="15.75" x14ac:dyDescent="0.25">
      <c r="A178" s="223" t="s">
        <v>134</v>
      </c>
      <c r="B178" s="223"/>
      <c r="C178" s="223"/>
      <c r="D178" s="223"/>
      <c r="E178" s="5"/>
      <c r="F178" s="5"/>
      <c r="G178" s="5"/>
    </row>
    <row r="179" spans="1:17" x14ac:dyDescent="0.2">
      <c r="A179" s="5"/>
      <c r="B179" s="5"/>
      <c r="C179" s="5"/>
      <c r="D179" s="5"/>
      <c r="E179" s="5"/>
      <c r="F179" s="5"/>
      <c r="G179" s="5"/>
    </row>
    <row r="180" spans="1:17" x14ac:dyDescent="0.2">
      <c r="A180" s="220" t="s">
        <v>2</v>
      </c>
      <c r="B180" s="220"/>
      <c r="C180" s="5" t="s">
        <v>3</v>
      </c>
      <c r="D180" s="5"/>
      <c r="E180" s="5"/>
      <c r="F180" s="5"/>
      <c r="G180" s="5"/>
    </row>
    <row r="181" spans="1:17" x14ac:dyDescent="0.2">
      <c r="A181" s="221" t="s">
        <v>4</v>
      </c>
      <c r="B181" s="221"/>
      <c r="C181" s="5" t="str">
        <f>+C126</f>
        <v>ABRIL</v>
      </c>
      <c r="D181" s="5"/>
      <c r="E181" s="5"/>
      <c r="F181" s="5"/>
      <c r="G181" s="5"/>
    </row>
    <row r="182" spans="1:17" ht="38.25" customHeight="1" x14ac:dyDescent="0.2">
      <c r="A182" s="226" t="s">
        <v>135</v>
      </c>
      <c r="B182" s="9" t="s">
        <v>59</v>
      </c>
      <c r="C182" s="9" t="s">
        <v>136</v>
      </c>
      <c r="D182" s="9" t="s">
        <v>137</v>
      </c>
      <c r="E182" s="9" t="s">
        <v>112</v>
      </c>
      <c r="F182" s="9" t="s">
        <v>61</v>
      </c>
      <c r="G182" s="9" t="s">
        <v>59</v>
      </c>
      <c r="H182" s="9" t="s">
        <v>138</v>
      </c>
      <c r="J182" s="73" t="s">
        <v>139</v>
      </c>
      <c r="K182" s="73" t="s">
        <v>140</v>
      </c>
      <c r="O182" s="224" t="s">
        <v>225</v>
      </c>
      <c r="P182" s="224"/>
      <c r="Q182" s="224"/>
    </row>
    <row r="183" spans="1:17" ht="24" x14ac:dyDescent="0.2">
      <c r="A183" s="226"/>
      <c r="B183" s="13" t="s">
        <v>141</v>
      </c>
      <c r="C183" s="13" t="s">
        <v>142</v>
      </c>
      <c r="D183" s="13" t="s">
        <v>143</v>
      </c>
      <c r="E183" s="13" t="s">
        <v>144</v>
      </c>
      <c r="F183" s="13" t="s">
        <v>70</v>
      </c>
      <c r="G183" s="13" t="s">
        <v>71</v>
      </c>
      <c r="H183" s="13" t="s">
        <v>59</v>
      </c>
      <c r="J183" s="13"/>
      <c r="K183" s="13"/>
      <c r="O183" s="74" t="s">
        <v>145</v>
      </c>
      <c r="P183" s="75" t="s">
        <v>146</v>
      </c>
      <c r="Q183" s="76" t="s">
        <v>147</v>
      </c>
    </row>
    <row r="184" spans="1:17" x14ac:dyDescent="0.2">
      <c r="A184" s="226"/>
      <c r="B184" s="13"/>
      <c r="C184" s="13" t="s">
        <v>148</v>
      </c>
      <c r="D184" s="13"/>
      <c r="E184" s="13"/>
      <c r="F184" s="13"/>
      <c r="G184" s="13"/>
      <c r="H184" s="13"/>
      <c r="J184" s="13"/>
      <c r="K184" s="13"/>
      <c r="O184" s="50"/>
      <c r="P184" s="13"/>
      <c r="Q184" s="39"/>
    </row>
    <row r="185" spans="1:17" x14ac:dyDescent="0.2">
      <c r="A185" s="226"/>
      <c r="B185" s="15" t="s">
        <v>26</v>
      </c>
      <c r="C185" s="15" t="s">
        <v>149</v>
      </c>
      <c r="D185" s="15" t="s">
        <v>26</v>
      </c>
      <c r="E185" s="15" t="s">
        <v>26</v>
      </c>
      <c r="F185" s="15" t="s">
        <v>59</v>
      </c>
      <c r="G185" s="15" t="s">
        <v>26</v>
      </c>
      <c r="H185" s="15" t="s">
        <v>150</v>
      </c>
      <c r="J185" s="15"/>
      <c r="K185" s="15"/>
      <c r="O185" s="50"/>
      <c r="P185" s="13"/>
      <c r="Q185" s="39"/>
    </row>
    <row r="186" spans="1:17" ht="15" x14ac:dyDescent="0.25">
      <c r="A186" s="77"/>
      <c r="B186" s="77"/>
      <c r="C186" s="77"/>
      <c r="D186" s="77"/>
      <c r="E186" s="77"/>
      <c r="F186" s="20"/>
      <c r="G186" s="77"/>
      <c r="H186" s="77"/>
      <c r="J186" s="18" t="s">
        <v>29</v>
      </c>
      <c r="K186" s="53">
        <f>SUM(J130:J137)/24</f>
        <v>10691.583333333334</v>
      </c>
      <c r="O186" s="78">
        <v>17846</v>
      </c>
      <c r="P186" s="23">
        <v>26867</v>
      </c>
      <c r="Q186" s="79" t="str">
        <f>+C181</f>
        <v>ABRIL</v>
      </c>
    </row>
    <row r="187" spans="1:17" ht="15" x14ac:dyDescent="0.25">
      <c r="A187" s="80" t="s">
        <v>151</v>
      </c>
      <c r="B187" s="21">
        <v>1141866</v>
      </c>
      <c r="C187" s="21">
        <f>+E51+F51</f>
        <v>922248</v>
      </c>
      <c r="D187" s="21">
        <f>+H51+D107</f>
        <v>0</v>
      </c>
      <c r="E187" s="21">
        <f>+J160</f>
        <v>908988</v>
      </c>
      <c r="F187" s="21">
        <v>0</v>
      </c>
      <c r="G187" s="21">
        <f>+B187+C187-E187-F187-K51</f>
        <v>1155126</v>
      </c>
      <c r="H187" s="21">
        <f>IF(ISERROR(+G187/(E187/$C$7)),0,+(G187/(E187/$C$7)))</f>
        <v>30.498778861767153</v>
      </c>
      <c r="J187" s="18" t="s">
        <v>30</v>
      </c>
      <c r="K187" s="21">
        <f>SUM(J138:J147)/24</f>
        <v>14014.416666666666</v>
      </c>
      <c r="N187" s="22"/>
      <c r="O187" s="78">
        <v>20885</v>
      </c>
      <c r="P187" s="23">
        <v>32470</v>
      </c>
      <c r="Q187" s="79" t="str">
        <f>+Q186</f>
        <v>ABRIL</v>
      </c>
    </row>
    <row r="188" spans="1:17" ht="15" x14ac:dyDescent="0.25">
      <c r="A188" s="81" t="s">
        <v>152</v>
      </c>
      <c r="B188" s="44">
        <f>+B187/72</f>
        <v>15859.25</v>
      </c>
      <c r="C188" s="44">
        <f t="shared" ref="C188:G188" si="47">+C187/72</f>
        <v>12809</v>
      </c>
      <c r="D188" s="44">
        <f t="shared" si="47"/>
        <v>0</v>
      </c>
      <c r="E188" s="44">
        <f t="shared" si="47"/>
        <v>12624.833333333334</v>
      </c>
      <c r="F188" s="44">
        <f t="shared" si="47"/>
        <v>0</v>
      </c>
      <c r="G188" s="44">
        <f t="shared" si="47"/>
        <v>16043.416666666666</v>
      </c>
      <c r="H188" s="82">
        <f>+H187</f>
        <v>30.498778861767153</v>
      </c>
      <c r="J188" s="18" t="s">
        <v>3</v>
      </c>
      <c r="K188" s="21">
        <f>SUM(J148:J159)/24</f>
        <v>13168.5</v>
      </c>
      <c r="N188" s="22"/>
      <c r="O188" s="78">
        <v>21802</v>
      </c>
      <c r="P188" s="23">
        <v>33707</v>
      </c>
      <c r="Q188" s="79" t="str">
        <f>+Q186</f>
        <v>ABRIL</v>
      </c>
    </row>
    <row r="189" spans="1:17" ht="15" x14ac:dyDescent="0.25">
      <c r="B189" s="22"/>
      <c r="C189" s="22"/>
      <c r="F189" s="54"/>
      <c r="J189" s="83" t="s">
        <v>31</v>
      </c>
      <c r="K189" s="84">
        <f>SUM(K186:K188)</f>
        <v>37874.5</v>
      </c>
      <c r="O189" s="85"/>
      <c r="P189" s="42"/>
      <c r="Q189" s="86"/>
    </row>
    <row r="190" spans="1:17" ht="15" x14ac:dyDescent="0.2">
      <c r="A190" s="48" t="s">
        <v>153</v>
      </c>
      <c r="B190" s="48"/>
      <c r="C190" s="48"/>
      <c r="D190" s="48"/>
      <c r="E190" s="48"/>
      <c r="G190" s="22"/>
      <c r="O190" s="22"/>
      <c r="P190" s="22"/>
    </row>
    <row r="191" spans="1:17" x14ac:dyDescent="0.2">
      <c r="B191" s="22"/>
      <c r="G191" s="22"/>
      <c r="Q191" s="22"/>
    </row>
    <row r="192" spans="1:17" x14ac:dyDescent="0.2">
      <c r="B192" s="22"/>
      <c r="C192" s="22"/>
      <c r="D192" s="22"/>
      <c r="E192" s="22"/>
      <c r="G192" s="22"/>
      <c r="H192" s="22"/>
      <c r="O192" s="22"/>
      <c r="P192" s="22"/>
    </row>
    <row r="193" spans="1:17" x14ac:dyDescent="0.2">
      <c r="G193" s="22"/>
      <c r="H193" s="22"/>
    </row>
    <row r="194" spans="1:17" x14ac:dyDescent="0.2">
      <c r="A194" s="5" t="s">
        <v>154</v>
      </c>
      <c r="B194" s="87"/>
      <c r="C194" s="87"/>
      <c r="D194" s="87"/>
      <c r="E194" s="87"/>
      <c r="F194" s="45"/>
      <c r="G194" s="45"/>
      <c r="P194" s="22"/>
      <c r="Q194" s="22"/>
    </row>
    <row r="195" spans="1:17" x14ac:dyDescent="0.2">
      <c r="A195" s="5" t="s">
        <v>155</v>
      </c>
      <c r="B195" s="57">
        <f>+I28-E51</f>
        <v>0</v>
      </c>
      <c r="C195" s="87"/>
      <c r="D195" s="87"/>
      <c r="E195" s="87"/>
      <c r="F195" s="45"/>
      <c r="G195" s="45"/>
      <c r="Q195" s="22"/>
    </row>
    <row r="196" spans="1:17" x14ac:dyDescent="0.2">
      <c r="A196" s="5" t="s">
        <v>156</v>
      </c>
      <c r="B196" s="57">
        <f>+I51-I107+E107-F160</f>
        <v>0</v>
      </c>
      <c r="C196" s="87"/>
      <c r="D196" s="45"/>
      <c r="E196" s="87"/>
      <c r="F196" s="87"/>
      <c r="G196" s="45"/>
    </row>
    <row r="197" spans="1:17" x14ac:dyDescent="0.2">
      <c r="A197" s="5" t="s">
        <v>157</v>
      </c>
      <c r="B197" s="57">
        <f>+M51-C107</f>
        <v>0</v>
      </c>
      <c r="C197" s="87"/>
      <c r="D197" s="87"/>
      <c r="E197" s="87"/>
      <c r="F197" s="87"/>
      <c r="G197" s="87"/>
      <c r="P197" s="22"/>
    </row>
    <row r="198" spans="1:17" x14ac:dyDescent="0.2">
      <c r="A198" s="5" t="s">
        <v>158</v>
      </c>
      <c r="B198" s="57">
        <f>+N51+G107-D160</f>
        <v>0</v>
      </c>
      <c r="C198" s="87"/>
      <c r="D198" s="45"/>
      <c r="E198" s="87"/>
      <c r="F198" s="87"/>
      <c r="G198" s="87"/>
    </row>
    <row r="199" spans="1:17" x14ac:dyDescent="0.2">
      <c r="A199" s="5" t="s">
        <v>159</v>
      </c>
      <c r="B199" s="57">
        <f>+G187-Q51-L107-G160</f>
        <v>0</v>
      </c>
      <c r="C199" s="87"/>
      <c r="D199" s="45"/>
      <c r="E199" s="87"/>
      <c r="F199" s="87"/>
      <c r="G199" s="45"/>
    </row>
    <row r="200" spans="1:17" x14ac:dyDescent="0.2">
      <c r="A200" s="87"/>
      <c r="B200" s="87"/>
      <c r="C200" s="87"/>
      <c r="D200" s="87"/>
      <c r="E200" s="87"/>
      <c r="F200" s="87"/>
      <c r="G200" s="87"/>
    </row>
    <row r="201" spans="1:17" x14ac:dyDescent="0.2">
      <c r="A201" s="87"/>
      <c r="B201" s="87"/>
      <c r="C201" s="87"/>
      <c r="D201" s="87"/>
      <c r="E201" s="87"/>
      <c r="F201" s="87"/>
      <c r="G201" s="87"/>
    </row>
    <row r="205" spans="1:17" ht="15.75" x14ac:dyDescent="0.25">
      <c r="A205" s="229" t="s">
        <v>212</v>
      </c>
      <c r="B205" s="229"/>
      <c r="C205" s="229"/>
      <c r="D205" s="48"/>
      <c r="E205" s="48"/>
      <c r="F205" s="48"/>
      <c r="G205" s="48"/>
      <c r="H205" s="48"/>
      <c r="I205" s="48"/>
      <c r="J205" s="48"/>
      <c r="K205" s="48"/>
      <c r="L205" s="229" t="s">
        <v>216</v>
      </c>
      <c r="M205" s="229"/>
      <c r="N205" s="229"/>
      <c r="O205" s="229"/>
      <c r="P205" s="48"/>
    </row>
    <row r="206" spans="1:17" ht="15.75" x14ac:dyDescent="0.25">
      <c r="A206" s="48"/>
      <c r="B206" s="48"/>
      <c r="C206" s="48"/>
      <c r="D206" s="48"/>
      <c r="E206" s="48"/>
      <c r="F206" s="48"/>
      <c r="G206" s="48"/>
      <c r="H206" s="48"/>
      <c r="I206" s="48"/>
      <c r="J206" s="48"/>
      <c r="K206" s="48"/>
      <c r="L206" s="229" t="s">
        <v>217</v>
      </c>
      <c r="M206" s="229"/>
      <c r="N206" s="229"/>
      <c r="O206" s="229"/>
      <c r="P206" s="48"/>
    </row>
    <row r="207" spans="1:17" ht="15" x14ac:dyDescent="0.2">
      <c r="A207" s="167"/>
      <c r="B207" s="168"/>
      <c r="C207" s="48"/>
      <c r="D207" s="48"/>
      <c r="E207" s="48"/>
      <c r="F207" s="48"/>
      <c r="G207" s="48"/>
      <c r="H207" s="48"/>
      <c r="I207" s="48"/>
      <c r="J207" s="48"/>
      <c r="K207" s="48"/>
      <c r="L207" s="48"/>
      <c r="M207" s="48"/>
      <c r="N207" s="167"/>
      <c r="O207" s="168"/>
      <c r="P207" s="48"/>
    </row>
    <row r="208" spans="1:17" ht="15" x14ac:dyDescent="0.2">
      <c r="A208" s="167"/>
      <c r="B208" s="168"/>
      <c r="C208" s="48"/>
      <c r="D208" s="48"/>
      <c r="E208" s="48"/>
      <c r="F208" s="48"/>
      <c r="G208" s="48"/>
      <c r="H208" s="48"/>
      <c r="I208" s="48"/>
      <c r="J208" s="48"/>
      <c r="K208" s="48"/>
      <c r="L208" s="48"/>
      <c r="M208" s="48"/>
      <c r="N208" s="167"/>
      <c r="O208" s="168"/>
      <c r="P208" s="48"/>
    </row>
    <row r="209" spans="1:16" ht="15" x14ac:dyDescent="0.2">
      <c r="A209" s="230" t="s">
        <v>210</v>
      </c>
      <c r="B209" s="230"/>
      <c r="C209" s="230"/>
      <c r="D209" s="48"/>
      <c r="E209" s="48"/>
      <c r="F209" s="48"/>
      <c r="G209" s="48"/>
      <c r="H209" s="48"/>
      <c r="I209" s="48"/>
      <c r="J209" s="48"/>
      <c r="K209" s="48"/>
      <c r="L209" s="230" t="s">
        <v>213</v>
      </c>
      <c r="M209" s="230"/>
      <c r="N209" s="230"/>
      <c r="O209" s="230"/>
      <c r="P209" s="48"/>
    </row>
    <row r="210" spans="1:16" ht="15.75" x14ac:dyDescent="0.25">
      <c r="A210" s="231" t="s">
        <v>160</v>
      </c>
      <c r="B210" s="231"/>
      <c r="C210" s="231"/>
      <c r="D210" s="48"/>
      <c r="E210" s="48"/>
      <c r="F210" s="48"/>
      <c r="G210" s="48"/>
      <c r="H210" s="48"/>
      <c r="I210" s="48"/>
      <c r="J210" s="48"/>
      <c r="K210" s="48"/>
      <c r="L210" s="231" t="s">
        <v>160</v>
      </c>
      <c r="M210" s="231"/>
      <c r="N210" s="231"/>
      <c r="O210" s="231"/>
      <c r="P210" s="48"/>
    </row>
    <row r="211" spans="1:16" ht="18.75" x14ac:dyDescent="0.3">
      <c r="A211" s="89"/>
      <c r="B211" s="90"/>
      <c r="C211" s="88"/>
      <c r="D211" s="88"/>
      <c r="E211" s="88"/>
      <c r="F211" s="88"/>
      <c r="G211" s="88"/>
      <c r="H211" s="88"/>
      <c r="I211" s="88"/>
      <c r="J211" s="88"/>
      <c r="K211" s="88"/>
      <c r="L211" s="88"/>
      <c r="M211" s="88"/>
      <c r="N211" s="88"/>
      <c r="O211" s="88"/>
      <c r="P211" s="88"/>
    </row>
    <row r="212" spans="1:16" x14ac:dyDescent="0.2">
      <c r="A212" s="91"/>
      <c r="B212" s="92"/>
    </row>
  </sheetData>
  <mergeCells count="52">
    <mergeCell ref="A205:C205"/>
    <mergeCell ref="L205:O205"/>
    <mergeCell ref="A209:C209"/>
    <mergeCell ref="L209:O209"/>
    <mergeCell ref="A210:C210"/>
    <mergeCell ref="L210:O210"/>
    <mergeCell ref="L206:O206"/>
    <mergeCell ref="A178:D178"/>
    <mergeCell ref="A180:B180"/>
    <mergeCell ref="A181:B181"/>
    <mergeCell ref="A182:A185"/>
    <mergeCell ref="O182:Q182"/>
    <mergeCell ref="A123:D123"/>
    <mergeCell ref="A125:B125"/>
    <mergeCell ref="A126:B126"/>
    <mergeCell ref="J127:M127"/>
    <mergeCell ref="L128:M128"/>
    <mergeCell ref="A72:B72"/>
    <mergeCell ref="A73:B73"/>
    <mergeCell ref="C74:F74"/>
    <mergeCell ref="G74:J74"/>
    <mergeCell ref="F75:F76"/>
    <mergeCell ref="J75:J76"/>
    <mergeCell ref="K43:N43"/>
    <mergeCell ref="P43:P45"/>
    <mergeCell ref="Q43:Q45"/>
    <mergeCell ref="R43:R45"/>
    <mergeCell ref="S43:S45"/>
    <mergeCell ref="K44:K45"/>
    <mergeCell ref="L44:L45"/>
    <mergeCell ref="M44:M45"/>
    <mergeCell ref="N44:N45"/>
    <mergeCell ref="O44:O45"/>
    <mergeCell ref="A39:I39"/>
    <mergeCell ref="A41:B41"/>
    <mergeCell ref="A42:B42"/>
    <mergeCell ref="A43:A45"/>
    <mergeCell ref="B43:C43"/>
    <mergeCell ref="D43:D45"/>
    <mergeCell ref="E43:G43"/>
    <mergeCell ref="H43:J43"/>
    <mergeCell ref="E44:E45"/>
    <mergeCell ref="F44:F45"/>
    <mergeCell ref="G44:G45"/>
    <mergeCell ref="H44:H45"/>
    <mergeCell ref="I44:I45"/>
    <mergeCell ref="J44:J45"/>
    <mergeCell ref="A9:I9"/>
    <mergeCell ref="A13:B13"/>
    <mergeCell ref="A14:B14"/>
    <mergeCell ref="G15:I15"/>
    <mergeCell ref="A11:F11"/>
  </mergeCells>
  <printOptions horizontalCentered="1"/>
  <pageMargins left="0.39370078740157483" right="0.39370078740157483" top="0.94488188976377963" bottom="0.74803149606299213" header="0.31496062992125984" footer="0.51181102362204722"/>
  <pageSetup scale="33" fitToHeight="0" orientation="landscape" r:id="rId1"/>
  <ignoredErrors>
    <ignoredError sqref="Q186:Q188 G107 C107 D160" unlockedFormula="1"/>
    <ignoredError sqref="N104" 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J42"/>
  <sheetViews>
    <sheetView topLeftCell="A13" zoomScale="110" zoomScaleNormal="110" workbookViewId="0">
      <selection activeCell="E38" sqref="E38"/>
    </sheetView>
  </sheetViews>
  <sheetFormatPr baseColWidth="10" defaultColWidth="11.28515625" defaultRowHeight="12.75" x14ac:dyDescent="0.2"/>
  <cols>
    <col min="2" max="2" width="19.7109375" customWidth="1"/>
    <col min="3" max="3" width="15.5703125" customWidth="1"/>
    <col min="4" max="4" width="14.28515625" customWidth="1"/>
  </cols>
  <sheetData>
    <row r="1" spans="2:10" x14ac:dyDescent="0.2">
      <c r="B1" s="5" t="s">
        <v>161</v>
      </c>
      <c r="C1" s="5"/>
      <c r="D1" s="5"/>
    </row>
    <row r="2" spans="2:10" x14ac:dyDescent="0.2">
      <c r="B2" s="220" t="s">
        <v>232</v>
      </c>
      <c r="C2" s="220"/>
      <c r="D2" s="220"/>
      <c r="E2" s="220"/>
      <c r="F2" s="220"/>
      <c r="G2" s="220"/>
    </row>
    <row r="3" spans="2:10" x14ac:dyDescent="0.2">
      <c r="B3" s="5" t="s">
        <v>162</v>
      </c>
      <c r="C3" s="4" t="str">
        <f>Inventarios!C14</f>
        <v>ABRIL</v>
      </c>
      <c r="D3" s="5"/>
    </row>
    <row r="4" spans="2:10" x14ac:dyDescent="0.2">
      <c r="B4" s="5"/>
      <c r="C4" s="5"/>
      <c r="D4" s="5"/>
    </row>
    <row r="5" spans="2:10" x14ac:dyDescent="0.2">
      <c r="B5" s="93" t="s">
        <v>163</v>
      </c>
      <c r="C5" s="5"/>
      <c r="D5" s="5" t="s">
        <v>3</v>
      </c>
    </row>
    <row r="6" spans="2:10" x14ac:dyDescent="0.2">
      <c r="B6" s="93" t="s">
        <v>164</v>
      </c>
      <c r="C6" s="5"/>
      <c r="D6" s="5" t="str">
        <f>+C3</f>
        <v>ABRIL</v>
      </c>
    </row>
    <row r="7" spans="2:10" x14ac:dyDescent="0.2">
      <c r="B7" s="9" t="s">
        <v>165</v>
      </c>
      <c r="C7" s="9" t="s">
        <v>166</v>
      </c>
      <c r="D7" s="9" t="s">
        <v>9</v>
      </c>
    </row>
    <row r="8" spans="2:10" x14ac:dyDescent="0.2">
      <c r="B8" s="15" t="s">
        <v>167</v>
      </c>
      <c r="C8" s="15" t="s">
        <v>168</v>
      </c>
      <c r="D8" s="15" t="s">
        <v>169</v>
      </c>
      <c r="J8" s="169"/>
    </row>
    <row r="9" spans="2:10" x14ac:dyDescent="0.2">
      <c r="B9" s="37"/>
      <c r="C9" s="37"/>
      <c r="D9" s="36"/>
    </row>
    <row r="10" spans="2:10" x14ac:dyDescent="0.2">
      <c r="B10" s="94">
        <v>46135</v>
      </c>
      <c r="C10" s="94">
        <v>46122</v>
      </c>
      <c r="D10" s="95">
        <f>IF((+C10-B10)&lt;0,0,(+C10-B10))</f>
        <v>0</v>
      </c>
    </row>
    <row r="12" spans="2:10" x14ac:dyDescent="0.2">
      <c r="B12" s="220" t="s">
        <v>233</v>
      </c>
      <c r="C12" s="220"/>
      <c r="D12" s="220"/>
      <c r="E12" s="220"/>
      <c r="F12" s="220"/>
      <c r="G12" s="220"/>
    </row>
    <row r="13" spans="2:10" x14ac:dyDescent="0.2">
      <c r="B13" s="5" t="s">
        <v>170</v>
      </c>
      <c r="C13" s="5"/>
      <c r="D13" s="5"/>
    </row>
    <row r="14" spans="2:10" x14ac:dyDescent="0.2">
      <c r="B14" s="5" t="s">
        <v>171</v>
      </c>
      <c r="C14" s="5"/>
      <c r="D14" s="4" t="str">
        <f>+C3</f>
        <v>ABRIL</v>
      </c>
      <c r="J14" t="s">
        <v>53</v>
      </c>
    </row>
    <row r="15" spans="2:10" x14ac:dyDescent="0.2">
      <c r="B15" s="5"/>
      <c r="C15" s="5"/>
      <c r="D15" s="5"/>
    </row>
    <row r="16" spans="2:10" x14ac:dyDescent="0.2">
      <c r="B16" s="9" t="s">
        <v>165</v>
      </c>
      <c r="C16" s="9" t="s">
        <v>166</v>
      </c>
      <c r="D16" s="9" t="s">
        <v>9</v>
      </c>
    </row>
    <row r="17" spans="1:7" x14ac:dyDescent="0.2">
      <c r="B17" s="15" t="s">
        <v>167</v>
      </c>
      <c r="C17" s="15" t="s">
        <v>168</v>
      </c>
      <c r="D17" s="15" t="s">
        <v>169</v>
      </c>
    </row>
    <row r="18" spans="1:7" x14ac:dyDescent="0.2">
      <c r="B18" s="37"/>
      <c r="C18" s="37"/>
      <c r="D18" s="36"/>
    </row>
    <row r="19" spans="1:7" x14ac:dyDescent="0.2">
      <c r="B19" s="94">
        <v>46135</v>
      </c>
      <c r="C19" s="94">
        <v>46131</v>
      </c>
      <c r="D19" s="95">
        <f>IF((+C19-B19)&lt;0,0,(+C19-B19))</f>
        <v>0</v>
      </c>
    </row>
    <row r="21" spans="1:7" x14ac:dyDescent="0.2">
      <c r="A21" s="219" t="s">
        <v>172</v>
      </c>
      <c r="B21" s="219"/>
      <c r="C21" s="219"/>
      <c r="D21" s="219"/>
      <c r="E21" s="219"/>
    </row>
    <row r="23" spans="1:7" x14ac:dyDescent="0.2">
      <c r="B23" s="195" t="s">
        <v>237</v>
      </c>
      <c r="C23" s="96"/>
      <c r="D23" s="38">
        <f>Inventarios!C107</f>
        <v>1047384</v>
      </c>
      <c r="G23" s="22"/>
    </row>
    <row r="24" spans="1:7" x14ac:dyDescent="0.2">
      <c r="B24" s="97" t="s">
        <v>173</v>
      </c>
      <c r="C24" s="39"/>
      <c r="D24" s="38">
        <f>+Inventarios!G107</f>
        <v>918072</v>
      </c>
    </row>
    <row r="25" spans="1:7" x14ac:dyDescent="0.2">
      <c r="B25" s="33" t="s">
        <v>174</v>
      </c>
      <c r="C25" s="86"/>
      <c r="D25" s="98">
        <f>+D23-D24</f>
        <v>129312</v>
      </c>
    </row>
    <row r="28" spans="1:7" x14ac:dyDescent="0.2">
      <c r="B28" s="5" t="s">
        <v>175</v>
      </c>
    </row>
    <row r="29" spans="1:7" x14ac:dyDescent="0.2">
      <c r="B29" s="5" t="s">
        <v>176</v>
      </c>
      <c r="C29" s="99" t="s">
        <v>256</v>
      </c>
      <c r="D29" s="100">
        <v>2026</v>
      </c>
      <c r="E29" s="59"/>
    </row>
    <row r="30" spans="1:7" x14ac:dyDescent="0.2">
      <c r="B30" s="101"/>
      <c r="C30" s="101"/>
      <c r="D30" s="101"/>
      <c r="E30" s="101"/>
    </row>
    <row r="31" spans="1:7" x14ac:dyDescent="0.2">
      <c r="B31" s="102" t="s">
        <v>64</v>
      </c>
      <c r="C31" s="103" t="s">
        <v>177</v>
      </c>
      <c r="D31" s="232" t="s">
        <v>10</v>
      </c>
      <c r="E31" s="232"/>
    </row>
    <row r="32" spans="1:7" x14ac:dyDescent="0.2">
      <c r="B32" s="104" t="s">
        <v>23</v>
      </c>
      <c r="C32" s="104" t="s">
        <v>178</v>
      </c>
      <c r="D32" s="233" t="s">
        <v>179</v>
      </c>
      <c r="E32" s="233"/>
    </row>
    <row r="33" spans="2:7" x14ac:dyDescent="0.2">
      <c r="B33" s="105"/>
      <c r="C33" s="105" t="s">
        <v>180</v>
      </c>
      <c r="D33" s="106" t="s">
        <v>26</v>
      </c>
      <c r="E33" s="106" t="s">
        <v>181</v>
      </c>
    </row>
    <row r="34" spans="2:7" x14ac:dyDescent="0.2">
      <c r="B34" s="107" t="s">
        <v>29</v>
      </c>
      <c r="C34" s="94">
        <v>46122</v>
      </c>
      <c r="D34" s="108">
        <f>E34*72</f>
        <v>325368</v>
      </c>
      <c r="E34" s="109">
        <v>4519</v>
      </c>
      <c r="F34" s="22"/>
    </row>
    <row r="35" spans="2:7" x14ac:dyDescent="0.2">
      <c r="B35" s="110" t="s">
        <v>30</v>
      </c>
      <c r="C35" s="94">
        <v>46122</v>
      </c>
      <c r="D35" s="108">
        <f>E35*72</f>
        <v>340920</v>
      </c>
      <c r="E35" s="109">
        <v>4735</v>
      </c>
      <c r="F35" s="22"/>
    </row>
    <row r="36" spans="2:7" x14ac:dyDescent="0.2">
      <c r="B36" s="110" t="s">
        <v>3</v>
      </c>
      <c r="C36" s="94">
        <v>46122</v>
      </c>
      <c r="D36" s="108">
        <f>E36*72</f>
        <v>255960</v>
      </c>
      <c r="E36" s="109">
        <v>3555</v>
      </c>
      <c r="F36" s="22"/>
    </row>
    <row r="37" spans="2:7" x14ac:dyDescent="0.2">
      <c r="C37" s="111"/>
    </row>
    <row r="38" spans="2:7" x14ac:dyDescent="0.2">
      <c r="B38" s="6" t="s">
        <v>21</v>
      </c>
      <c r="C38" s="5"/>
      <c r="D38" s="98">
        <f>SUM(D34:D36)</f>
        <v>922248</v>
      </c>
      <c r="E38" s="98">
        <f>SUM(E34:E36)</f>
        <v>12809</v>
      </c>
      <c r="F38" s="22"/>
      <c r="G38" s="22"/>
    </row>
    <row r="40" spans="2:7" x14ac:dyDescent="0.2">
      <c r="E40" s="22"/>
    </row>
    <row r="42" spans="2:7" x14ac:dyDescent="0.2">
      <c r="E42" s="22"/>
    </row>
  </sheetData>
  <mergeCells count="5">
    <mergeCell ref="A21:E21"/>
    <mergeCell ref="D31:E31"/>
    <mergeCell ref="D32:E32"/>
    <mergeCell ref="B2:G2"/>
    <mergeCell ref="B12:G12"/>
  </mergeCells>
  <pageMargins left="0.23622047244094491" right="0.23622047244094491" top="0.74803149606299213" bottom="0.74803149606299213" header="0.51181102362204722" footer="0.51181102362204722"/>
  <pageSetup orientation="landscape" r:id="rId1"/>
  <ignoredErrors>
    <ignoredError sqref="C3 D14"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J31"/>
  <sheetViews>
    <sheetView topLeftCell="A2" zoomScale="110" zoomScaleNormal="110" workbookViewId="0">
      <selection activeCell="D39" sqref="D38:D39"/>
    </sheetView>
  </sheetViews>
  <sheetFormatPr baseColWidth="10" defaultColWidth="11.28515625" defaultRowHeight="12.75" x14ac:dyDescent="0.2"/>
  <cols>
    <col min="1" max="1" width="16.28515625" customWidth="1"/>
    <col min="2" max="5" width="12.7109375" customWidth="1"/>
    <col min="6" max="9" width="11.7109375" customWidth="1"/>
    <col min="10" max="10" width="16" customWidth="1"/>
  </cols>
  <sheetData>
    <row r="1" spans="1:10" x14ac:dyDescent="0.2">
      <c r="A1" s="194" t="s">
        <v>231</v>
      </c>
    </row>
    <row r="2" spans="1:10" x14ac:dyDescent="0.2">
      <c r="A2" s="5"/>
    </row>
    <row r="4" spans="1:10" x14ac:dyDescent="0.2">
      <c r="A4" s="5" t="s">
        <v>182</v>
      </c>
    </row>
    <row r="5" spans="1:10" x14ac:dyDescent="0.2">
      <c r="A5" s="5" t="s">
        <v>183</v>
      </c>
      <c r="C5" s="7" t="str">
        <f>+Fechas!C3</f>
        <v>ABRIL</v>
      </c>
    </row>
    <row r="6" spans="1:10" x14ac:dyDescent="0.2">
      <c r="A6" s="9" t="s">
        <v>184</v>
      </c>
      <c r="B6" s="225" t="s">
        <v>185</v>
      </c>
      <c r="C6" s="225"/>
      <c r="D6" s="225"/>
      <c r="E6" s="225"/>
      <c r="F6" s="225" t="s">
        <v>186</v>
      </c>
      <c r="G6" s="225"/>
      <c r="H6" s="225"/>
      <c r="I6" s="225"/>
      <c r="J6" s="9" t="s">
        <v>184</v>
      </c>
    </row>
    <row r="7" spans="1:10" x14ac:dyDescent="0.2">
      <c r="A7" s="13" t="s">
        <v>187</v>
      </c>
      <c r="B7" s="9" t="s">
        <v>188</v>
      </c>
      <c r="C7" s="9" t="s">
        <v>189</v>
      </c>
      <c r="D7" s="9" t="s">
        <v>190</v>
      </c>
      <c r="E7" s="9" t="s">
        <v>191</v>
      </c>
      <c r="F7" s="9" t="s">
        <v>192</v>
      </c>
      <c r="G7" s="9" t="s">
        <v>193</v>
      </c>
      <c r="H7" s="9" t="s">
        <v>190</v>
      </c>
      <c r="I7" s="9" t="s">
        <v>191</v>
      </c>
      <c r="J7" s="13" t="s">
        <v>194</v>
      </c>
    </row>
    <row r="8" spans="1:10" x14ac:dyDescent="0.2">
      <c r="A8" s="15"/>
      <c r="B8" s="15"/>
      <c r="C8" s="15"/>
      <c r="D8" s="15" t="s">
        <v>195</v>
      </c>
      <c r="E8" s="15"/>
      <c r="F8" s="15"/>
      <c r="G8" s="15"/>
      <c r="H8" s="15" t="s">
        <v>195</v>
      </c>
      <c r="I8" s="15"/>
      <c r="J8" s="15"/>
    </row>
    <row r="9" spans="1:10" x14ac:dyDescent="0.2">
      <c r="A9" s="112"/>
      <c r="B9" s="112"/>
      <c r="C9" s="112"/>
      <c r="D9" s="112"/>
      <c r="E9" s="113"/>
      <c r="F9" s="112"/>
      <c r="G9" s="112"/>
      <c r="H9" s="112"/>
      <c r="I9" s="113"/>
      <c r="J9" s="113"/>
    </row>
    <row r="10" spans="1:10" x14ac:dyDescent="0.2">
      <c r="A10" s="114">
        <v>630</v>
      </c>
      <c r="B10" s="115">
        <v>2</v>
      </c>
      <c r="C10" s="116">
        <v>0</v>
      </c>
      <c r="D10" s="116">
        <v>0</v>
      </c>
      <c r="E10" s="117">
        <f>+B10+C10+D10</f>
        <v>2</v>
      </c>
      <c r="F10" s="115">
        <v>0</v>
      </c>
      <c r="G10" s="116">
        <v>0</v>
      </c>
      <c r="H10" s="116">
        <v>0</v>
      </c>
      <c r="I10" s="117">
        <f>+F10+G10+H10</f>
        <v>0</v>
      </c>
      <c r="J10" s="117">
        <v>714</v>
      </c>
    </row>
    <row r="11" spans="1:10" x14ac:dyDescent="0.2">
      <c r="A11" s="42"/>
      <c r="B11" s="42"/>
      <c r="C11" s="42"/>
      <c r="D11" s="42"/>
      <c r="E11" s="95"/>
      <c r="F11" s="42"/>
      <c r="G11" s="42"/>
      <c r="H11" s="42"/>
      <c r="I11" s="95"/>
      <c r="J11" s="95"/>
    </row>
    <row r="13" spans="1:10" x14ac:dyDescent="0.2">
      <c r="A13" s="5" t="s">
        <v>32</v>
      </c>
    </row>
    <row r="14" spans="1:10" x14ac:dyDescent="0.2">
      <c r="A14" s="25"/>
      <c r="B14" s="25"/>
      <c r="C14" s="25"/>
      <c r="D14" s="25"/>
      <c r="E14" s="25"/>
      <c r="F14" s="25"/>
      <c r="G14" s="25"/>
      <c r="H14" s="25"/>
      <c r="I14" s="25"/>
      <c r="J14" s="25"/>
    </row>
    <row r="15" spans="1:10" x14ac:dyDescent="0.2">
      <c r="A15" s="25"/>
      <c r="B15" s="25"/>
      <c r="C15" s="25"/>
      <c r="D15" s="25"/>
      <c r="E15" s="25"/>
      <c r="F15" s="25"/>
      <c r="G15" s="25"/>
      <c r="H15" s="25"/>
      <c r="I15" s="25"/>
      <c r="J15" s="25"/>
    </row>
    <row r="16" spans="1:10" x14ac:dyDescent="0.2">
      <c r="A16" s="25"/>
      <c r="B16" s="25"/>
      <c r="C16" s="25"/>
      <c r="D16" s="25"/>
      <c r="E16" s="25"/>
      <c r="F16" s="25"/>
      <c r="G16" s="25"/>
      <c r="H16" s="25"/>
      <c r="I16" s="25"/>
      <c r="J16" s="25"/>
    </row>
    <row r="17" spans="1:10" x14ac:dyDescent="0.2">
      <c r="A17" s="25"/>
      <c r="B17" s="25"/>
      <c r="C17" s="25"/>
      <c r="D17" s="25"/>
      <c r="E17" s="25"/>
      <c r="F17" s="25"/>
      <c r="G17" s="25"/>
      <c r="H17" s="25"/>
      <c r="I17" s="25"/>
      <c r="J17" s="25"/>
    </row>
    <row r="18" spans="1:10" x14ac:dyDescent="0.2">
      <c r="A18" s="25"/>
      <c r="B18" s="25"/>
      <c r="C18" s="25"/>
      <c r="D18" s="25"/>
      <c r="E18" s="25"/>
      <c r="F18" s="25"/>
      <c r="G18" s="25"/>
      <c r="H18" s="25"/>
      <c r="I18" s="25"/>
      <c r="J18" s="25"/>
    </row>
    <row r="19" spans="1:10" x14ac:dyDescent="0.2">
      <c r="A19" s="25"/>
      <c r="B19" s="25"/>
      <c r="C19" s="25"/>
      <c r="D19" s="25"/>
      <c r="E19" s="25"/>
      <c r="F19" s="25"/>
      <c r="G19" s="25"/>
      <c r="H19" s="25"/>
      <c r="I19" s="25"/>
      <c r="J19" s="25"/>
    </row>
    <row r="24" spans="1:10" x14ac:dyDescent="0.2">
      <c r="G24" s="163"/>
    </row>
    <row r="26" spans="1:10" x14ac:dyDescent="0.2">
      <c r="G26" s="163"/>
    </row>
    <row r="29" spans="1:10" x14ac:dyDescent="0.2">
      <c r="G29" s="163"/>
    </row>
    <row r="31" spans="1:10" x14ac:dyDescent="0.2">
      <c r="G31" s="163"/>
    </row>
  </sheetData>
  <mergeCells count="2">
    <mergeCell ref="B6:E6"/>
    <mergeCell ref="F6:I6"/>
  </mergeCells>
  <printOptions horizontalCentered="1"/>
  <pageMargins left="0.23622047244094491" right="0.23622047244094491" top="0.78740157480314965" bottom="0.74803149606299213" header="0.51181102362204722" footer="0.51181102362204722"/>
  <pageSetup scale="9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J720"/>
  <sheetViews>
    <sheetView tabSelected="1" view="pageBreakPreview" zoomScale="60" zoomScaleNormal="85" workbookViewId="0">
      <pane xSplit="3" ySplit="5" topLeftCell="D25" activePane="bottomRight" state="frozen"/>
      <selection activeCell="D168" sqref="D168"/>
      <selection pane="topRight" activeCell="D168" sqref="D168"/>
      <selection pane="bottomLeft" activeCell="D168" sqref="D168"/>
      <selection pane="bottomRight" activeCell="G27" sqref="G27"/>
    </sheetView>
  </sheetViews>
  <sheetFormatPr baseColWidth="10" defaultColWidth="11.42578125" defaultRowHeight="12.75" x14ac:dyDescent="0.2"/>
  <cols>
    <col min="1" max="1" width="3.7109375" style="101" customWidth="1"/>
    <col min="2" max="2" width="15.7109375" style="118" customWidth="1"/>
    <col min="3" max="3" width="0.140625" style="101" customWidth="1"/>
    <col min="4" max="4" width="15.28515625" style="119" customWidth="1"/>
    <col min="5" max="5" width="48.42578125" style="119" customWidth="1"/>
    <col min="6" max="6" width="17.5703125" style="101" hidden="1" customWidth="1"/>
    <col min="7" max="7" width="23.85546875" style="101" customWidth="1"/>
    <col min="8" max="8" width="25.140625" style="101" customWidth="1"/>
    <col min="9" max="9" width="18.7109375" style="101" customWidth="1"/>
    <col min="10" max="10" width="22.42578125" style="101" customWidth="1"/>
    <col min="11" max="1024" width="11.42578125" style="101"/>
  </cols>
  <sheetData>
    <row r="1" spans="1:14" ht="15.75" customHeight="1" x14ac:dyDescent="0.25">
      <c r="A1" s="120"/>
    </row>
    <row r="2" spans="1:14" ht="14.25" customHeight="1" x14ac:dyDescent="0.2">
      <c r="B2" s="121" t="s">
        <v>221</v>
      </c>
    </row>
    <row r="3" spans="1:14" ht="14.25" customHeight="1" x14ac:dyDescent="0.2">
      <c r="B3" s="122"/>
    </row>
    <row r="4" spans="1:14" ht="42" customHeight="1" thickBot="1" x14ac:dyDescent="0.3">
      <c r="A4" s="123"/>
      <c r="B4" s="124" t="s">
        <v>196</v>
      </c>
      <c r="C4" s="212" t="s">
        <v>197</v>
      </c>
      <c r="D4" s="212"/>
      <c r="E4" s="212"/>
      <c r="F4" s="212" t="s">
        <v>198</v>
      </c>
      <c r="G4" s="212"/>
      <c r="H4" s="212"/>
      <c r="I4" s="125" t="s">
        <v>199</v>
      </c>
      <c r="K4" s="126"/>
      <c r="L4" s="126"/>
      <c r="M4" s="126"/>
      <c r="N4" s="126"/>
    </row>
    <row r="5" spans="1:14" ht="14.25" hidden="1" customHeight="1" x14ac:dyDescent="0.2">
      <c r="B5" s="127"/>
      <c r="D5" s="128"/>
      <c r="E5" s="128"/>
      <c r="F5" s="129"/>
      <c r="G5" s="129"/>
      <c r="H5" s="129"/>
      <c r="I5" s="130"/>
      <c r="K5" s="126"/>
      <c r="L5" s="126"/>
      <c r="M5" s="126"/>
      <c r="N5" s="126"/>
    </row>
    <row r="6" spans="1:14" s="101" customFormat="1" ht="102.75" customHeight="1" thickBot="1" x14ac:dyDescent="0.3">
      <c r="B6" s="210">
        <v>1</v>
      </c>
      <c r="C6" s="131"/>
      <c r="D6" s="213" t="s">
        <v>281</v>
      </c>
      <c r="E6" s="214"/>
      <c r="F6" s="131"/>
      <c r="G6" s="132" t="s">
        <v>226</v>
      </c>
      <c r="H6" s="133" t="s">
        <v>227</v>
      </c>
      <c r="I6" s="134">
        <v>46157</v>
      </c>
      <c r="J6" s="209"/>
      <c r="K6" s="209"/>
      <c r="L6" s="211"/>
      <c r="M6" s="211"/>
    </row>
    <row r="7" spans="1:14" s="101" customFormat="1" ht="111.75" customHeight="1" thickBot="1" x14ac:dyDescent="0.3">
      <c r="B7" s="210">
        <v>2</v>
      </c>
      <c r="C7" s="131"/>
      <c r="D7" s="213" t="s">
        <v>273</v>
      </c>
      <c r="E7" s="214"/>
      <c r="F7" s="131"/>
      <c r="G7" s="132" t="s">
        <v>226</v>
      </c>
      <c r="H7" s="133" t="s">
        <v>227</v>
      </c>
      <c r="I7" s="134">
        <v>46157</v>
      </c>
      <c r="J7" s="209"/>
      <c r="K7" s="209"/>
      <c r="L7" s="211"/>
      <c r="M7" s="211"/>
      <c r="N7" s="126"/>
    </row>
    <row r="8" spans="1:14" s="101" customFormat="1" ht="93.75" customHeight="1" thickBot="1" x14ac:dyDescent="0.3">
      <c r="B8" s="210">
        <v>3</v>
      </c>
      <c r="C8" s="208"/>
      <c r="D8" s="213" t="s">
        <v>270</v>
      </c>
      <c r="E8" s="214"/>
      <c r="F8" s="131"/>
      <c r="G8" s="132" t="s">
        <v>226</v>
      </c>
      <c r="H8" s="133" t="s">
        <v>227</v>
      </c>
      <c r="I8" s="134">
        <v>46157</v>
      </c>
      <c r="J8" s="209"/>
      <c r="K8" s="209"/>
      <c r="L8" s="211"/>
      <c r="M8" s="211"/>
      <c r="N8" s="126"/>
    </row>
    <row r="9" spans="1:14" s="101" customFormat="1" ht="84.95" customHeight="1" thickBot="1" x14ac:dyDescent="0.3">
      <c r="B9" s="210">
        <v>4</v>
      </c>
      <c r="C9" s="208"/>
      <c r="D9" s="213" t="s">
        <v>257</v>
      </c>
      <c r="E9" s="214"/>
      <c r="F9" s="131"/>
      <c r="G9" s="132" t="s">
        <v>226</v>
      </c>
      <c r="H9" s="133" t="s">
        <v>227</v>
      </c>
      <c r="I9" s="134">
        <v>46157</v>
      </c>
      <c r="J9" s="209"/>
      <c r="K9" s="209"/>
      <c r="L9" s="211"/>
      <c r="M9" s="211"/>
      <c r="N9" s="126"/>
    </row>
    <row r="10" spans="1:14" s="101" customFormat="1" ht="84.95" customHeight="1" thickBot="1" x14ac:dyDescent="0.3">
      <c r="B10" s="210">
        <v>5</v>
      </c>
      <c r="C10" s="208"/>
      <c r="D10" s="213" t="s">
        <v>258</v>
      </c>
      <c r="E10" s="214"/>
      <c r="F10" s="131"/>
      <c r="G10" s="132" t="s">
        <v>226</v>
      </c>
      <c r="H10" s="133" t="s">
        <v>227</v>
      </c>
      <c r="I10" s="134">
        <v>46157</v>
      </c>
      <c r="J10" s="209"/>
      <c r="K10" s="209"/>
      <c r="L10" s="211"/>
      <c r="M10" s="211"/>
      <c r="N10" s="126"/>
    </row>
    <row r="11" spans="1:14" s="101" customFormat="1" ht="84.95" customHeight="1" thickBot="1" x14ac:dyDescent="0.3">
      <c r="B11" s="210">
        <v>6</v>
      </c>
      <c r="C11" s="131"/>
      <c r="D11" s="213" t="s">
        <v>261</v>
      </c>
      <c r="E11" s="214"/>
      <c r="F11" s="131"/>
      <c r="G11" s="132" t="s">
        <v>226</v>
      </c>
      <c r="H11" s="133" t="s">
        <v>227</v>
      </c>
      <c r="I11" s="134">
        <v>46157</v>
      </c>
      <c r="J11" s="209"/>
      <c r="K11" s="209"/>
      <c r="L11" s="211"/>
      <c r="M11" s="211"/>
      <c r="N11" s="126"/>
    </row>
    <row r="12" spans="1:14" s="101" customFormat="1" ht="84.95" customHeight="1" thickBot="1" x14ac:dyDescent="0.3">
      <c r="B12" s="210">
        <v>7</v>
      </c>
      <c r="C12" s="131"/>
      <c r="D12" s="213" t="s">
        <v>259</v>
      </c>
      <c r="E12" s="214"/>
      <c r="F12" s="131"/>
      <c r="G12" s="132" t="s">
        <v>226</v>
      </c>
      <c r="H12" s="133" t="s">
        <v>227</v>
      </c>
      <c r="I12" s="134">
        <v>46157</v>
      </c>
      <c r="J12" s="209"/>
      <c r="K12" s="209"/>
      <c r="L12" s="211"/>
      <c r="M12" s="211"/>
      <c r="N12" s="126"/>
    </row>
    <row r="13" spans="1:14" s="101" customFormat="1" ht="84.95" customHeight="1" thickBot="1" x14ac:dyDescent="0.3">
      <c r="B13" s="210">
        <v>8</v>
      </c>
      <c r="C13" s="208"/>
      <c r="D13" s="213" t="s">
        <v>260</v>
      </c>
      <c r="E13" s="214"/>
      <c r="F13" s="131"/>
      <c r="G13" s="132" t="s">
        <v>226</v>
      </c>
      <c r="H13" s="133" t="s">
        <v>227</v>
      </c>
      <c r="I13" s="134">
        <v>46157</v>
      </c>
      <c r="J13" s="209"/>
      <c r="K13" s="209"/>
      <c r="L13" s="211"/>
      <c r="M13" s="211"/>
      <c r="N13" s="126"/>
    </row>
    <row r="14" spans="1:14" s="101" customFormat="1" ht="84.95" customHeight="1" thickBot="1" x14ac:dyDescent="0.3">
      <c r="B14" s="210">
        <v>9</v>
      </c>
      <c r="C14" s="131"/>
      <c r="D14" s="213" t="s">
        <v>263</v>
      </c>
      <c r="E14" s="214"/>
      <c r="F14" s="131"/>
      <c r="G14" s="132" t="s">
        <v>226</v>
      </c>
      <c r="H14" s="133" t="s">
        <v>227</v>
      </c>
      <c r="I14" s="134">
        <v>46157</v>
      </c>
      <c r="J14" s="209"/>
      <c r="K14" s="209"/>
      <c r="L14" s="211"/>
      <c r="M14" s="211"/>
      <c r="N14" s="126"/>
    </row>
    <row r="15" spans="1:14" s="101" customFormat="1" ht="84.95" customHeight="1" thickBot="1" x14ac:dyDescent="0.3">
      <c r="B15" s="210">
        <v>10</v>
      </c>
      <c r="C15" s="131"/>
      <c r="D15" s="213" t="s">
        <v>262</v>
      </c>
      <c r="E15" s="214"/>
      <c r="F15" s="131"/>
      <c r="G15" s="132" t="s">
        <v>226</v>
      </c>
      <c r="H15" s="133" t="s">
        <v>227</v>
      </c>
      <c r="I15" s="134">
        <v>46157</v>
      </c>
      <c r="J15" s="209"/>
      <c r="K15" s="209"/>
      <c r="L15" s="211"/>
      <c r="M15" s="211"/>
      <c r="N15" s="126"/>
    </row>
    <row r="16" spans="1:14" s="101" customFormat="1" ht="84.95" customHeight="1" thickBot="1" x14ac:dyDescent="0.3">
      <c r="B16" s="210">
        <v>11</v>
      </c>
      <c r="C16" s="208"/>
      <c r="D16" s="213" t="s">
        <v>264</v>
      </c>
      <c r="E16" s="214"/>
      <c r="F16" s="131"/>
      <c r="G16" s="132" t="s">
        <v>226</v>
      </c>
      <c r="H16" s="133" t="s">
        <v>227</v>
      </c>
      <c r="I16" s="134">
        <v>46157</v>
      </c>
      <c r="J16" s="209"/>
      <c r="K16" s="209"/>
      <c r="L16" s="211"/>
      <c r="M16" s="211"/>
      <c r="N16" s="126"/>
    </row>
    <row r="17" spans="2:14" s="101" customFormat="1" ht="84.95" customHeight="1" thickBot="1" x14ac:dyDescent="0.3">
      <c r="B17" s="210">
        <v>12</v>
      </c>
      <c r="C17" s="131"/>
      <c r="D17" s="213" t="s">
        <v>265</v>
      </c>
      <c r="E17" s="214"/>
      <c r="F17" s="131"/>
      <c r="G17" s="132" t="s">
        <v>226</v>
      </c>
      <c r="H17" s="133" t="s">
        <v>227</v>
      </c>
      <c r="I17" s="134">
        <v>46157</v>
      </c>
      <c r="J17" s="209"/>
      <c r="K17" s="209"/>
      <c r="L17" s="211"/>
      <c r="M17" s="211"/>
      <c r="N17" s="126"/>
    </row>
    <row r="18" spans="2:14" s="101" customFormat="1" ht="84.95" customHeight="1" thickBot="1" x14ac:dyDescent="0.3">
      <c r="B18" s="210">
        <v>13</v>
      </c>
      <c r="C18" s="131"/>
      <c r="D18" s="213" t="s">
        <v>266</v>
      </c>
      <c r="E18" s="214"/>
      <c r="F18" s="131"/>
      <c r="G18" s="132" t="s">
        <v>226</v>
      </c>
      <c r="H18" s="133" t="s">
        <v>227</v>
      </c>
      <c r="I18" s="134">
        <v>46157</v>
      </c>
      <c r="J18" s="209"/>
      <c r="K18" s="209"/>
      <c r="L18" s="211"/>
      <c r="M18" s="211"/>
      <c r="N18" s="126"/>
    </row>
    <row r="19" spans="2:14" s="101" customFormat="1" ht="84.95" customHeight="1" thickBot="1" x14ac:dyDescent="0.3">
      <c r="B19" s="210">
        <v>14</v>
      </c>
      <c r="C19" s="131"/>
      <c r="D19" s="213" t="s">
        <v>267</v>
      </c>
      <c r="E19" s="214"/>
      <c r="F19" s="131"/>
      <c r="G19" s="132" t="s">
        <v>226</v>
      </c>
      <c r="H19" s="133" t="s">
        <v>227</v>
      </c>
      <c r="I19" s="134">
        <v>46157</v>
      </c>
      <c r="J19" s="209"/>
      <c r="K19" s="209"/>
      <c r="L19" s="211"/>
      <c r="M19" s="211"/>
      <c r="N19" s="126"/>
    </row>
    <row r="20" spans="2:14" s="101" customFormat="1" ht="102.75" customHeight="1" thickBot="1" x14ac:dyDescent="0.3">
      <c r="B20" s="210">
        <v>15</v>
      </c>
      <c r="C20" s="131"/>
      <c r="D20" s="213" t="s">
        <v>280</v>
      </c>
      <c r="E20" s="214"/>
      <c r="F20" s="131"/>
      <c r="G20" s="132" t="s">
        <v>226</v>
      </c>
      <c r="H20" s="133" t="s">
        <v>227</v>
      </c>
      <c r="I20" s="134">
        <v>46157</v>
      </c>
      <c r="J20" s="209"/>
      <c r="K20" s="209"/>
      <c r="L20" s="211"/>
      <c r="M20" s="211"/>
      <c r="N20" s="126"/>
    </row>
    <row r="21" spans="2:14" s="101" customFormat="1" ht="101.25" customHeight="1" thickBot="1" x14ac:dyDescent="0.3">
      <c r="B21" s="210">
        <v>16</v>
      </c>
      <c r="C21" s="131"/>
      <c r="D21" s="213" t="s">
        <v>279</v>
      </c>
      <c r="E21" s="214"/>
      <c r="F21" s="131"/>
      <c r="G21" s="132" t="s">
        <v>226</v>
      </c>
      <c r="H21" s="133" t="s">
        <v>227</v>
      </c>
      <c r="I21" s="134">
        <v>46157</v>
      </c>
      <c r="J21" s="209"/>
      <c r="K21" s="209"/>
      <c r="L21" s="211"/>
      <c r="M21" s="211"/>
      <c r="N21" s="126"/>
    </row>
    <row r="22" spans="2:14" s="101" customFormat="1" ht="100.5" customHeight="1" thickBot="1" x14ac:dyDescent="0.3">
      <c r="B22" s="210">
        <v>17</v>
      </c>
      <c r="C22" s="131"/>
      <c r="D22" s="213" t="s">
        <v>278</v>
      </c>
      <c r="E22" s="214"/>
      <c r="F22" s="131"/>
      <c r="G22" s="132" t="s">
        <v>226</v>
      </c>
      <c r="H22" s="133" t="s">
        <v>227</v>
      </c>
      <c r="I22" s="134">
        <v>46157</v>
      </c>
      <c r="J22" s="209"/>
      <c r="K22" s="209"/>
      <c r="L22" s="211"/>
      <c r="M22" s="211"/>
      <c r="N22" s="126"/>
    </row>
    <row r="23" spans="2:14" s="101" customFormat="1" ht="102.75" customHeight="1" thickBot="1" x14ac:dyDescent="0.3">
      <c r="B23" s="210">
        <v>18</v>
      </c>
      <c r="C23" s="131"/>
      <c r="D23" s="213" t="s">
        <v>277</v>
      </c>
      <c r="E23" s="214"/>
      <c r="F23" s="131"/>
      <c r="G23" s="132" t="s">
        <v>226</v>
      </c>
      <c r="H23" s="133" t="s">
        <v>227</v>
      </c>
      <c r="I23" s="134">
        <v>46157</v>
      </c>
      <c r="J23" s="209"/>
      <c r="K23" s="209"/>
      <c r="L23" s="211"/>
      <c r="M23" s="211"/>
      <c r="N23" s="126"/>
    </row>
    <row r="24" spans="2:14" s="101" customFormat="1" ht="102.75" customHeight="1" thickBot="1" x14ac:dyDescent="0.3">
      <c r="B24" s="210">
        <v>19</v>
      </c>
      <c r="C24" s="131"/>
      <c r="D24" s="213" t="s">
        <v>276</v>
      </c>
      <c r="E24" s="214"/>
      <c r="F24" s="131"/>
      <c r="G24" s="132" t="s">
        <v>226</v>
      </c>
      <c r="H24" s="133" t="s">
        <v>227</v>
      </c>
      <c r="I24" s="134">
        <v>46157</v>
      </c>
      <c r="J24" s="209"/>
      <c r="K24" s="209"/>
      <c r="L24" s="211"/>
      <c r="M24" s="211"/>
      <c r="N24" s="126"/>
    </row>
    <row r="25" spans="2:14" s="101" customFormat="1" ht="101.25" customHeight="1" thickBot="1" x14ac:dyDescent="0.3">
      <c r="B25" s="210">
        <v>20</v>
      </c>
      <c r="C25" s="131"/>
      <c r="D25" s="213" t="s">
        <v>275</v>
      </c>
      <c r="E25" s="214"/>
      <c r="F25" s="131"/>
      <c r="G25" s="132" t="s">
        <v>226</v>
      </c>
      <c r="H25" s="133" t="s">
        <v>227</v>
      </c>
      <c r="I25" s="134">
        <v>46157</v>
      </c>
      <c r="J25" s="209"/>
      <c r="K25" s="209"/>
      <c r="L25" s="211"/>
      <c r="M25" s="211"/>
      <c r="N25" s="126"/>
    </row>
    <row r="26" spans="2:14" s="101" customFormat="1" ht="90.75" customHeight="1" thickBot="1" x14ac:dyDescent="0.3">
      <c r="B26" s="210">
        <v>21</v>
      </c>
      <c r="C26" s="208"/>
      <c r="D26" s="213" t="s">
        <v>271</v>
      </c>
      <c r="E26" s="214"/>
      <c r="F26" s="131"/>
      <c r="G26" s="132" t="s">
        <v>226</v>
      </c>
      <c r="H26" s="133" t="s">
        <v>227</v>
      </c>
      <c r="I26" s="134">
        <v>46157</v>
      </c>
      <c r="J26" s="209"/>
      <c r="K26" s="209"/>
      <c r="L26" s="211"/>
      <c r="M26" s="211"/>
      <c r="N26" s="126"/>
    </row>
    <row r="27" spans="2:14" s="101" customFormat="1" ht="96.75" customHeight="1" thickBot="1" x14ac:dyDescent="0.3">
      <c r="B27" s="210">
        <v>22</v>
      </c>
      <c r="C27" s="208"/>
      <c r="D27" s="213" t="s">
        <v>274</v>
      </c>
      <c r="E27" s="214"/>
      <c r="F27" s="131"/>
      <c r="G27" s="132" t="s">
        <v>226</v>
      </c>
      <c r="H27" s="133" t="s">
        <v>227</v>
      </c>
      <c r="I27" s="134">
        <v>46157</v>
      </c>
      <c r="J27" s="209"/>
      <c r="K27" s="209"/>
      <c r="L27" s="211"/>
      <c r="M27" s="211"/>
      <c r="N27" s="126"/>
    </row>
    <row r="28" spans="2:14" s="101" customFormat="1" ht="117.75" customHeight="1" thickBot="1" x14ac:dyDescent="0.3">
      <c r="B28" s="210">
        <v>23</v>
      </c>
      <c r="C28" s="208"/>
      <c r="D28" s="213" t="s">
        <v>274</v>
      </c>
      <c r="E28" s="214"/>
      <c r="F28" s="131"/>
      <c r="G28" s="132" t="s">
        <v>226</v>
      </c>
      <c r="H28" s="133" t="s">
        <v>227</v>
      </c>
      <c r="I28" s="134">
        <v>46157</v>
      </c>
      <c r="J28" s="209"/>
      <c r="K28" s="209"/>
      <c r="L28" s="211"/>
      <c r="M28" s="211"/>
      <c r="N28" s="126"/>
    </row>
    <row r="29" spans="2:14" s="101" customFormat="1" ht="100.5" customHeight="1" x14ac:dyDescent="0.25">
      <c r="B29" s="210">
        <v>24</v>
      </c>
      <c r="C29" s="208"/>
      <c r="D29" s="213" t="s">
        <v>272</v>
      </c>
      <c r="E29" s="214"/>
      <c r="F29" s="131"/>
      <c r="G29" s="132" t="s">
        <v>226</v>
      </c>
      <c r="H29" s="133" t="s">
        <v>227</v>
      </c>
      <c r="I29" s="134">
        <v>46157</v>
      </c>
      <c r="J29" s="209"/>
      <c r="K29" s="209"/>
      <c r="L29" s="211"/>
      <c r="M29" s="211"/>
      <c r="N29" s="126"/>
    </row>
    <row r="30" spans="2:14" s="101" customFormat="1" ht="14.25" customHeight="1" x14ac:dyDescent="0.2">
      <c r="B30" s="118"/>
      <c r="D30" s="119"/>
      <c r="F30" s="119" t="s">
        <v>200</v>
      </c>
      <c r="I30" s="119"/>
    </row>
    <row r="31" spans="2:14" s="101" customFormat="1" ht="14.25" customHeight="1" x14ac:dyDescent="0.25">
      <c r="B31" s="135" t="s">
        <v>201</v>
      </c>
      <c r="C31" s="120"/>
      <c r="D31" s="136"/>
      <c r="E31" s="120"/>
      <c r="F31" s="137"/>
      <c r="G31" s="138"/>
      <c r="H31" s="138"/>
      <c r="I31" s="137"/>
      <c r="K31" s="126"/>
      <c r="L31" s="126"/>
      <c r="M31" s="126"/>
      <c r="N31" s="126"/>
    </row>
    <row r="32" spans="2:14" s="101" customFormat="1" ht="6.75" customHeight="1" x14ac:dyDescent="0.2">
      <c r="B32" s="139"/>
      <c r="C32" s="138"/>
      <c r="D32" s="137"/>
      <c r="E32" s="138"/>
      <c r="F32" s="137"/>
      <c r="G32" s="138"/>
      <c r="H32" s="138"/>
      <c r="I32" s="137"/>
      <c r="L32" s="215"/>
      <c r="M32" s="215"/>
    </row>
    <row r="33" spans="1:9" s="101" customFormat="1" ht="14.25" customHeight="1" x14ac:dyDescent="0.2">
      <c r="B33" s="139"/>
      <c r="C33" s="138"/>
      <c r="D33" s="137"/>
      <c r="E33" s="138"/>
      <c r="F33" s="137"/>
      <c r="G33" s="217" t="s">
        <v>202</v>
      </c>
      <c r="H33" s="217"/>
      <c r="I33" s="192" t="s">
        <v>228</v>
      </c>
    </row>
    <row r="34" spans="1:9" s="101" customFormat="1" ht="14.25" customHeight="1" x14ac:dyDescent="0.25">
      <c r="B34" s="135" t="s">
        <v>203</v>
      </c>
      <c r="C34" s="138"/>
      <c r="D34" s="137"/>
      <c r="E34" s="137" t="s">
        <v>268</v>
      </c>
      <c r="F34" s="138"/>
      <c r="G34" s="217"/>
      <c r="H34" s="217"/>
      <c r="I34" s="193" t="s">
        <v>229</v>
      </c>
    </row>
    <row r="35" spans="1:9" s="101" customFormat="1" ht="10.5" customHeight="1" x14ac:dyDescent="0.25">
      <c r="B35" s="135"/>
      <c r="C35" s="138"/>
      <c r="D35" s="137"/>
      <c r="E35" s="137"/>
      <c r="F35" s="138"/>
      <c r="G35" s="120"/>
      <c r="H35" s="138"/>
      <c r="I35" s="137"/>
    </row>
    <row r="36" spans="1:9" s="101" customFormat="1" ht="21.75" customHeight="1" x14ac:dyDescent="0.25">
      <c r="A36" s="140"/>
      <c r="B36" s="135" t="s">
        <v>204</v>
      </c>
      <c r="C36" s="120"/>
      <c r="D36" s="136"/>
      <c r="E36" s="141" t="s">
        <v>269</v>
      </c>
      <c r="F36" s="138"/>
      <c r="G36" s="120" t="s">
        <v>205</v>
      </c>
      <c r="H36" s="120"/>
      <c r="I36" s="142" t="s">
        <v>234</v>
      </c>
    </row>
    <row r="37" spans="1:9" s="101" customFormat="1" ht="14.25" customHeight="1" x14ac:dyDescent="0.25">
      <c r="B37" s="138"/>
      <c r="C37" s="138"/>
      <c r="D37" s="138"/>
      <c r="E37" s="138"/>
      <c r="F37" s="138"/>
      <c r="G37" s="120"/>
      <c r="H37" s="120"/>
      <c r="I37" s="138" t="s">
        <v>235</v>
      </c>
    </row>
    <row r="38" spans="1:9" s="101" customFormat="1" ht="14.25" customHeight="1" x14ac:dyDescent="0.25">
      <c r="B38" s="138"/>
      <c r="C38" s="138"/>
      <c r="D38" s="138"/>
      <c r="E38" s="138"/>
      <c r="F38" s="138"/>
      <c r="G38" s="120"/>
      <c r="H38" s="120"/>
      <c r="I38" s="138"/>
    </row>
    <row r="39" spans="1:9" s="101" customFormat="1" ht="14.25" customHeight="1" x14ac:dyDescent="0.25">
      <c r="B39" s="135" t="s">
        <v>206</v>
      </c>
      <c r="C39" s="138"/>
      <c r="D39" s="137"/>
      <c r="E39" s="137"/>
      <c r="F39" s="138"/>
      <c r="G39" s="138"/>
      <c r="H39" s="138"/>
      <c r="I39" s="138"/>
    </row>
    <row r="40" spans="1:9" s="101" customFormat="1" ht="4.5" customHeight="1" x14ac:dyDescent="0.25">
      <c r="B40" s="135"/>
      <c r="C40" s="138"/>
      <c r="D40" s="137"/>
      <c r="E40" s="137"/>
      <c r="F40" s="138"/>
      <c r="G40" s="138"/>
      <c r="H40" s="138"/>
      <c r="I40" s="138"/>
    </row>
    <row r="41" spans="1:9" s="101" customFormat="1" ht="5.25" customHeight="1" x14ac:dyDescent="0.25">
      <c r="B41" s="143"/>
      <c r="C41" s="123"/>
      <c r="D41" s="144"/>
      <c r="E41" s="144"/>
      <c r="F41" s="123"/>
      <c r="G41" s="123"/>
      <c r="H41" s="123"/>
      <c r="I41" s="123"/>
    </row>
    <row r="42" spans="1:9" s="101" customFormat="1" ht="5.25" customHeight="1" x14ac:dyDescent="0.25">
      <c r="B42" s="143"/>
      <c r="C42" s="123"/>
      <c r="D42" s="144"/>
      <c r="E42" s="144"/>
      <c r="F42" s="123"/>
      <c r="G42" s="123"/>
      <c r="H42" s="123"/>
      <c r="I42" s="123"/>
    </row>
    <row r="43" spans="1:9" s="101" customFormat="1" ht="21.75" customHeight="1" x14ac:dyDescent="0.25">
      <c r="B43" s="145"/>
      <c r="C43" s="146"/>
      <c r="D43" s="146"/>
      <c r="E43" s="147" t="s">
        <v>220</v>
      </c>
      <c r="F43" s="146"/>
      <c r="G43" s="146"/>
      <c r="H43" s="146"/>
      <c r="I43" s="146"/>
    </row>
    <row r="44" spans="1:9" s="101" customFormat="1" ht="14.25" customHeight="1" x14ac:dyDescent="0.25">
      <c r="B44" s="145"/>
      <c r="C44" s="146"/>
      <c r="D44" s="146"/>
      <c r="E44" s="147"/>
      <c r="F44" s="146"/>
      <c r="G44" s="146"/>
      <c r="H44" s="146"/>
      <c r="I44" s="146"/>
    </row>
    <row r="45" spans="1:9" s="101" customFormat="1" ht="14.25" customHeight="1" x14ac:dyDescent="0.25">
      <c r="B45" s="145"/>
      <c r="C45" s="146"/>
      <c r="D45" s="146"/>
      <c r="E45" s="147"/>
      <c r="F45" s="146"/>
      <c r="G45" s="146"/>
      <c r="H45" s="146"/>
      <c r="I45" s="146"/>
    </row>
    <row r="46" spans="1:9" s="101" customFormat="1" ht="4.5" customHeight="1" x14ac:dyDescent="0.25">
      <c r="B46" s="145"/>
      <c r="C46" s="146"/>
      <c r="D46" s="146"/>
      <c r="E46" s="147"/>
      <c r="F46" s="146"/>
      <c r="G46" s="146"/>
      <c r="H46" s="146"/>
      <c r="I46" s="146"/>
    </row>
    <row r="47" spans="1:9" s="101" customFormat="1" ht="14.25" customHeight="1" x14ac:dyDescent="0.25">
      <c r="B47" s="143"/>
      <c r="C47" s="148"/>
      <c r="D47" s="146"/>
      <c r="E47" s="146"/>
      <c r="F47" s="146"/>
      <c r="G47" s="148"/>
      <c r="H47" s="148"/>
      <c r="I47" s="148"/>
    </row>
    <row r="48" spans="1:9" s="101" customFormat="1" ht="19.5" customHeight="1" x14ac:dyDescent="0.25">
      <c r="B48" s="149" t="s">
        <v>213</v>
      </c>
      <c r="C48" s="150"/>
      <c r="D48" s="150"/>
      <c r="E48" s="150"/>
      <c r="F48" s="150"/>
      <c r="G48" s="218" t="s">
        <v>215</v>
      </c>
      <c r="H48" s="218"/>
      <c r="I48" s="218"/>
    </row>
    <row r="49" spans="2:9" s="101" customFormat="1" ht="15.75" customHeight="1" x14ac:dyDescent="0.25">
      <c r="B49" s="149" t="s">
        <v>236</v>
      </c>
      <c r="C49" s="150"/>
      <c r="D49" s="150"/>
      <c r="E49" s="150"/>
      <c r="F49" s="150"/>
      <c r="G49" s="216" t="s">
        <v>214</v>
      </c>
      <c r="H49" s="216"/>
      <c r="I49" s="216"/>
    </row>
    <row r="50" spans="2:9" s="101" customFormat="1" ht="14.25" customHeight="1" x14ac:dyDescent="0.25">
      <c r="B50" s="151"/>
      <c r="C50" s="150"/>
      <c r="D50" s="150"/>
      <c r="E50" s="150"/>
      <c r="F50" s="150"/>
      <c r="G50" s="150"/>
      <c r="H50" s="150"/>
      <c r="I50" s="150"/>
    </row>
    <row r="51" spans="2:9" s="101" customFormat="1" ht="14.25" customHeight="1" x14ac:dyDescent="0.25">
      <c r="B51" s="151"/>
      <c r="C51" s="150"/>
      <c r="D51" s="150"/>
      <c r="E51" s="150"/>
      <c r="F51" s="150"/>
      <c r="G51" s="150"/>
      <c r="H51" s="150"/>
      <c r="I51" s="150"/>
    </row>
    <row r="52" spans="2:9" s="101" customFormat="1" ht="14.25" customHeight="1" x14ac:dyDescent="0.25">
      <c r="B52" s="151"/>
      <c r="C52" s="150"/>
      <c r="D52" s="150"/>
      <c r="E52" s="150"/>
      <c r="F52" s="150"/>
      <c r="G52" s="150"/>
      <c r="H52" s="150"/>
      <c r="I52" s="150"/>
    </row>
    <row r="53" spans="2:9" s="101" customFormat="1" ht="8.25" customHeight="1" x14ac:dyDescent="0.25">
      <c r="B53" s="151"/>
      <c r="C53" s="150"/>
      <c r="D53" s="150"/>
      <c r="E53" s="150"/>
      <c r="F53" s="150"/>
      <c r="G53" s="150"/>
      <c r="H53" s="150"/>
      <c r="I53" s="150"/>
    </row>
    <row r="54" spans="2:9" s="101" customFormat="1" ht="6.75" customHeight="1" x14ac:dyDescent="0.25">
      <c r="B54" s="153"/>
      <c r="C54" s="153"/>
      <c r="D54" s="153"/>
      <c r="E54" s="153"/>
      <c r="F54" s="153"/>
      <c r="G54" s="153"/>
      <c r="H54" s="153"/>
      <c r="I54" s="153"/>
    </row>
    <row r="55" spans="2:9" s="101" customFormat="1" ht="14.25" customHeight="1" x14ac:dyDescent="0.25">
      <c r="B55" s="151"/>
      <c r="C55" s="150"/>
      <c r="D55" s="150"/>
      <c r="E55" s="154" t="s">
        <v>230</v>
      </c>
      <c r="F55" s="150"/>
      <c r="G55" s="150"/>
      <c r="H55" s="150"/>
      <c r="I55" s="150"/>
    </row>
    <row r="56" spans="2:9" s="101" customFormat="1" ht="14.25" customHeight="1" x14ac:dyDescent="0.25">
      <c r="B56" s="155"/>
      <c r="C56" s="152"/>
      <c r="D56" s="150"/>
      <c r="E56" s="150"/>
      <c r="F56" s="150"/>
      <c r="G56" s="152"/>
      <c r="H56" s="152"/>
      <c r="I56" s="152"/>
    </row>
    <row r="57" spans="2:9" s="101" customFormat="1" ht="14.25" customHeight="1" x14ac:dyDescent="0.25">
      <c r="B57" s="155"/>
      <c r="C57" s="152"/>
      <c r="D57" s="150"/>
      <c r="E57" s="150"/>
      <c r="F57" s="150"/>
      <c r="G57" s="152"/>
      <c r="H57" s="152"/>
      <c r="I57" s="152"/>
    </row>
    <row r="58" spans="2:9" s="101" customFormat="1" ht="14.25" customHeight="1" x14ac:dyDescent="0.25">
      <c r="B58" s="156"/>
      <c r="C58" s="153"/>
      <c r="D58" s="157"/>
      <c r="E58" s="157"/>
      <c r="F58" s="157"/>
      <c r="G58" s="153"/>
      <c r="H58" s="153"/>
      <c r="I58" s="152"/>
    </row>
    <row r="59" spans="2:9" s="101" customFormat="1" ht="19.5" customHeight="1" x14ac:dyDescent="0.25">
      <c r="B59" s="149" t="s">
        <v>210</v>
      </c>
      <c r="C59" s="150"/>
      <c r="D59" s="150"/>
      <c r="E59" s="150"/>
      <c r="F59" s="150"/>
      <c r="G59" s="216" t="s">
        <v>207</v>
      </c>
      <c r="H59" s="216"/>
      <c r="I59" s="216"/>
    </row>
    <row r="60" spans="2:9" s="101" customFormat="1" ht="14.25" customHeight="1" x14ac:dyDescent="0.25">
      <c r="B60" s="149" t="s">
        <v>211</v>
      </c>
      <c r="C60" s="150"/>
      <c r="D60" s="150"/>
      <c r="E60" s="150"/>
      <c r="F60" s="150"/>
      <c r="G60" s="216" t="s">
        <v>208</v>
      </c>
      <c r="H60" s="216"/>
      <c r="I60" s="216"/>
    </row>
    <row r="61" spans="2:9" s="101" customFormat="1" ht="14.25" customHeight="1" x14ac:dyDescent="0.2">
      <c r="B61" s="118"/>
      <c r="D61" s="119"/>
      <c r="E61" s="119"/>
    </row>
    <row r="62" spans="2:9" s="101" customFormat="1" ht="14.25" customHeight="1" x14ac:dyDescent="0.2">
      <c r="B62" s="118"/>
      <c r="D62" s="119"/>
      <c r="E62" s="119"/>
    </row>
    <row r="63" spans="2:9" s="101" customFormat="1" ht="14.25" customHeight="1" x14ac:dyDescent="0.2">
      <c r="B63" s="118"/>
      <c r="D63" s="119"/>
      <c r="E63" s="119"/>
    </row>
    <row r="64" spans="2:9" s="101" customFormat="1" ht="14.25" customHeight="1" x14ac:dyDescent="0.2">
      <c r="B64" s="118"/>
      <c r="D64" s="119"/>
      <c r="E64" s="119"/>
    </row>
    <row r="65" spans="2:5" s="101" customFormat="1" ht="14.25" customHeight="1" x14ac:dyDescent="0.2">
      <c r="B65" s="118"/>
      <c r="D65" s="119"/>
      <c r="E65" s="119"/>
    </row>
    <row r="66" spans="2:5" s="101" customFormat="1" ht="14.25" customHeight="1" x14ac:dyDescent="0.2">
      <c r="B66" s="118"/>
      <c r="D66" s="119"/>
      <c r="E66" s="119"/>
    </row>
    <row r="67" spans="2:5" s="101" customFormat="1" ht="14.25" customHeight="1" x14ac:dyDescent="0.2">
      <c r="B67" s="118"/>
      <c r="D67" s="119"/>
      <c r="E67" s="119"/>
    </row>
    <row r="68" spans="2:5" s="101" customFormat="1" ht="14.25" customHeight="1" x14ac:dyDescent="0.2">
      <c r="B68" s="118"/>
      <c r="D68" s="119"/>
      <c r="E68" s="119"/>
    </row>
    <row r="69" spans="2:5" s="101" customFormat="1" ht="14.25" customHeight="1" x14ac:dyDescent="0.2">
      <c r="B69" s="118"/>
      <c r="D69" s="119"/>
      <c r="E69" s="119"/>
    </row>
    <row r="70" spans="2:5" s="101" customFormat="1" ht="14.25" customHeight="1" x14ac:dyDescent="0.2">
      <c r="B70" s="118"/>
      <c r="D70" s="119"/>
      <c r="E70" s="119"/>
    </row>
    <row r="71" spans="2:5" s="101" customFormat="1" ht="14.25" customHeight="1" x14ac:dyDescent="0.2">
      <c r="B71" s="118"/>
      <c r="D71" s="119"/>
      <c r="E71" s="119"/>
    </row>
    <row r="72" spans="2:5" s="101" customFormat="1" ht="14.25" customHeight="1" x14ac:dyDescent="0.2">
      <c r="B72" s="118"/>
      <c r="D72" s="119"/>
      <c r="E72" s="119"/>
    </row>
    <row r="73" spans="2:5" s="101" customFormat="1" ht="14.25" customHeight="1" x14ac:dyDescent="0.2">
      <c r="B73" s="118"/>
      <c r="D73" s="119"/>
      <c r="E73" s="119"/>
    </row>
    <row r="74" spans="2:5" s="101" customFormat="1" ht="14.25" customHeight="1" x14ac:dyDescent="0.2">
      <c r="B74" s="118"/>
      <c r="D74" s="119"/>
      <c r="E74" s="119"/>
    </row>
    <row r="75" spans="2:5" s="101" customFormat="1" ht="14.25" customHeight="1" x14ac:dyDescent="0.2">
      <c r="B75" s="118"/>
      <c r="D75" s="119"/>
      <c r="E75" s="119"/>
    </row>
    <row r="76" spans="2:5" s="101" customFormat="1" ht="14.25" customHeight="1" x14ac:dyDescent="0.2">
      <c r="B76" s="118"/>
      <c r="D76" s="119"/>
      <c r="E76" s="119"/>
    </row>
    <row r="77" spans="2:5" s="101" customFormat="1" ht="14.25" customHeight="1" x14ac:dyDescent="0.2">
      <c r="B77" s="118"/>
      <c r="D77" s="119"/>
      <c r="E77" s="119"/>
    </row>
    <row r="78" spans="2:5" s="101" customFormat="1" ht="14.25" customHeight="1" x14ac:dyDescent="0.2">
      <c r="B78" s="118"/>
      <c r="D78" s="119"/>
      <c r="E78" s="119"/>
    </row>
    <row r="79" spans="2:5" s="101" customFormat="1" ht="14.25" customHeight="1" x14ac:dyDescent="0.2">
      <c r="B79" s="118"/>
      <c r="D79" s="119"/>
      <c r="E79" s="119"/>
    </row>
    <row r="80" spans="2:5" s="101" customFormat="1" ht="14.25" customHeight="1" x14ac:dyDescent="0.2">
      <c r="B80" s="118"/>
      <c r="D80" s="119"/>
      <c r="E80" s="119"/>
    </row>
    <row r="81" spans="2:5" s="101" customFormat="1" ht="14.25" customHeight="1" x14ac:dyDescent="0.2">
      <c r="B81" s="118"/>
      <c r="D81" s="119"/>
      <c r="E81" s="119"/>
    </row>
    <row r="82" spans="2:5" s="101" customFormat="1" ht="14.25" customHeight="1" x14ac:dyDescent="0.2">
      <c r="B82" s="118"/>
      <c r="D82" s="119"/>
      <c r="E82" s="119"/>
    </row>
    <row r="83" spans="2:5" s="101" customFormat="1" ht="14.25" customHeight="1" x14ac:dyDescent="0.2">
      <c r="B83" s="118"/>
      <c r="D83" s="119"/>
      <c r="E83" s="119"/>
    </row>
    <row r="84" spans="2:5" s="101" customFormat="1" ht="14.25" customHeight="1" x14ac:dyDescent="0.2">
      <c r="B84" s="118"/>
      <c r="D84" s="119"/>
      <c r="E84" s="119"/>
    </row>
    <row r="85" spans="2:5" s="101" customFormat="1" ht="14.25" customHeight="1" x14ac:dyDescent="0.2">
      <c r="B85" s="118"/>
      <c r="D85" s="119"/>
      <c r="E85" s="119"/>
    </row>
    <row r="86" spans="2:5" s="101" customFormat="1" ht="14.25" customHeight="1" x14ac:dyDescent="0.2">
      <c r="B86" s="118"/>
      <c r="D86" s="119"/>
      <c r="E86" s="119"/>
    </row>
    <row r="87" spans="2:5" s="101" customFormat="1" ht="14.25" customHeight="1" x14ac:dyDescent="0.2">
      <c r="B87" s="118"/>
      <c r="D87" s="119"/>
      <c r="E87" s="119"/>
    </row>
    <row r="88" spans="2:5" s="101" customFormat="1" ht="14.25" customHeight="1" x14ac:dyDescent="0.2">
      <c r="B88" s="118"/>
      <c r="D88" s="119"/>
      <c r="E88" s="119"/>
    </row>
    <row r="89" spans="2:5" s="101" customFormat="1" ht="14.25" customHeight="1" x14ac:dyDescent="0.2">
      <c r="B89" s="118"/>
      <c r="D89" s="119"/>
      <c r="E89" s="119"/>
    </row>
    <row r="90" spans="2:5" s="101" customFormat="1" ht="14.25" customHeight="1" x14ac:dyDescent="0.2">
      <c r="B90" s="118"/>
      <c r="D90" s="119"/>
      <c r="E90" s="119"/>
    </row>
    <row r="91" spans="2:5" s="101" customFormat="1" ht="14.25" customHeight="1" x14ac:dyDescent="0.2">
      <c r="B91" s="118"/>
      <c r="D91" s="119"/>
      <c r="E91" s="119"/>
    </row>
    <row r="92" spans="2:5" s="101" customFormat="1" ht="14.25" customHeight="1" x14ac:dyDescent="0.2">
      <c r="B92" s="118"/>
      <c r="D92" s="119"/>
      <c r="E92" s="119"/>
    </row>
    <row r="93" spans="2:5" s="101" customFormat="1" ht="14.25" customHeight="1" x14ac:dyDescent="0.2">
      <c r="B93" s="118"/>
      <c r="D93" s="119"/>
      <c r="E93" s="119"/>
    </row>
    <row r="94" spans="2:5" s="101" customFormat="1" ht="14.25" customHeight="1" x14ac:dyDescent="0.2">
      <c r="B94" s="118"/>
      <c r="D94" s="119"/>
      <c r="E94" s="119"/>
    </row>
    <row r="95" spans="2:5" s="101" customFormat="1" ht="14.25" customHeight="1" x14ac:dyDescent="0.2">
      <c r="B95" s="118"/>
      <c r="D95" s="119"/>
      <c r="E95" s="119"/>
    </row>
    <row r="96" spans="2:5" s="101" customFormat="1" ht="14.25" customHeight="1" x14ac:dyDescent="0.2">
      <c r="B96" s="118"/>
      <c r="D96" s="119"/>
      <c r="E96" s="119"/>
    </row>
    <row r="97" spans="2:5" s="101" customFormat="1" ht="14.25" customHeight="1" x14ac:dyDescent="0.2">
      <c r="B97" s="118"/>
      <c r="D97" s="119"/>
      <c r="E97" s="119"/>
    </row>
    <row r="98" spans="2:5" s="101" customFormat="1" ht="14.25" customHeight="1" x14ac:dyDescent="0.2">
      <c r="B98" s="118"/>
      <c r="D98" s="119"/>
      <c r="E98" s="119"/>
    </row>
    <row r="99" spans="2:5" s="101" customFormat="1" ht="14.25" customHeight="1" x14ac:dyDescent="0.2">
      <c r="B99" s="118"/>
      <c r="D99" s="119"/>
      <c r="E99" s="119"/>
    </row>
    <row r="100" spans="2:5" s="101" customFormat="1" ht="14.25" customHeight="1" x14ac:dyDescent="0.2">
      <c r="B100" s="118"/>
      <c r="D100" s="119"/>
      <c r="E100" s="119"/>
    </row>
    <row r="101" spans="2:5" s="101" customFormat="1" ht="14.25" customHeight="1" x14ac:dyDescent="0.2">
      <c r="B101" s="118"/>
      <c r="D101" s="119"/>
      <c r="E101" s="119"/>
    </row>
    <row r="102" spans="2:5" s="101" customFormat="1" ht="14.25" customHeight="1" x14ac:dyDescent="0.2">
      <c r="B102" s="118"/>
      <c r="D102" s="119"/>
      <c r="E102" s="119"/>
    </row>
    <row r="103" spans="2:5" s="101" customFormat="1" ht="14.25" customHeight="1" x14ac:dyDescent="0.2">
      <c r="B103" s="118"/>
      <c r="D103" s="119"/>
      <c r="E103" s="119"/>
    </row>
    <row r="104" spans="2:5" s="101" customFormat="1" ht="14.25" customHeight="1" x14ac:dyDescent="0.2">
      <c r="B104" s="118"/>
      <c r="D104" s="119"/>
      <c r="E104" s="119"/>
    </row>
    <row r="105" spans="2:5" s="101" customFormat="1" ht="14.25" customHeight="1" x14ac:dyDescent="0.2">
      <c r="B105" s="118"/>
      <c r="D105" s="119"/>
      <c r="E105" s="119"/>
    </row>
    <row r="106" spans="2:5" s="101" customFormat="1" ht="14.25" customHeight="1" x14ac:dyDescent="0.2">
      <c r="B106" s="118"/>
      <c r="D106" s="119"/>
      <c r="E106" s="119"/>
    </row>
    <row r="107" spans="2:5" s="101" customFormat="1" ht="14.25" customHeight="1" x14ac:dyDescent="0.2">
      <c r="B107" s="118"/>
      <c r="D107" s="119"/>
      <c r="E107" s="119"/>
    </row>
    <row r="108" spans="2:5" s="101" customFormat="1" ht="14.25" customHeight="1" x14ac:dyDescent="0.2">
      <c r="B108" s="118"/>
      <c r="D108" s="119"/>
      <c r="E108" s="119"/>
    </row>
    <row r="109" spans="2:5" s="101" customFormat="1" ht="14.25" customHeight="1" x14ac:dyDescent="0.2">
      <c r="B109" s="118"/>
      <c r="D109" s="119"/>
      <c r="E109" s="119"/>
    </row>
    <row r="110" spans="2:5" s="101" customFormat="1" ht="14.25" customHeight="1" x14ac:dyDescent="0.2">
      <c r="B110" s="118"/>
      <c r="D110" s="119"/>
      <c r="E110" s="119"/>
    </row>
    <row r="111" spans="2:5" s="101" customFormat="1" ht="14.25" customHeight="1" x14ac:dyDescent="0.2">
      <c r="B111" s="118"/>
      <c r="D111" s="119"/>
      <c r="E111" s="119"/>
    </row>
    <row r="112" spans="2:5" s="101" customFormat="1" ht="14.25" customHeight="1" x14ac:dyDescent="0.2">
      <c r="B112" s="118"/>
      <c r="D112" s="119"/>
      <c r="E112" s="119"/>
    </row>
    <row r="113" spans="2:5" s="101" customFormat="1" ht="14.25" customHeight="1" x14ac:dyDescent="0.2">
      <c r="B113" s="118"/>
      <c r="D113" s="119"/>
      <c r="E113" s="119"/>
    </row>
    <row r="114" spans="2:5" s="101" customFormat="1" ht="14.25" customHeight="1" x14ac:dyDescent="0.2">
      <c r="B114" s="118"/>
      <c r="D114" s="119"/>
      <c r="E114" s="119"/>
    </row>
    <row r="115" spans="2:5" s="101" customFormat="1" ht="14.25" customHeight="1" x14ac:dyDescent="0.2">
      <c r="B115" s="118"/>
      <c r="D115" s="119"/>
      <c r="E115" s="119"/>
    </row>
    <row r="116" spans="2:5" s="101" customFormat="1" ht="14.25" customHeight="1" x14ac:dyDescent="0.2">
      <c r="B116" s="118"/>
      <c r="D116" s="119"/>
      <c r="E116" s="119"/>
    </row>
    <row r="117" spans="2:5" s="101" customFormat="1" ht="14.25" customHeight="1" x14ac:dyDescent="0.2">
      <c r="B117" s="118"/>
      <c r="D117" s="119"/>
      <c r="E117" s="119"/>
    </row>
    <row r="118" spans="2:5" s="101" customFormat="1" ht="14.25" customHeight="1" x14ac:dyDescent="0.2">
      <c r="B118" s="118"/>
      <c r="D118" s="119"/>
      <c r="E118" s="119"/>
    </row>
    <row r="119" spans="2:5" s="101" customFormat="1" ht="14.25" customHeight="1" x14ac:dyDescent="0.2">
      <c r="B119" s="118"/>
      <c r="D119" s="119"/>
      <c r="E119" s="119"/>
    </row>
    <row r="120" spans="2:5" s="101" customFormat="1" ht="14.25" customHeight="1" x14ac:dyDescent="0.2">
      <c r="B120" s="118"/>
      <c r="D120" s="119"/>
      <c r="E120" s="119"/>
    </row>
    <row r="121" spans="2:5" s="101" customFormat="1" ht="14.25" customHeight="1" x14ac:dyDescent="0.2">
      <c r="B121" s="118"/>
      <c r="D121" s="119"/>
      <c r="E121" s="119"/>
    </row>
    <row r="122" spans="2:5" s="101" customFormat="1" ht="14.25" customHeight="1" x14ac:dyDescent="0.2">
      <c r="B122" s="118"/>
      <c r="D122" s="119"/>
      <c r="E122" s="119"/>
    </row>
    <row r="123" spans="2:5" s="101" customFormat="1" ht="14.25" customHeight="1" x14ac:dyDescent="0.2">
      <c r="B123" s="118"/>
      <c r="D123" s="119"/>
      <c r="E123" s="119"/>
    </row>
    <row r="124" spans="2:5" s="101" customFormat="1" ht="14.25" customHeight="1" x14ac:dyDescent="0.2">
      <c r="B124" s="118"/>
      <c r="D124" s="119"/>
      <c r="E124" s="119"/>
    </row>
    <row r="125" spans="2:5" s="101" customFormat="1" ht="14.25" customHeight="1" x14ac:dyDescent="0.2">
      <c r="B125" s="118"/>
      <c r="D125" s="119"/>
      <c r="E125" s="119"/>
    </row>
    <row r="126" spans="2:5" s="101" customFormat="1" ht="14.25" customHeight="1" x14ac:dyDescent="0.2">
      <c r="B126" s="118"/>
      <c r="D126" s="119"/>
      <c r="E126" s="119"/>
    </row>
    <row r="127" spans="2:5" s="101" customFormat="1" ht="14.25" customHeight="1" x14ac:dyDescent="0.2">
      <c r="B127" s="118"/>
      <c r="D127" s="119"/>
      <c r="E127" s="119"/>
    </row>
    <row r="128" spans="2:5" s="101" customFormat="1" ht="14.25" customHeight="1" x14ac:dyDescent="0.2">
      <c r="B128" s="118"/>
      <c r="D128" s="119"/>
      <c r="E128" s="119"/>
    </row>
    <row r="129" spans="2:5" s="101" customFormat="1" ht="14.25" customHeight="1" x14ac:dyDescent="0.2">
      <c r="B129" s="118"/>
      <c r="D129" s="119"/>
      <c r="E129" s="119"/>
    </row>
    <row r="130" spans="2:5" s="101" customFormat="1" ht="14.25" customHeight="1" x14ac:dyDescent="0.2">
      <c r="B130" s="118"/>
      <c r="D130" s="119"/>
      <c r="E130" s="119"/>
    </row>
    <row r="131" spans="2:5" s="101" customFormat="1" ht="14.25" customHeight="1" x14ac:dyDescent="0.2">
      <c r="B131" s="118"/>
      <c r="D131" s="119"/>
      <c r="E131" s="119"/>
    </row>
    <row r="132" spans="2:5" s="101" customFormat="1" ht="14.25" customHeight="1" x14ac:dyDescent="0.2">
      <c r="B132" s="118"/>
      <c r="D132" s="119"/>
      <c r="E132" s="119"/>
    </row>
    <row r="133" spans="2:5" s="101" customFormat="1" ht="14.25" customHeight="1" x14ac:dyDescent="0.2">
      <c r="B133" s="118"/>
      <c r="D133" s="119"/>
      <c r="E133" s="119"/>
    </row>
    <row r="134" spans="2:5" s="101" customFormat="1" ht="14.25" customHeight="1" x14ac:dyDescent="0.2">
      <c r="B134" s="118"/>
      <c r="D134" s="119"/>
      <c r="E134" s="119"/>
    </row>
    <row r="135" spans="2:5" s="101" customFormat="1" ht="14.25" customHeight="1" x14ac:dyDescent="0.2">
      <c r="B135" s="118"/>
      <c r="D135" s="119"/>
      <c r="E135" s="119"/>
    </row>
    <row r="136" spans="2:5" s="101" customFormat="1" ht="14.25" customHeight="1" x14ac:dyDescent="0.2">
      <c r="B136" s="118"/>
      <c r="D136" s="119"/>
      <c r="E136" s="119"/>
    </row>
    <row r="137" spans="2:5" s="101" customFormat="1" ht="14.25" customHeight="1" x14ac:dyDescent="0.2">
      <c r="B137" s="118"/>
      <c r="D137" s="119"/>
      <c r="E137" s="119"/>
    </row>
    <row r="138" spans="2:5" s="101" customFormat="1" ht="14.25" customHeight="1" x14ac:dyDescent="0.2">
      <c r="B138" s="118"/>
      <c r="D138" s="119"/>
      <c r="E138" s="119"/>
    </row>
    <row r="139" spans="2:5" s="101" customFormat="1" ht="14.25" customHeight="1" x14ac:dyDescent="0.2">
      <c r="B139" s="118"/>
      <c r="D139" s="119"/>
      <c r="E139" s="119"/>
    </row>
    <row r="140" spans="2:5" s="101" customFormat="1" ht="14.25" customHeight="1" x14ac:dyDescent="0.2">
      <c r="B140" s="118"/>
      <c r="D140" s="119"/>
      <c r="E140" s="119"/>
    </row>
    <row r="141" spans="2:5" s="101" customFormat="1" ht="14.25" customHeight="1" x14ac:dyDescent="0.2">
      <c r="B141" s="118"/>
      <c r="D141" s="119"/>
      <c r="E141" s="119"/>
    </row>
    <row r="142" spans="2:5" s="101" customFormat="1" ht="14.25" customHeight="1" x14ac:dyDescent="0.2">
      <c r="B142" s="118"/>
      <c r="D142" s="119"/>
      <c r="E142" s="119"/>
    </row>
    <row r="143" spans="2:5" s="101" customFormat="1" ht="14.25" customHeight="1" x14ac:dyDescent="0.2">
      <c r="B143" s="118"/>
      <c r="D143" s="119"/>
      <c r="E143" s="119"/>
    </row>
    <row r="144" spans="2:5" s="101" customFormat="1" ht="14.25" customHeight="1" x14ac:dyDescent="0.2">
      <c r="B144" s="118"/>
      <c r="D144" s="119"/>
      <c r="E144" s="119"/>
    </row>
    <row r="145" spans="2:5" s="101" customFormat="1" ht="14.25" customHeight="1" x14ac:dyDescent="0.2">
      <c r="B145" s="118"/>
      <c r="D145" s="119"/>
      <c r="E145" s="119"/>
    </row>
    <row r="146" spans="2:5" s="101" customFormat="1" ht="14.25" customHeight="1" x14ac:dyDescent="0.2">
      <c r="B146" s="118"/>
      <c r="D146" s="119"/>
      <c r="E146" s="119"/>
    </row>
    <row r="147" spans="2:5" s="101" customFormat="1" ht="14.25" customHeight="1" x14ac:dyDescent="0.2">
      <c r="B147" s="118"/>
      <c r="D147" s="119"/>
      <c r="E147" s="119"/>
    </row>
    <row r="148" spans="2:5" s="101" customFormat="1" ht="14.25" customHeight="1" x14ac:dyDescent="0.2">
      <c r="B148" s="118"/>
      <c r="D148" s="119"/>
      <c r="E148" s="119"/>
    </row>
    <row r="149" spans="2:5" s="101" customFormat="1" ht="14.25" customHeight="1" x14ac:dyDescent="0.2">
      <c r="B149" s="118"/>
      <c r="D149" s="119"/>
      <c r="E149" s="119"/>
    </row>
    <row r="150" spans="2:5" s="101" customFormat="1" ht="14.25" customHeight="1" x14ac:dyDescent="0.2">
      <c r="B150" s="118"/>
      <c r="D150" s="119"/>
      <c r="E150" s="119"/>
    </row>
    <row r="151" spans="2:5" s="101" customFormat="1" ht="14.25" customHeight="1" x14ac:dyDescent="0.2">
      <c r="B151" s="118"/>
      <c r="D151" s="119"/>
      <c r="E151" s="119"/>
    </row>
    <row r="152" spans="2:5" s="101" customFormat="1" ht="14.25" customHeight="1" x14ac:dyDescent="0.2">
      <c r="B152" s="118"/>
      <c r="D152" s="119"/>
      <c r="E152" s="119"/>
    </row>
    <row r="153" spans="2:5" s="101" customFormat="1" ht="14.25" customHeight="1" x14ac:dyDescent="0.2">
      <c r="B153" s="118"/>
      <c r="D153" s="119"/>
      <c r="E153" s="119"/>
    </row>
    <row r="154" spans="2:5" s="101" customFormat="1" ht="14.25" customHeight="1" x14ac:dyDescent="0.2">
      <c r="B154" s="118"/>
      <c r="D154" s="119"/>
      <c r="E154" s="119"/>
    </row>
    <row r="155" spans="2:5" s="101" customFormat="1" ht="14.25" customHeight="1" x14ac:dyDescent="0.2">
      <c r="B155" s="118"/>
      <c r="D155" s="119"/>
      <c r="E155" s="119"/>
    </row>
    <row r="156" spans="2:5" s="101" customFormat="1" ht="14.25" customHeight="1" x14ac:dyDescent="0.2">
      <c r="B156" s="118"/>
      <c r="D156" s="119"/>
      <c r="E156" s="119"/>
    </row>
    <row r="157" spans="2:5" s="101" customFormat="1" ht="14.25" customHeight="1" x14ac:dyDescent="0.2">
      <c r="B157" s="118"/>
      <c r="D157" s="119"/>
      <c r="E157" s="119"/>
    </row>
    <row r="158" spans="2:5" s="101" customFormat="1" ht="14.25" customHeight="1" x14ac:dyDescent="0.2">
      <c r="B158" s="118"/>
      <c r="D158" s="119"/>
      <c r="E158" s="119"/>
    </row>
    <row r="159" spans="2:5" s="101" customFormat="1" ht="14.25" customHeight="1" x14ac:dyDescent="0.2">
      <c r="B159" s="118"/>
      <c r="D159" s="119"/>
      <c r="E159" s="119"/>
    </row>
    <row r="160" spans="2:5" s="101" customFormat="1" ht="14.25" customHeight="1" x14ac:dyDescent="0.2">
      <c r="B160" s="118"/>
      <c r="D160" s="119"/>
      <c r="E160" s="119"/>
    </row>
    <row r="161" spans="2:5" s="101" customFormat="1" ht="14.25" customHeight="1" x14ac:dyDescent="0.2">
      <c r="B161" s="118"/>
      <c r="D161" s="119"/>
      <c r="E161" s="119"/>
    </row>
    <row r="162" spans="2:5" s="101" customFormat="1" ht="14.25" customHeight="1" x14ac:dyDescent="0.2">
      <c r="B162" s="118"/>
      <c r="D162" s="119"/>
      <c r="E162" s="119"/>
    </row>
    <row r="163" spans="2:5" s="101" customFormat="1" ht="14.25" customHeight="1" x14ac:dyDescent="0.2">
      <c r="B163" s="118"/>
      <c r="D163" s="119"/>
      <c r="E163" s="119"/>
    </row>
    <row r="164" spans="2:5" s="101" customFormat="1" ht="14.25" customHeight="1" x14ac:dyDescent="0.2">
      <c r="B164" s="118"/>
      <c r="D164" s="119"/>
      <c r="E164" s="119"/>
    </row>
    <row r="165" spans="2:5" s="101" customFormat="1" ht="14.25" customHeight="1" x14ac:dyDescent="0.2">
      <c r="B165" s="118"/>
      <c r="D165" s="119"/>
      <c r="E165" s="119"/>
    </row>
    <row r="166" spans="2:5" s="101" customFormat="1" ht="14.25" customHeight="1" x14ac:dyDescent="0.2">
      <c r="B166" s="118"/>
      <c r="D166" s="119"/>
      <c r="E166" s="119"/>
    </row>
    <row r="167" spans="2:5" s="101" customFormat="1" ht="14.25" customHeight="1" x14ac:dyDescent="0.2">
      <c r="B167" s="118"/>
      <c r="D167" s="119"/>
      <c r="E167" s="119"/>
    </row>
    <row r="168" spans="2:5" s="101" customFormat="1" ht="14.25" customHeight="1" x14ac:dyDescent="0.2">
      <c r="B168" s="118"/>
      <c r="D168" s="119"/>
      <c r="E168" s="119"/>
    </row>
    <row r="169" spans="2:5" s="101" customFormat="1" ht="14.25" customHeight="1" x14ac:dyDescent="0.2">
      <c r="B169" s="118"/>
      <c r="D169" s="119"/>
      <c r="E169" s="119"/>
    </row>
    <row r="170" spans="2:5" s="101" customFormat="1" ht="14.25" customHeight="1" x14ac:dyDescent="0.2">
      <c r="B170" s="118"/>
      <c r="D170" s="119"/>
      <c r="E170" s="119"/>
    </row>
    <row r="171" spans="2:5" s="101" customFormat="1" ht="14.25" customHeight="1" x14ac:dyDescent="0.2">
      <c r="B171" s="118"/>
      <c r="D171" s="119"/>
      <c r="E171" s="119"/>
    </row>
    <row r="172" spans="2:5" s="101" customFormat="1" ht="14.25" customHeight="1" x14ac:dyDescent="0.2">
      <c r="B172" s="118"/>
      <c r="D172" s="119"/>
      <c r="E172" s="119"/>
    </row>
    <row r="173" spans="2:5" s="101" customFormat="1" ht="14.25" customHeight="1" x14ac:dyDescent="0.2">
      <c r="B173" s="118"/>
      <c r="D173" s="119"/>
      <c r="E173" s="119"/>
    </row>
    <row r="174" spans="2:5" s="101" customFormat="1" ht="14.25" customHeight="1" x14ac:dyDescent="0.2">
      <c r="B174" s="118"/>
      <c r="D174" s="119"/>
      <c r="E174" s="119"/>
    </row>
    <row r="175" spans="2:5" s="101" customFormat="1" ht="14.25" customHeight="1" x14ac:dyDescent="0.2">
      <c r="B175" s="118"/>
      <c r="D175" s="119"/>
      <c r="E175" s="119"/>
    </row>
    <row r="176" spans="2:5" s="101" customFormat="1" ht="14.25" customHeight="1" x14ac:dyDescent="0.2">
      <c r="B176" s="118"/>
      <c r="D176" s="119"/>
      <c r="E176" s="119"/>
    </row>
    <row r="177" spans="2:5" s="101" customFormat="1" ht="14.25" customHeight="1" x14ac:dyDescent="0.2">
      <c r="B177" s="118"/>
      <c r="D177" s="119"/>
      <c r="E177" s="119"/>
    </row>
    <row r="178" spans="2:5" s="101" customFormat="1" ht="14.25" customHeight="1" x14ac:dyDescent="0.2">
      <c r="B178" s="118"/>
      <c r="D178" s="119"/>
      <c r="E178" s="119"/>
    </row>
    <row r="179" spans="2:5" s="101" customFormat="1" ht="14.25" customHeight="1" x14ac:dyDescent="0.2">
      <c r="B179" s="118"/>
      <c r="D179" s="119"/>
      <c r="E179" s="119"/>
    </row>
    <row r="180" spans="2:5" s="101" customFormat="1" ht="14.25" customHeight="1" x14ac:dyDescent="0.2">
      <c r="B180" s="118"/>
      <c r="D180" s="119"/>
      <c r="E180" s="119"/>
    </row>
    <row r="181" spans="2:5" s="101" customFormat="1" ht="14.25" customHeight="1" x14ac:dyDescent="0.2">
      <c r="B181" s="118"/>
      <c r="D181" s="119"/>
      <c r="E181" s="119"/>
    </row>
    <row r="182" spans="2:5" s="101" customFormat="1" ht="14.25" customHeight="1" x14ac:dyDescent="0.2">
      <c r="B182" s="118"/>
      <c r="D182" s="119"/>
      <c r="E182" s="119"/>
    </row>
    <row r="183" spans="2:5" s="101" customFormat="1" ht="14.25" customHeight="1" x14ac:dyDescent="0.2">
      <c r="B183" s="118"/>
      <c r="D183" s="119"/>
      <c r="E183" s="119"/>
    </row>
    <row r="184" spans="2:5" s="101" customFormat="1" ht="14.25" customHeight="1" x14ac:dyDescent="0.2">
      <c r="B184" s="118"/>
      <c r="D184" s="119"/>
      <c r="E184" s="119"/>
    </row>
    <row r="185" spans="2:5" s="101" customFormat="1" ht="14.25" customHeight="1" x14ac:dyDescent="0.2">
      <c r="B185" s="118"/>
      <c r="D185" s="119"/>
      <c r="E185" s="119"/>
    </row>
    <row r="186" spans="2:5" s="101" customFormat="1" ht="14.25" customHeight="1" x14ac:dyDescent="0.2">
      <c r="B186" s="118"/>
      <c r="D186" s="119"/>
      <c r="E186" s="119"/>
    </row>
    <row r="187" spans="2:5" s="101" customFormat="1" ht="14.25" customHeight="1" x14ac:dyDescent="0.2">
      <c r="B187" s="118"/>
      <c r="D187" s="119"/>
      <c r="E187" s="119"/>
    </row>
    <row r="188" spans="2:5" s="101" customFormat="1" ht="14.25" customHeight="1" x14ac:dyDescent="0.2">
      <c r="B188" s="118"/>
      <c r="D188" s="119"/>
      <c r="E188" s="119"/>
    </row>
    <row r="189" spans="2:5" s="101" customFormat="1" ht="14.25" customHeight="1" x14ac:dyDescent="0.2">
      <c r="B189" s="118"/>
      <c r="D189" s="119"/>
      <c r="E189" s="119"/>
    </row>
    <row r="190" spans="2:5" s="101" customFormat="1" ht="14.25" customHeight="1" x14ac:dyDescent="0.2">
      <c r="B190" s="118"/>
      <c r="D190" s="119"/>
      <c r="E190" s="119"/>
    </row>
    <row r="191" spans="2:5" s="101" customFormat="1" ht="14.25" customHeight="1" x14ac:dyDescent="0.2">
      <c r="B191" s="118"/>
      <c r="D191" s="119"/>
      <c r="E191" s="119"/>
    </row>
    <row r="192" spans="2:5" s="101" customFormat="1" ht="14.25" customHeight="1" x14ac:dyDescent="0.2">
      <c r="B192" s="118"/>
      <c r="D192" s="119"/>
      <c r="E192" s="119"/>
    </row>
    <row r="193" spans="2:5" s="101" customFormat="1" ht="14.25" customHeight="1" x14ac:dyDescent="0.2">
      <c r="B193" s="118"/>
      <c r="D193" s="119"/>
      <c r="E193" s="119"/>
    </row>
    <row r="194" spans="2:5" s="101" customFormat="1" ht="14.25" customHeight="1" x14ac:dyDescent="0.2">
      <c r="B194" s="118"/>
      <c r="D194" s="119"/>
      <c r="E194" s="119"/>
    </row>
    <row r="195" spans="2:5" s="101" customFormat="1" ht="14.25" customHeight="1" x14ac:dyDescent="0.2">
      <c r="B195" s="118"/>
      <c r="D195" s="119"/>
      <c r="E195" s="119"/>
    </row>
    <row r="196" spans="2:5" s="101" customFormat="1" ht="14.25" customHeight="1" x14ac:dyDescent="0.2">
      <c r="B196" s="118"/>
      <c r="D196" s="119"/>
      <c r="E196" s="119"/>
    </row>
    <row r="197" spans="2:5" s="101" customFormat="1" ht="14.25" customHeight="1" x14ac:dyDescent="0.2">
      <c r="B197" s="118"/>
      <c r="D197" s="119"/>
      <c r="E197" s="119"/>
    </row>
    <row r="198" spans="2:5" s="101" customFormat="1" ht="14.25" customHeight="1" x14ac:dyDescent="0.2">
      <c r="B198" s="118"/>
      <c r="D198" s="119"/>
      <c r="E198" s="119"/>
    </row>
    <row r="199" spans="2:5" s="101" customFormat="1" ht="14.25" customHeight="1" x14ac:dyDescent="0.2">
      <c r="B199" s="118"/>
      <c r="D199" s="119"/>
      <c r="E199" s="119"/>
    </row>
    <row r="200" spans="2:5" s="101" customFormat="1" ht="14.25" customHeight="1" x14ac:dyDescent="0.2">
      <c r="B200" s="118"/>
      <c r="D200" s="119"/>
      <c r="E200" s="119"/>
    </row>
    <row r="201" spans="2:5" s="101" customFormat="1" ht="14.25" customHeight="1" x14ac:dyDescent="0.2">
      <c r="B201" s="118"/>
      <c r="D201" s="119"/>
      <c r="E201" s="119"/>
    </row>
    <row r="202" spans="2:5" s="101" customFormat="1" ht="14.25" customHeight="1" x14ac:dyDescent="0.2">
      <c r="B202" s="118"/>
      <c r="D202" s="119"/>
      <c r="E202" s="119"/>
    </row>
    <row r="203" spans="2:5" s="101" customFormat="1" ht="14.25" customHeight="1" x14ac:dyDescent="0.2">
      <c r="B203" s="118"/>
      <c r="D203" s="119"/>
      <c r="E203" s="119"/>
    </row>
    <row r="204" spans="2:5" s="101" customFormat="1" ht="14.25" customHeight="1" x14ac:dyDescent="0.2">
      <c r="B204" s="118"/>
      <c r="D204" s="119"/>
      <c r="E204" s="119"/>
    </row>
    <row r="205" spans="2:5" s="101" customFormat="1" ht="14.25" customHeight="1" x14ac:dyDescent="0.2">
      <c r="B205" s="118"/>
      <c r="D205" s="119"/>
      <c r="E205" s="119"/>
    </row>
    <row r="206" spans="2:5" s="101" customFormat="1" ht="14.25" customHeight="1" x14ac:dyDescent="0.2">
      <c r="B206" s="118"/>
      <c r="D206" s="119"/>
      <c r="E206" s="119"/>
    </row>
    <row r="207" spans="2:5" s="101" customFormat="1" ht="14.25" customHeight="1" x14ac:dyDescent="0.2">
      <c r="B207" s="118"/>
      <c r="D207" s="119"/>
      <c r="E207" s="119"/>
    </row>
    <row r="208" spans="2:5" s="101" customFormat="1" ht="14.25" customHeight="1" x14ac:dyDescent="0.2">
      <c r="B208" s="118"/>
      <c r="D208" s="119"/>
      <c r="E208" s="119"/>
    </row>
    <row r="209" spans="2:5" s="101" customFormat="1" ht="14.25" customHeight="1" x14ac:dyDescent="0.2">
      <c r="B209" s="118"/>
      <c r="D209" s="119"/>
      <c r="E209" s="119"/>
    </row>
    <row r="210" spans="2:5" s="101" customFormat="1" ht="14.25" customHeight="1" x14ac:dyDescent="0.2">
      <c r="B210" s="118"/>
      <c r="D210" s="119"/>
      <c r="E210" s="119"/>
    </row>
    <row r="211" spans="2:5" s="101" customFormat="1" ht="14.25" customHeight="1" x14ac:dyDescent="0.2">
      <c r="B211" s="118"/>
      <c r="D211" s="119"/>
      <c r="E211" s="119"/>
    </row>
    <row r="212" spans="2:5" s="101" customFormat="1" ht="14.25" customHeight="1" x14ac:dyDescent="0.2">
      <c r="B212" s="118"/>
      <c r="D212" s="119"/>
      <c r="E212" s="119"/>
    </row>
    <row r="213" spans="2:5" s="101" customFormat="1" ht="14.25" customHeight="1" x14ac:dyDescent="0.2">
      <c r="B213" s="118"/>
      <c r="D213" s="119"/>
      <c r="E213" s="119"/>
    </row>
    <row r="214" spans="2:5" s="101" customFormat="1" ht="14.25" customHeight="1" x14ac:dyDescent="0.2">
      <c r="B214" s="118"/>
      <c r="D214" s="119"/>
      <c r="E214" s="119"/>
    </row>
    <row r="215" spans="2:5" s="101" customFormat="1" ht="14.25" customHeight="1" x14ac:dyDescent="0.2">
      <c r="B215" s="118"/>
      <c r="D215" s="119"/>
      <c r="E215" s="119"/>
    </row>
    <row r="216" spans="2:5" s="101" customFormat="1" ht="14.25" customHeight="1" x14ac:dyDescent="0.2">
      <c r="B216" s="118"/>
      <c r="D216" s="119"/>
      <c r="E216" s="119"/>
    </row>
    <row r="217" spans="2:5" s="101" customFormat="1" ht="14.25" customHeight="1" x14ac:dyDescent="0.2">
      <c r="B217" s="118"/>
      <c r="D217" s="119"/>
      <c r="E217" s="119"/>
    </row>
    <row r="218" spans="2:5" s="101" customFormat="1" ht="14.25" customHeight="1" x14ac:dyDescent="0.2">
      <c r="B218" s="118"/>
      <c r="D218" s="119"/>
      <c r="E218" s="119"/>
    </row>
    <row r="219" spans="2:5" s="101" customFormat="1" ht="14.25" customHeight="1" x14ac:dyDescent="0.2">
      <c r="B219" s="118"/>
      <c r="D219" s="119"/>
      <c r="E219" s="119"/>
    </row>
    <row r="220" spans="2:5" s="101" customFormat="1" ht="14.25" customHeight="1" x14ac:dyDescent="0.2">
      <c r="B220" s="118"/>
      <c r="D220" s="119"/>
      <c r="E220" s="119"/>
    </row>
    <row r="221" spans="2:5" s="101" customFormat="1" ht="14.25" customHeight="1" x14ac:dyDescent="0.2">
      <c r="B221" s="118"/>
      <c r="D221" s="119"/>
      <c r="E221" s="119"/>
    </row>
    <row r="222" spans="2:5" s="101" customFormat="1" ht="14.25" customHeight="1" x14ac:dyDescent="0.2">
      <c r="B222" s="118"/>
      <c r="D222" s="119"/>
      <c r="E222" s="119"/>
    </row>
    <row r="223" spans="2:5" s="101" customFormat="1" ht="14.25" customHeight="1" x14ac:dyDescent="0.2">
      <c r="B223" s="118"/>
      <c r="D223" s="119"/>
      <c r="E223" s="119"/>
    </row>
    <row r="224" spans="2:5" s="101" customFormat="1" ht="14.25" customHeight="1" x14ac:dyDescent="0.2">
      <c r="B224" s="118"/>
      <c r="D224" s="119"/>
      <c r="E224" s="119"/>
    </row>
    <row r="225" spans="2:5" s="101" customFormat="1" ht="14.25" customHeight="1" x14ac:dyDescent="0.2">
      <c r="B225" s="118"/>
      <c r="D225" s="119"/>
      <c r="E225" s="119"/>
    </row>
    <row r="226" spans="2:5" s="101" customFormat="1" ht="14.25" customHeight="1" x14ac:dyDescent="0.2">
      <c r="B226" s="118"/>
      <c r="D226" s="119"/>
      <c r="E226" s="119"/>
    </row>
    <row r="227" spans="2:5" s="101" customFormat="1" ht="14.25" customHeight="1" x14ac:dyDescent="0.2">
      <c r="B227" s="118"/>
      <c r="D227" s="119"/>
      <c r="E227" s="119"/>
    </row>
    <row r="228" spans="2:5" s="101" customFormat="1" ht="14.25" customHeight="1" x14ac:dyDescent="0.2">
      <c r="B228" s="118"/>
      <c r="D228" s="119"/>
      <c r="E228" s="119"/>
    </row>
    <row r="229" spans="2:5" s="101" customFormat="1" ht="14.25" customHeight="1" x14ac:dyDescent="0.2">
      <c r="B229" s="118"/>
      <c r="D229" s="119"/>
      <c r="E229" s="119"/>
    </row>
    <row r="230" spans="2:5" s="101" customFormat="1" ht="14.25" customHeight="1" x14ac:dyDescent="0.2">
      <c r="B230" s="118"/>
      <c r="D230" s="119"/>
      <c r="E230" s="119"/>
    </row>
    <row r="231" spans="2:5" s="101" customFormat="1" ht="14.25" customHeight="1" x14ac:dyDescent="0.2">
      <c r="B231" s="118"/>
      <c r="D231" s="119"/>
      <c r="E231" s="119"/>
    </row>
    <row r="232" spans="2:5" s="101" customFormat="1" ht="14.25" customHeight="1" x14ac:dyDescent="0.2">
      <c r="B232" s="118"/>
      <c r="D232" s="119"/>
      <c r="E232" s="119"/>
    </row>
    <row r="233" spans="2:5" s="101" customFormat="1" ht="14.25" customHeight="1" x14ac:dyDescent="0.2">
      <c r="B233" s="118"/>
      <c r="D233" s="119"/>
      <c r="E233" s="119"/>
    </row>
    <row r="234" spans="2:5" s="101" customFormat="1" ht="14.25" customHeight="1" x14ac:dyDescent="0.2">
      <c r="B234" s="118"/>
      <c r="D234" s="119"/>
      <c r="E234" s="119"/>
    </row>
    <row r="235" spans="2:5" s="101" customFormat="1" ht="14.25" customHeight="1" x14ac:dyDescent="0.2">
      <c r="B235" s="118"/>
      <c r="D235" s="119"/>
      <c r="E235" s="119"/>
    </row>
    <row r="236" spans="2:5" s="101" customFormat="1" ht="14.25" customHeight="1" x14ac:dyDescent="0.2">
      <c r="B236" s="118"/>
      <c r="D236" s="119"/>
      <c r="E236" s="119"/>
    </row>
    <row r="237" spans="2:5" s="101" customFormat="1" ht="14.25" customHeight="1" x14ac:dyDescent="0.2">
      <c r="B237" s="118"/>
      <c r="D237" s="119"/>
      <c r="E237" s="119"/>
    </row>
    <row r="238" spans="2:5" s="101" customFormat="1" ht="14.25" customHeight="1" x14ac:dyDescent="0.2">
      <c r="B238" s="118"/>
      <c r="D238" s="119"/>
      <c r="E238" s="119"/>
    </row>
    <row r="239" spans="2:5" s="101" customFormat="1" ht="14.25" customHeight="1" x14ac:dyDescent="0.2">
      <c r="B239" s="118"/>
      <c r="D239" s="119"/>
      <c r="E239" s="119"/>
    </row>
    <row r="240" spans="2:5" s="101" customFormat="1" ht="14.25" customHeight="1" x14ac:dyDescent="0.2">
      <c r="B240" s="118"/>
      <c r="D240" s="119"/>
      <c r="E240" s="119"/>
    </row>
    <row r="241" spans="2:5" s="101" customFormat="1" ht="14.25" customHeight="1" x14ac:dyDescent="0.2">
      <c r="B241" s="118"/>
      <c r="D241" s="119"/>
      <c r="E241" s="119"/>
    </row>
    <row r="242" spans="2:5" s="101" customFormat="1" ht="14.25" customHeight="1" x14ac:dyDescent="0.2">
      <c r="B242" s="118"/>
      <c r="D242" s="119"/>
      <c r="E242" s="119"/>
    </row>
    <row r="243" spans="2:5" s="101" customFormat="1" ht="14.25" customHeight="1" x14ac:dyDescent="0.2">
      <c r="B243" s="118"/>
      <c r="D243" s="119"/>
      <c r="E243" s="119"/>
    </row>
    <row r="244" spans="2:5" s="101" customFormat="1" ht="14.25" customHeight="1" x14ac:dyDescent="0.2">
      <c r="B244" s="118"/>
      <c r="D244" s="119"/>
      <c r="E244" s="119"/>
    </row>
    <row r="245" spans="2:5" s="101" customFormat="1" ht="14.25" customHeight="1" x14ac:dyDescent="0.2">
      <c r="B245" s="118"/>
      <c r="D245" s="119"/>
      <c r="E245" s="119"/>
    </row>
    <row r="246" spans="2:5" s="101" customFormat="1" ht="14.25" customHeight="1" x14ac:dyDescent="0.2">
      <c r="B246" s="118"/>
      <c r="D246" s="119"/>
      <c r="E246" s="119"/>
    </row>
    <row r="247" spans="2:5" s="101" customFormat="1" ht="14.25" customHeight="1" x14ac:dyDescent="0.2">
      <c r="B247" s="118"/>
      <c r="D247" s="119"/>
      <c r="E247" s="119"/>
    </row>
    <row r="248" spans="2:5" s="101" customFormat="1" ht="14.25" customHeight="1" x14ac:dyDescent="0.2">
      <c r="B248" s="118"/>
      <c r="D248" s="119"/>
      <c r="E248" s="119"/>
    </row>
    <row r="249" spans="2:5" s="101" customFormat="1" ht="14.25" customHeight="1" x14ac:dyDescent="0.2">
      <c r="B249" s="118"/>
      <c r="D249" s="119"/>
      <c r="E249" s="119"/>
    </row>
    <row r="250" spans="2:5" s="101" customFormat="1" ht="14.25" customHeight="1" x14ac:dyDescent="0.2">
      <c r="B250" s="118"/>
      <c r="D250" s="119"/>
      <c r="E250" s="119"/>
    </row>
    <row r="251" spans="2:5" s="101" customFormat="1" ht="14.25" customHeight="1" x14ac:dyDescent="0.2">
      <c r="B251" s="118"/>
      <c r="D251" s="119"/>
      <c r="E251" s="119"/>
    </row>
    <row r="252" spans="2:5" s="101" customFormat="1" ht="14.25" customHeight="1" x14ac:dyDescent="0.2">
      <c r="B252" s="118"/>
      <c r="D252" s="119"/>
      <c r="E252" s="119"/>
    </row>
    <row r="253" spans="2:5" s="101" customFormat="1" ht="14.25" customHeight="1" x14ac:dyDescent="0.2">
      <c r="B253" s="118"/>
      <c r="D253" s="119"/>
      <c r="E253" s="119"/>
    </row>
    <row r="254" spans="2:5" s="101" customFormat="1" ht="14.25" customHeight="1" x14ac:dyDescent="0.2">
      <c r="B254" s="118"/>
      <c r="D254" s="119"/>
      <c r="E254" s="119"/>
    </row>
    <row r="255" spans="2:5" s="101" customFormat="1" ht="14.25" customHeight="1" x14ac:dyDescent="0.2">
      <c r="B255" s="118"/>
      <c r="D255" s="119"/>
      <c r="E255" s="119"/>
    </row>
    <row r="256" spans="2:5" s="101" customFormat="1" ht="14.25" customHeight="1" x14ac:dyDescent="0.2">
      <c r="B256" s="118"/>
      <c r="D256" s="119"/>
      <c r="E256" s="119"/>
    </row>
    <row r="257" spans="2:5" s="101" customFormat="1" ht="14.25" customHeight="1" x14ac:dyDescent="0.2">
      <c r="B257" s="118"/>
      <c r="D257" s="119"/>
      <c r="E257" s="119"/>
    </row>
    <row r="258" spans="2:5" s="101" customFormat="1" ht="14.25" customHeight="1" x14ac:dyDescent="0.2">
      <c r="B258" s="118"/>
      <c r="D258" s="119"/>
      <c r="E258" s="119"/>
    </row>
    <row r="259" spans="2:5" s="101" customFormat="1" ht="14.25" customHeight="1" x14ac:dyDescent="0.2">
      <c r="B259" s="118"/>
      <c r="D259" s="119"/>
      <c r="E259" s="119"/>
    </row>
    <row r="260" spans="2:5" s="101" customFormat="1" ht="14.25" customHeight="1" x14ac:dyDescent="0.2">
      <c r="B260" s="118"/>
      <c r="D260" s="119"/>
      <c r="E260" s="119"/>
    </row>
    <row r="261" spans="2:5" s="101" customFormat="1" ht="14.25" customHeight="1" x14ac:dyDescent="0.2">
      <c r="B261" s="118"/>
      <c r="D261" s="119"/>
      <c r="E261" s="119"/>
    </row>
    <row r="262" spans="2:5" s="101" customFormat="1" ht="14.25" customHeight="1" x14ac:dyDescent="0.2">
      <c r="B262" s="118"/>
      <c r="D262" s="119"/>
      <c r="E262" s="119"/>
    </row>
    <row r="263" spans="2:5" s="101" customFormat="1" ht="14.25" customHeight="1" x14ac:dyDescent="0.2">
      <c r="B263" s="118"/>
      <c r="D263" s="119"/>
      <c r="E263" s="119"/>
    </row>
    <row r="264" spans="2:5" s="101" customFormat="1" ht="14.25" customHeight="1" x14ac:dyDescent="0.2">
      <c r="B264" s="118"/>
      <c r="D264" s="119"/>
      <c r="E264" s="119"/>
    </row>
    <row r="265" spans="2:5" s="101" customFormat="1" ht="14.25" customHeight="1" x14ac:dyDescent="0.2">
      <c r="B265" s="118"/>
      <c r="D265" s="119"/>
      <c r="E265" s="119"/>
    </row>
    <row r="266" spans="2:5" s="101" customFormat="1" ht="14.25" customHeight="1" x14ac:dyDescent="0.2">
      <c r="B266" s="118"/>
      <c r="D266" s="119"/>
      <c r="E266" s="119"/>
    </row>
    <row r="267" spans="2:5" s="101" customFormat="1" ht="14.25" customHeight="1" x14ac:dyDescent="0.2">
      <c r="B267" s="118"/>
      <c r="D267" s="119"/>
      <c r="E267" s="119"/>
    </row>
    <row r="268" spans="2:5" s="101" customFormat="1" ht="14.25" customHeight="1" x14ac:dyDescent="0.2">
      <c r="B268" s="118"/>
      <c r="D268" s="119"/>
      <c r="E268" s="119"/>
    </row>
    <row r="269" spans="2:5" s="101" customFormat="1" ht="14.25" customHeight="1" x14ac:dyDescent="0.2">
      <c r="B269" s="118"/>
      <c r="D269" s="119"/>
      <c r="E269" s="119"/>
    </row>
    <row r="270" spans="2:5" s="101" customFormat="1" ht="14.25" customHeight="1" x14ac:dyDescent="0.2">
      <c r="B270" s="118"/>
      <c r="D270" s="119"/>
      <c r="E270" s="119"/>
    </row>
    <row r="271" spans="2:5" s="101" customFormat="1" ht="14.25" customHeight="1" x14ac:dyDescent="0.2">
      <c r="B271" s="118"/>
      <c r="D271" s="119"/>
      <c r="E271" s="119"/>
    </row>
    <row r="272" spans="2:5" s="101" customFormat="1" ht="14.25" customHeight="1" x14ac:dyDescent="0.2">
      <c r="B272" s="118"/>
      <c r="D272" s="119"/>
      <c r="E272" s="119"/>
    </row>
    <row r="273" spans="2:5" s="101" customFormat="1" ht="14.25" customHeight="1" x14ac:dyDescent="0.2">
      <c r="B273" s="118"/>
      <c r="D273" s="119"/>
      <c r="E273" s="119"/>
    </row>
    <row r="274" spans="2:5" s="101" customFormat="1" ht="14.25" customHeight="1" x14ac:dyDescent="0.2">
      <c r="B274" s="118"/>
      <c r="D274" s="119"/>
      <c r="E274" s="119"/>
    </row>
    <row r="275" spans="2:5" s="101" customFormat="1" ht="14.25" customHeight="1" x14ac:dyDescent="0.2">
      <c r="B275" s="118"/>
      <c r="D275" s="119"/>
      <c r="E275" s="119"/>
    </row>
    <row r="276" spans="2:5" s="101" customFormat="1" ht="14.25" customHeight="1" x14ac:dyDescent="0.2">
      <c r="B276" s="118"/>
      <c r="D276" s="119"/>
      <c r="E276" s="119"/>
    </row>
    <row r="277" spans="2:5" s="101" customFormat="1" ht="14.25" customHeight="1" x14ac:dyDescent="0.2">
      <c r="B277" s="118"/>
      <c r="D277" s="119"/>
      <c r="E277" s="119"/>
    </row>
    <row r="278" spans="2:5" s="101" customFormat="1" ht="14.25" customHeight="1" x14ac:dyDescent="0.2">
      <c r="B278" s="118"/>
      <c r="D278" s="119"/>
      <c r="E278" s="119"/>
    </row>
    <row r="279" spans="2:5" s="101" customFormat="1" ht="14.25" customHeight="1" x14ac:dyDescent="0.2">
      <c r="B279" s="118"/>
      <c r="D279" s="119"/>
      <c r="E279" s="119"/>
    </row>
    <row r="280" spans="2:5" s="101" customFormat="1" ht="14.25" customHeight="1" x14ac:dyDescent="0.2">
      <c r="B280" s="118"/>
      <c r="D280" s="119"/>
      <c r="E280" s="119"/>
    </row>
    <row r="281" spans="2:5" s="101" customFormat="1" ht="14.25" customHeight="1" x14ac:dyDescent="0.2">
      <c r="B281" s="118"/>
      <c r="D281" s="119"/>
      <c r="E281" s="119"/>
    </row>
    <row r="282" spans="2:5" s="101" customFormat="1" ht="14.25" customHeight="1" x14ac:dyDescent="0.2">
      <c r="B282" s="118"/>
      <c r="D282" s="119"/>
      <c r="E282" s="119"/>
    </row>
    <row r="283" spans="2:5" s="101" customFormat="1" ht="14.25" customHeight="1" x14ac:dyDescent="0.2">
      <c r="B283" s="118"/>
      <c r="D283" s="119"/>
      <c r="E283" s="119"/>
    </row>
    <row r="284" spans="2:5" s="101" customFormat="1" ht="14.25" customHeight="1" x14ac:dyDescent="0.2">
      <c r="B284" s="118"/>
      <c r="D284" s="119"/>
      <c r="E284" s="119"/>
    </row>
    <row r="285" spans="2:5" s="101" customFormat="1" ht="14.25" customHeight="1" x14ac:dyDescent="0.2">
      <c r="B285" s="118"/>
      <c r="D285" s="119"/>
      <c r="E285" s="119"/>
    </row>
    <row r="286" spans="2:5" s="101" customFormat="1" ht="14.25" customHeight="1" x14ac:dyDescent="0.2">
      <c r="B286" s="118"/>
      <c r="D286" s="119"/>
      <c r="E286" s="119"/>
    </row>
    <row r="287" spans="2:5" s="101" customFormat="1" ht="14.25" customHeight="1" x14ac:dyDescent="0.2">
      <c r="B287" s="118"/>
      <c r="D287" s="119"/>
      <c r="E287" s="119"/>
    </row>
    <row r="288" spans="2:5" s="101" customFormat="1" ht="14.25" customHeight="1" x14ac:dyDescent="0.2">
      <c r="B288" s="118"/>
      <c r="D288" s="119"/>
      <c r="E288" s="119"/>
    </row>
    <row r="289" spans="2:5" s="101" customFormat="1" ht="14.25" customHeight="1" x14ac:dyDescent="0.2">
      <c r="B289" s="118"/>
      <c r="D289" s="119"/>
      <c r="E289" s="119"/>
    </row>
    <row r="290" spans="2:5" s="101" customFormat="1" ht="14.25" customHeight="1" x14ac:dyDescent="0.2">
      <c r="B290" s="118"/>
      <c r="D290" s="119"/>
      <c r="E290" s="119"/>
    </row>
    <row r="291" spans="2:5" s="101" customFormat="1" ht="14.25" customHeight="1" x14ac:dyDescent="0.2">
      <c r="B291" s="118"/>
      <c r="D291" s="119"/>
      <c r="E291" s="119"/>
    </row>
    <row r="292" spans="2:5" s="101" customFormat="1" ht="14.25" customHeight="1" x14ac:dyDescent="0.2">
      <c r="B292" s="118"/>
      <c r="D292" s="119"/>
      <c r="E292" s="119"/>
    </row>
    <row r="293" spans="2:5" s="101" customFormat="1" ht="14.25" customHeight="1" x14ac:dyDescent="0.2">
      <c r="B293" s="118"/>
      <c r="D293" s="119"/>
      <c r="E293" s="119"/>
    </row>
    <row r="294" spans="2:5" s="101" customFormat="1" ht="14.25" customHeight="1" x14ac:dyDescent="0.2">
      <c r="B294" s="118"/>
      <c r="D294" s="119"/>
      <c r="E294" s="119"/>
    </row>
    <row r="295" spans="2:5" s="101" customFormat="1" ht="14.25" customHeight="1" x14ac:dyDescent="0.2">
      <c r="B295" s="118"/>
      <c r="D295" s="119"/>
      <c r="E295" s="119"/>
    </row>
    <row r="296" spans="2:5" s="101" customFormat="1" ht="14.25" customHeight="1" x14ac:dyDescent="0.2">
      <c r="B296" s="118"/>
      <c r="D296" s="119"/>
      <c r="E296" s="119"/>
    </row>
    <row r="297" spans="2:5" s="101" customFormat="1" ht="14.25" customHeight="1" x14ac:dyDescent="0.2">
      <c r="B297" s="118"/>
      <c r="D297" s="119"/>
      <c r="E297" s="119"/>
    </row>
    <row r="298" spans="2:5" s="101" customFormat="1" ht="14.25" customHeight="1" x14ac:dyDescent="0.2">
      <c r="B298" s="118"/>
      <c r="D298" s="119"/>
      <c r="E298" s="119"/>
    </row>
    <row r="299" spans="2:5" s="101" customFormat="1" ht="14.25" customHeight="1" x14ac:dyDescent="0.2">
      <c r="B299" s="118"/>
      <c r="D299" s="119"/>
      <c r="E299" s="119"/>
    </row>
    <row r="300" spans="2:5" s="101" customFormat="1" ht="14.25" customHeight="1" x14ac:dyDescent="0.2">
      <c r="B300" s="118"/>
      <c r="D300" s="119"/>
      <c r="E300" s="119"/>
    </row>
    <row r="301" spans="2:5" s="101" customFormat="1" ht="14.25" customHeight="1" x14ac:dyDescent="0.2">
      <c r="B301" s="118"/>
      <c r="D301" s="119"/>
      <c r="E301" s="119"/>
    </row>
    <row r="302" spans="2:5" s="101" customFormat="1" ht="14.25" customHeight="1" x14ac:dyDescent="0.2">
      <c r="B302" s="118"/>
      <c r="D302" s="119"/>
      <c r="E302" s="119"/>
    </row>
    <row r="303" spans="2:5" s="101" customFormat="1" ht="14.25" customHeight="1" x14ac:dyDescent="0.2">
      <c r="B303" s="118"/>
      <c r="D303" s="119"/>
      <c r="E303" s="119"/>
    </row>
    <row r="304" spans="2:5" s="101" customFormat="1" ht="14.25" customHeight="1" x14ac:dyDescent="0.2">
      <c r="B304" s="118"/>
      <c r="D304" s="119"/>
      <c r="E304" s="119"/>
    </row>
    <row r="305" spans="2:5" s="101" customFormat="1" ht="14.25" customHeight="1" x14ac:dyDescent="0.2">
      <c r="B305" s="118"/>
      <c r="D305" s="119"/>
      <c r="E305" s="119"/>
    </row>
    <row r="306" spans="2:5" s="101" customFormat="1" ht="14.25" customHeight="1" x14ac:dyDescent="0.2">
      <c r="B306" s="118"/>
      <c r="D306" s="119"/>
      <c r="E306" s="119"/>
    </row>
    <row r="307" spans="2:5" s="101" customFormat="1" ht="14.25" customHeight="1" x14ac:dyDescent="0.2">
      <c r="B307" s="118"/>
      <c r="D307" s="119"/>
      <c r="E307" s="119"/>
    </row>
    <row r="308" spans="2:5" s="101" customFormat="1" ht="14.25" customHeight="1" x14ac:dyDescent="0.2">
      <c r="B308" s="118"/>
      <c r="D308" s="119"/>
      <c r="E308" s="119"/>
    </row>
    <row r="309" spans="2:5" s="101" customFormat="1" ht="14.25" customHeight="1" x14ac:dyDescent="0.2">
      <c r="B309" s="118"/>
      <c r="D309" s="119"/>
      <c r="E309" s="119"/>
    </row>
    <row r="310" spans="2:5" s="101" customFormat="1" ht="14.25" customHeight="1" x14ac:dyDescent="0.2">
      <c r="B310" s="118"/>
      <c r="D310" s="119"/>
      <c r="E310" s="119"/>
    </row>
    <row r="311" spans="2:5" s="101" customFormat="1" ht="45.75" customHeight="1" x14ac:dyDescent="0.2">
      <c r="B311" s="118"/>
      <c r="D311" s="119"/>
      <c r="E311" s="119"/>
    </row>
    <row r="312" spans="2:5" s="101" customFormat="1" ht="14.25" customHeight="1" x14ac:dyDescent="0.2">
      <c r="B312" s="118"/>
      <c r="D312" s="119"/>
      <c r="E312" s="119"/>
    </row>
    <row r="313" spans="2:5" s="101" customFormat="1" ht="14.25" customHeight="1" x14ac:dyDescent="0.2">
      <c r="B313" s="118"/>
      <c r="D313" s="119"/>
      <c r="E313" s="119"/>
    </row>
    <row r="314" spans="2:5" s="101" customFormat="1" ht="14.25" customHeight="1" x14ac:dyDescent="0.2">
      <c r="B314" s="118"/>
      <c r="D314" s="119"/>
      <c r="E314" s="119"/>
    </row>
    <row r="315" spans="2:5" s="101" customFormat="1" ht="14.25" customHeight="1" x14ac:dyDescent="0.2">
      <c r="B315" s="118"/>
      <c r="D315" s="119"/>
      <c r="E315" s="119"/>
    </row>
    <row r="316" spans="2:5" s="101" customFormat="1" ht="14.25" customHeight="1" x14ac:dyDescent="0.2">
      <c r="B316" s="118"/>
      <c r="D316" s="119"/>
      <c r="E316" s="119"/>
    </row>
    <row r="317" spans="2:5" s="101" customFormat="1" ht="14.25" customHeight="1" x14ac:dyDescent="0.2">
      <c r="B317" s="118"/>
      <c r="D317" s="119"/>
      <c r="E317" s="119"/>
    </row>
    <row r="318" spans="2:5" s="101" customFormat="1" ht="14.25" customHeight="1" x14ac:dyDescent="0.2">
      <c r="B318" s="118"/>
      <c r="D318" s="119"/>
      <c r="E318" s="119"/>
    </row>
    <row r="319" spans="2:5" s="101" customFormat="1" ht="14.25" customHeight="1" x14ac:dyDescent="0.2">
      <c r="B319" s="118"/>
      <c r="D319" s="119"/>
      <c r="E319" s="119"/>
    </row>
    <row r="320" spans="2:5" s="101" customFormat="1" ht="14.25" customHeight="1" x14ac:dyDescent="0.2">
      <c r="B320" s="118"/>
      <c r="D320" s="119"/>
      <c r="E320" s="119"/>
    </row>
    <row r="321" spans="2:5" s="101" customFormat="1" ht="14.25" customHeight="1" x14ac:dyDescent="0.2">
      <c r="B321" s="118"/>
      <c r="D321" s="119"/>
      <c r="E321" s="119"/>
    </row>
    <row r="322" spans="2:5" s="101" customFormat="1" ht="14.25" customHeight="1" x14ac:dyDescent="0.2">
      <c r="B322" s="118"/>
      <c r="D322" s="119"/>
      <c r="E322" s="119"/>
    </row>
    <row r="323" spans="2:5" s="101" customFormat="1" ht="14.25" customHeight="1" x14ac:dyDescent="0.2">
      <c r="B323" s="118"/>
      <c r="D323" s="119"/>
      <c r="E323" s="119"/>
    </row>
    <row r="324" spans="2:5" s="101" customFormat="1" ht="14.25" customHeight="1" x14ac:dyDescent="0.2">
      <c r="B324" s="118"/>
      <c r="D324" s="119"/>
      <c r="E324" s="119"/>
    </row>
    <row r="325" spans="2:5" s="101" customFormat="1" ht="14.25" customHeight="1" x14ac:dyDescent="0.2">
      <c r="B325" s="118"/>
      <c r="D325" s="119"/>
      <c r="E325" s="119"/>
    </row>
    <row r="326" spans="2:5" s="101" customFormat="1" ht="14.25" customHeight="1" x14ac:dyDescent="0.2">
      <c r="B326" s="118"/>
      <c r="D326" s="119"/>
      <c r="E326" s="119"/>
    </row>
    <row r="327" spans="2:5" s="101" customFormat="1" ht="14.25" customHeight="1" x14ac:dyDescent="0.2">
      <c r="B327" s="118"/>
      <c r="D327" s="119"/>
      <c r="E327" s="119"/>
    </row>
    <row r="328" spans="2:5" s="101" customFormat="1" ht="14.25" customHeight="1" x14ac:dyDescent="0.2">
      <c r="B328" s="118"/>
      <c r="D328" s="119"/>
      <c r="E328" s="119"/>
    </row>
    <row r="329" spans="2:5" s="101" customFormat="1" ht="14.25" customHeight="1" x14ac:dyDescent="0.2">
      <c r="B329" s="118"/>
      <c r="D329" s="119"/>
      <c r="E329" s="119"/>
    </row>
    <row r="330" spans="2:5" s="101" customFormat="1" ht="14.25" customHeight="1" x14ac:dyDescent="0.2">
      <c r="B330" s="118"/>
      <c r="D330" s="119"/>
      <c r="E330" s="119"/>
    </row>
    <row r="331" spans="2:5" s="101" customFormat="1" ht="14.25" customHeight="1" x14ac:dyDescent="0.2">
      <c r="B331" s="118"/>
      <c r="D331" s="119"/>
      <c r="E331" s="119"/>
    </row>
    <row r="332" spans="2:5" s="101" customFormat="1" ht="14.25" customHeight="1" x14ac:dyDescent="0.2">
      <c r="B332" s="118"/>
      <c r="D332" s="119"/>
      <c r="E332" s="119"/>
    </row>
    <row r="333" spans="2:5" s="101" customFormat="1" ht="14.25" customHeight="1" x14ac:dyDescent="0.2">
      <c r="B333" s="118"/>
      <c r="D333" s="119"/>
      <c r="E333" s="119"/>
    </row>
    <row r="334" spans="2:5" s="101" customFormat="1" ht="14.25" customHeight="1" x14ac:dyDescent="0.2">
      <c r="B334" s="118"/>
      <c r="D334" s="119"/>
      <c r="E334" s="119"/>
    </row>
    <row r="335" spans="2:5" s="101" customFormat="1" ht="14.25" customHeight="1" x14ac:dyDescent="0.2">
      <c r="B335" s="118"/>
      <c r="D335" s="119"/>
      <c r="E335" s="119"/>
    </row>
    <row r="336" spans="2:5" s="101" customFormat="1" ht="14.25" customHeight="1" x14ac:dyDescent="0.2">
      <c r="B336" s="118"/>
      <c r="D336" s="119"/>
      <c r="E336" s="119"/>
    </row>
    <row r="337" spans="2:5" s="101" customFormat="1" ht="14.25" customHeight="1" x14ac:dyDescent="0.2">
      <c r="B337" s="118"/>
      <c r="D337" s="119"/>
      <c r="E337" s="119"/>
    </row>
    <row r="338" spans="2:5" s="101" customFormat="1" ht="14.25" customHeight="1" x14ac:dyDescent="0.2">
      <c r="B338" s="118"/>
      <c r="D338" s="119"/>
      <c r="E338" s="119"/>
    </row>
    <row r="339" spans="2:5" s="101" customFormat="1" ht="14.25" customHeight="1" x14ac:dyDescent="0.2">
      <c r="B339" s="118"/>
      <c r="D339" s="119"/>
      <c r="E339" s="119"/>
    </row>
    <row r="340" spans="2:5" s="101" customFormat="1" ht="14.25" customHeight="1" x14ac:dyDescent="0.2">
      <c r="B340" s="118"/>
      <c r="D340" s="119"/>
      <c r="E340" s="119"/>
    </row>
    <row r="341" spans="2:5" s="101" customFormat="1" ht="14.25" customHeight="1" x14ac:dyDescent="0.2">
      <c r="B341" s="118"/>
      <c r="D341" s="119"/>
      <c r="E341" s="119"/>
    </row>
    <row r="342" spans="2:5" s="101" customFormat="1" ht="14.25" customHeight="1" x14ac:dyDescent="0.2">
      <c r="B342" s="118"/>
      <c r="D342" s="119"/>
      <c r="E342" s="119"/>
    </row>
    <row r="343" spans="2:5" s="101" customFormat="1" ht="14.25" customHeight="1" x14ac:dyDescent="0.2">
      <c r="B343" s="118"/>
      <c r="D343" s="119"/>
      <c r="E343" s="119"/>
    </row>
    <row r="344" spans="2:5" s="101" customFormat="1" ht="14.25" customHeight="1" x14ac:dyDescent="0.2">
      <c r="B344" s="118"/>
      <c r="D344" s="119"/>
      <c r="E344" s="119"/>
    </row>
    <row r="345" spans="2:5" s="101" customFormat="1" ht="14.25" customHeight="1" x14ac:dyDescent="0.2">
      <c r="B345" s="118"/>
      <c r="D345" s="119"/>
      <c r="E345" s="119"/>
    </row>
    <row r="346" spans="2:5" s="101" customFormat="1" ht="14.25" customHeight="1" x14ac:dyDescent="0.2">
      <c r="B346" s="118"/>
      <c r="D346" s="119"/>
      <c r="E346" s="119"/>
    </row>
    <row r="347" spans="2:5" s="101" customFormat="1" ht="14.25" customHeight="1" x14ac:dyDescent="0.2">
      <c r="B347" s="118"/>
      <c r="D347" s="119"/>
      <c r="E347" s="119"/>
    </row>
    <row r="348" spans="2:5" s="101" customFormat="1" ht="14.25" customHeight="1" x14ac:dyDescent="0.2">
      <c r="B348" s="118"/>
      <c r="D348" s="119"/>
      <c r="E348" s="119"/>
    </row>
    <row r="349" spans="2:5" s="101" customFormat="1" ht="14.25" customHeight="1" x14ac:dyDescent="0.2">
      <c r="B349" s="118"/>
      <c r="D349" s="119"/>
      <c r="E349" s="119"/>
    </row>
    <row r="350" spans="2:5" s="101" customFormat="1" ht="55.5" customHeight="1" x14ac:dyDescent="0.2">
      <c r="B350" s="118"/>
      <c r="D350" s="119"/>
      <c r="E350" s="119"/>
    </row>
    <row r="351" spans="2:5" s="101" customFormat="1" ht="14.25" customHeight="1" x14ac:dyDescent="0.2">
      <c r="B351" s="118"/>
      <c r="D351" s="119"/>
      <c r="E351" s="119"/>
    </row>
    <row r="352" spans="2:5" s="101" customFormat="1" ht="14.25" customHeight="1" x14ac:dyDescent="0.2">
      <c r="B352" s="118"/>
      <c r="D352" s="119"/>
      <c r="E352" s="119"/>
    </row>
    <row r="353" spans="2:5" s="101" customFormat="1" ht="14.25" customHeight="1" x14ac:dyDescent="0.2">
      <c r="B353" s="118"/>
      <c r="D353" s="119"/>
      <c r="E353" s="119"/>
    </row>
    <row r="354" spans="2:5" s="101" customFormat="1" ht="14.25" customHeight="1" x14ac:dyDescent="0.2">
      <c r="B354" s="118"/>
      <c r="D354" s="119"/>
      <c r="E354" s="119"/>
    </row>
    <row r="355" spans="2:5" s="101" customFormat="1" ht="14.25" customHeight="1" x14ac:dyDescent="0.2">
      <c r="B355" s="118"/>
      <c r="D355" s="119"/>
      <c r="E355" s="119"/>
    </row>
    <row r="356" spans="2:5" s="101" customFormat="1" ht="58.5" customHeight="1" x14ac:dyDescent="0.2">
      <c r="B356" s="118"/>
      <c r="D356" s="119"/>
      <c r="E356" s="119"/>
    </row>
    <row r="357" spans="2:5" s="101" customFormat="1" ht="50.25" customHeight="1" x14ac:dyDescent="0.2">
      <c r="B357" s="118"/>
      <c r="D357" s="119"/>
      <c r="E357" s="119"/>
    </row>
    <row r="358" spans="2:5" s="101" customFormat="1" ht="14.25" customHeight="1" x14ac:dyDescent="0.2">
      <c r="B358" s="118"/>
      <c r="D358" s="119"/>
      <c r="E358" s="119"/>
    </row>
    <row r="359" spans="2:5" s="101" customFormat="1" ht="14.25" customHeight="1" x14ac:dyDescent="0.2">
      <c r="B359" s="118"/>
      <c r="D359" s="119"/>
      <c r="E359" s="119"/>
    </row>
    <row r="360" spans="2:5" s="101" customFormat="1" ht="14.25" customHeight="1" x14ac:dyDescent="0.2">
      <c r="B360" s="118"/>
      <c r="D360" s="119"/>
      <c r="E360" s="119"/>
    </row>
    <row r="361" spans="2:5" s="101" customFormat="1" ht="14.25" customHeight="1" x14ac:dyDescent="0.2">
      <c r="B361" s="118"/>
      <c r="D361" s="119"/>
      <c r="E361" s="119"/>
    </row>
    <row r="362" spans="2:5" s="101" customFormat="1" ht="14.25" customHeight="1" x14ac:dyDescent="0.2">
      <c r="B362" s="118"/>
      <c r="D362" s="119"/>
      <c r="E362" s="119"/>
    </row>
    <row r="363" spans="2:5" s="101" customFormat="1" ht="14.25" customHeight="1" x14ac:dyDescent="0.2">
      <c r="B363" s="118"/>
      <c r="D363" s="119"/>
      <c r="E363" s="119"/>
    </row>
    <row r="364" spans="2:5" s="101" customFormat="1" ht="14.25" customHeight="1" x14ac:dyDescent="0.2">
      <c r="B364" s="118"/>
      <c r="D364" s="119"/>
      <c r="E364" s="119"/>
    </row>
    <row r="365" spans="2:5" s="101" customFormat="1" ht="14.25" customHeight="1" x14ac:dyDescent="0.2">
      <c r="B365" s="118"/>
      <c r="D365" s="119"/>
      <c r="E365" s="119"/>
    </row>
    <row r="366" spans="2:5" s="101" customFormat="1" ht="14.25" customHeight="1" x14ac:dyDescent="0.2">
      <c r="B366" s="118"/>
      <c r="D366" s="119"/>
      <c r="E366" s="119"/>
    </row>
    <row r="367" spans="2:5" s="101" customFormat="1" ht="14.25" customHeight="1" x14ac:dyDescent="0.2">
      <c r="B367" s="118"/>
      <c r="D367" s="119"/>
      <c r="E367" s="119"/>
    </row>
    <row r="368" spans="2:5" s="101" customFormat="1" ht="14.25" customHeight="1" x14ac:dyDescent="0.2">
      <c r="B368" s="118"/>
      <c r="D368" s="119"/>
      <c r="E368" s="119"/>
    </row>
    <row r="369" spans="2:5" s="101" customFormat="1" ht="14.25" customHeight="1" x14ac:dyDescent="0.2">
      <c r="B369" s="118"/>
      <c r="D369" s="119"/>
      <c r="E369" s="119"/>
    </row>
    <row r="370" spans="2:5" s="101" customFormat="1" ht="14.25" customHeight="1" x14ac:dyDescent="0.2">
      <c r="B370" s="118"/>
      <c r="D370" s="119"/>
      <c r="E370" s="119"/>
    </row>
    <row r="371" spans="2:5" s="101" customFormat="1" ht="14.25" customHeight="1" x14ac:dyDescent="0.2">
      <c r="B371" s="118"/>
      <c r="D371" s="119"/>
      <c r="E371" s="119"/>
    </row>
    <row r="372" spans="2:5" s="101" customFormat="1" ht="14.25" customHeight="1" x14ac:dyDescent="0.2">
      <c r="B372" s="118"/>
      <c r="D372" s="119"/>
      <c r="E372" s="119"/>
    </row>
    <row r="373" spans="2:5" s="101" customFormat="1" ht="14.25" customHeight="1" x14ac:dyDescent="0.2">
      <c r="B373" s="118"/>
      <c r="D373" s="119"/>
      <c r="E373" s="119"/>
    </row>
    <row r="374" spans="2:5" s="101" customFormat="1" ht="14.25" customHeight="1" x14ac:dyDescent="0.2">
      <c r="B374" s="118"/>
      <c r="D374" s="119"/>
      <c r="E374" s="119"/>
    </row>
    <row r="375" spans="2:5" s="101" customFormat="1" ht="14.25" customHeight="1" x14ac:dyDescent="0.2">
      <c r="B375" s="118"/>
      <c r="D375" s="119"/>
      <c r="E375" s="119"/>
    </row>
    <row r="376" spans="2:5" s="101" customFormat="1" ht="14.25" customHeight="1" x14ac:dyDescent="0.2">
      <c r="B376" s="118"/>
      <c r="D376" s="119"/>
      <c r="E376" s="119"/>
    </row>
    <row r="377" spans="2:5" s="101" customFormat="1" ht="14.25" customHeight="1" x14ac:dyDescent="0.2">
      <c r="B377" s="118"/>
      <c r="D377" s="119"/>
      <c r="E377" s="119"/>
    </row>
    <row r="378" spans="2:5" s="101" customFormat="1" ht="14.25" customHeight="1" x14ac:dyDescent="0.2">
      <c r="B378" s="118"/>
      <c r="D378" s="119"/>
      <c r="E378" s="119"/>
    </row>
    <row r="379" spans="2:5" s="101" customFormat="1" ht="14.25" customHeight="1" x14ac:dyDescent="0.2">
      <c r="B379" s="118"/>
      <c r="D379" s="119"/>
      <c r="E379" s="119"/>
    </row>
    <row r="380" spans="2:5" s="101" customFormat="1" ht="14.25" customHeight="1" x14ac:dyDescent="0.2">
      <c r="B380" s="118"/>
      <c r="D380" s="119"/>
      <c r="E380" s="119"/>
    </row>
    <row r="381" spans="2:5" s="101" customFormat="1" ht="14.25" customHeight="1" x14ac:dyDescent="0.2">
      <c r="B381" s="118"/>
      <c r="D381" s="119"/>
      <c r="E381" s="119"/>
    </row>
    <row r="382" spans="2:5" s="101" customFormat="1" ht="14.25" customHeight="1" x14ac:dyDescent="0.2">
      <c r="B382" s="118"/>
      <c r="D382" s="119"/>
      <c r="E382" s="119"/>
    </row>
    <row r="383" spans="2:5" s="101" customFormat="1" ht="14.25" customHeight="1" x14ac:dyDescent="0.2">
      <c r="B383" s="118"/>
      <c r="D383" s="119"/>
      <c r="E383" s="119"/>
    </row>
    <row r="384" spans="2:5" s="101" customFormat="1" ht="14.25" customHeight="1" x14ac:dyDescent="0.2">
      <c r="B384" s="118"/>
      <c r="D384" s="119"/>
      <c r="E384" s="119"/>
    </row>
    <row r="385" spans="2:5" s="101" customFormat="1" ht="14.25" customHeight="1" x14ac:dyDescent="0.2">
      <c r="B385" s="118"/>
      <c r="D385" s="119"/>
      <c r="E385" s="119"/>
    </row>
    <row r="386" spans="2:5" s="101" customFormat="1" ht="14.25" customHeight="1" x14ac:dyDescent="0.2">
      <c r="B386" s="118"/>
      <c r="D386" s="119"/>
      <c r="E386" s="119"/>
    </row>
    <row r="387" spans="2:5" s="101" customFormat="1" ht="14.25" customHeight="1" x14ac:dyDescent="0.2">
      <c r="B387" s="118"/>
      <c r="D387" s="119"/>
      <c r="E387" s="119"/>
    </row>
    <row r="388" spans="2:5" s="101" customFormat="1" ht="14.25" customHeight="1" x14ac:dyDescent="0.2">
      <c r="B388" s="118"/>
      <c r="D388" s="119"/>
      <c r="E388" s="119"/>
    </row>
    <row r="389" spans="2:5" s="101" customFormat="1" ht="14.25" customHeight="1" x14ac:dyDescent="0.2">
      <c r="B389" s="118"/>
      <c r="D389" s="119"/>
      <c r="E389" s="119"/>
    </row>
    <row r="390" spans="2:5" s="101" customFormat="1" ht="14.25" customHeight="1" x14ac:dyDescent="0.2">
      <c r="B390" s="118"/>
      <c r="D390" s="119"/>
      <c r="E390" s="119"/>
    </row>
    <row r="391" spans="2:5" s="101" customFormat="1" ht="14.25" customHeight="1" x14ac:dyDescent="0.2">
      <c r="B391" s="118"/>
      <c r="D391" s="119"/>
      <c r="E391" s="119"/>
    </row>
    <row r="392" spans="2:5" s="101" customFormat="1" ht="14.25" customHeight="1" x14ac:dyDescent="0.2">
      <c r="B392" s="118"/>
      <c r="D392" s="119"/>
      <c r="E392" s="119"/>
    </row>
    <row r="393" spans="2:5" s="101" customFormat="1" ht="14.25" customHeight="1" x14ac:dyDescent="0.2">
      <c r="B393" s="118"/>
      <c r="D393" s="119"/>
      <c r="E393" s="119"/>
    </row>
    <row r="394" spans="2:5" s="101" customFormat="1" ht="14.25" customHeight="1" x14ac:dyDescent="0.2">
      <c r="B394" s="118"/>
      <c r="D394" s="119"/>
      <c r="E394" s="119"/>
    </row>
    <row r="395" spans="2:5" s="101" customFormat="1" ht="14.25" customHeight="1" x14ac:dyDescent="0.2">
      <c r="B395" s="118"/>
      <c r="D395" s="119"/>
      <c r="E395" s="119"/>
    </row>
    <row r="396" spans="2:5" s="101" customFormat="1" ht="14.25" customHeight="1" x14ac:dyDescent="0.2">
      <c r="B396" s="118"/>
      <c r="D396" s="119"/>
      <c r="E396" s="119"/>
    </row>
    <row r="397" spans="2:5" s="101" customFormat="1" ht="14.25" customHeight="1" x14ac:dyDescent="0.2">
      <c r="B397" s="118"/>
      <c r="D397" s="119"/>
      <c r="E397" s="119"/>
    </row>
    <row r="398" spans="2:5" s="101" customFormat="1" ht="14.25" customHeight="1" x14ac:dyDescent="0.2">
      <c r="B398" s="118"/>
      <c r="D398" s="119"/>
      <c r="E398" s="119"/>
    </row>
    <row r="399" spans="2:5" s="101" customFormat="1" ht="14.25" customHeight="1" x14ac:dyDescent="0.2">
      <c r="B399" s="118"/>
      <c r="D399" s="119"/>
      <c r="E399" s="119"/>
    </row>
    <row r="400" spans="2:5" s="101" customFormat="1" ht="14.25" customHeight="1" x14ac:dyDescent="0.2">
      <c r="B400" s="118"/>
      <c r="D400" s="119"/>
      <c r="E400" s="119"/>
    </row>
    <row r="401" spans="2:5" s="101" customFormat="1" ht="14.25" customHeight="1" x14ac:dyDescent="0.2">
      <c r="B401" s="118"/>
      <c r="D401" s="119"/>
      <c r="E401" s="119"/>
    </row>
    <row r="402" spans="2:5" s="101" customFormat="1" ht="14.25" customHeight="1" x14ac:dyDescent="0.2">
      <c r="B402" s="118"/>
      <c r="D402" s="119"/>
      <c r="E402" s="119"/>
    </row>
    <row r="403" spans="2:5" s="101" customFormat="1" ht="14.25" customHeight="1" x14ac:dyDescent="0.2">
      <c r="B403" s="118"/>
      <c r="D403" s="119"/>
      <c r="E403" s="119"/>
    </row>
    <row r="404" spans="2:5" s="101" customFormat="1" ht="14.25" customHeight="1" x14ac:dyDescent="0.2">
      <c r="B404" s="118"/>
      <c r="D404" s="119"/>
      <c r="E404" s="119"/>
    </row>
    <row r="405" spans="2:5" s="101" customFormat="1" ht="14.25" customHeight="1" x14ac:dyDescent="0.2">
      <c r="B405" s="118"/>
      <c r="D405" s="119"/>
      <c r="E405" s="119"/>
    </row>
    <row r="406" spans="2:5" s="101" customFormat="1" ht="14.25" customHeight="1" x14ac:dyDescent="0.2">
      <c r="B406" s="118"/>
      <c r="D406" s="119"/>
      <c r="E406" s="119"/>
    </row>
    <row r="407" spans="2:5" s="101" customFormat="1" ht="14.25" customHeight="1" x14ac:dyDescent="0.2">
      <c r="B407" s="118"/>
      <c r="D407" s="119"/>
      <c r="E407" s="119"/>
    </row>
    <row r="408" spans="2:5" s="101" customFormat="1" ht="14.25" customHeight="1" x14ac:dyDescent="0.2">
      <c r="B408" s="118"/>
      <c r="D408" s="119"/>
      <c r="E408" s="119"/>
    </row>
    <row r="409" spans="2:5" s="101" customFormat="1" ht="14.25" customHeight="1" x14ac:dyDescent="0.2">
      <c r="B409" s="118"/>
      <c r="D409" s="119"/>
      <c r="E409" s="119"/>
    </row>
    <row r="410" spans="2:5" s="101" customFormat="1" ht="14.25" customHeight="1" x14ac:dyDescent="0.2">
      <c r="B410" s="118"/>
      <c r="D410" s="119"/>
      <c r="E410" s="119"/>
    </row>
    <row r="411" spans="2:5" s="101" customFormat="1" ht="14.25" customHeight="1" x14ac:dyDescent="0.2">
      <c r="B411" s="118"/>
      <c r="D411" s="119"/>
      <c r="E411" s="119"/>
    </row>
    <row r="412" spans="2:5" s="101" customFormat="1" ht="14.25" customHeight="1" x14ac:dyDescent="0.2">
      <c r="B412" s="118"/>
      <c r="D412" s="119"/>
      <c r="E412" s="119"/>
    </row>
    <row r="413" spans="2:5" s="101" customFormat="1" ht="14.25" customHeight="1" x14ac:dyDescent="0.2">
      <c r="B413" s="118"/>
      <c r="D413" s="119"/>
      <c r="E413" s="119"/>
    </row>
    <row r="414" spans="2:5" s="101" customFormat="1" ht="14.25" customHeight="1" x14ac:dyDescent="0.2">
      <c r="B414" s="118"/>
      <c r="D414" s="119"/>
      <c r="E414" s="119"/>
    </row>
    <row r="415" spans="2:5" s="101" customFormat="1" ht="14.25" customHeight="1" x14ac:dyDescent="0.2">
      <c r="B415" s="118"/>
      <c r="D415" s="119"/>
      <c r="E415" s="119"/>
    </row>
    <row r="416" spans="2:5" s="101" customFormat="1" ht="14.25" customHeight="1" x14ac:dyDescent="0.2">
      <c r="B416" s="118"/>
      <c r="D416" s="119"/>
      <c r="E416" s="119"/>
    </row>
    <row r="417" spans="2:5" s="101" customFormat="1" ht="14.25" customHeight="1" x14ac:dyDescent="0.2">
      <c r="B417" s="118"/>
      <c r="D417" s="119"/>
      <c r="E417" s="119"/>
    </row>
    <row r="418" spans="2:5" s="101" customFormat="1" ht="14.25" customHeight="1" x14ac:dyDescent="0.2">
      <c r="B418" s="118"/>
      <c r="D418" s="119"/>
      <c r="E418" s="119"/>
    </row>
    <row r="419" spans="2:5" s="101" customFormat="1" ht="14.25" customHeight="1" x14ac:dyDescent="0.2">
      <c r="B419" s="118"/>
      <c r="D419" s="119"/>
      <c r="E419" s="119"/>
    </row>
    <row r="420" spans="2:5" s="101" customFormat="1" ht="14.25" customHeight="1" x14ac:dyDescent="0.2">
      <c r="B420" s="118"/>
      <c r="D420" s="119"/>
      <c r="E420" s="119"/>
    </row>
    <row r="421" spans="2:5" s="101" customFormat="1" ht="14.25" customHeight="1" x14ac:dyDescent="0.2">
      <c r="B421" s="118"/>
      <c r="D421" s="119"/>
      <c r="E421" s="119"/>
    </row>
    <row r="422" spans="2:5" s="101" customFormat="1" ht="14.25" customHeight="1" x14ac:dyDescent="0.2">
      <c r="B422" s="118"/>
      <c r="D422" s="119"/>
      <c r="E422" s="119"/>
    </row>
    <row r="423" spans="2:5" s="101" customFormat="1" ht="14.25" customHeight="1" x14ac:dyDescent="0.2">
      <c r="B423" s="118"/>
      <c r="D423" s="119"/>
      <c r="E423" s="119"/>
    </row>
    <row r="424" spans="2:5" s="101" customFormat="1" ht="14.25" customHeight="1" x14ac:dyDescent="0.2">
      <c r="B424" s="118"/>
      <c r="D424" s="119"/>
      <c r="E424" s="119"/>
    </row>
    <row r="425" spans="2:5" s="101" customFormat="1" ht="14.25" customHeight="1" x14ac:dyDescent="0.2">
      <c r="B425" s="118"/>
      <c r="D425" s="119"/>
      <c r="E425" s="119"/>
    </row>
    <row r="426" spans="2:5" s="101" customFormat="1" ht="14.25" customHeight="1" x14ac:dyDescent="0.2">
      <c r="B426" s="118"/>
      <c r="D426" s="119"/>
      <c r="E426" s="119"/>
    </row>
    <row r="427" spans="2:5" s="101" customFormat="1" ht="14.25" customHeight="1" x14ac:dyDescent="0.2">
      <c r="B427" s="118"/>
      <c r="D427" s="119"/>
      <c r="E427" s="119"/>
    </row>
    <row r="428" spans="2:5" s="101" customFormat="1" ht="14.25" customHeight="1" x14ac:dyDescent="0.2">
      <c r="B428" s="118"/>
      <c r="D428" s="119"/>
      <c r="E428" s="119"/>
    </row>
    <row r="429" spans="2:5" s="101" customFormat="1" ht="14.25" customHeight="1" x14ac:dyDescent="0.2">
      <c r="B429" s="118"/>
      <c r="D429" s="119"/>
      <c r="E429" s="119"/>
    </row>
    <row r="430" spans="2:5" s="101" customFormat="1" ht="14.25" customHeight="1" x14ac:dyDescent="0.2">
      <c r="B430" s="118"/>
      <c r="D430" s="119"/>
      <c r="E430" s="119"/>
    </row>
    <row r="431" spans="2:5" s="101" customFormat="1" ht="14.25" customHeight="1" x14ac:dyDescent="0.2">
      <c r="B431" s="118"/>
      <c r="D431" s="119"/>
      <c r="E431" s="119"/>
    </row>
    <row r="432" spans="2:5" s="101" customFormat="1" ht="14.25" customHeight="1" x14ac:dyDescent="0.2">
      <c r="B432" s="118"/>
      <c r="D432" s="119"/>
      <c r="E432" s="119"/>
    </row>
    <row r="433" spans="2:5" s="101" customFormat="1" ht="14.25" customHeight="1" x14ac:dyDescent="0.2">
      <c r="B433" s="118"/>
      <c r="D433" s="119"/>
      <c r="E433" s="119"/>
    </row>
    <row r="434" spans="2:5" s="101" customFormat="1" ht="14.25" customHeight="1" x14ac:dyDescent="0.2">
      <c r="B434" s="118"/>
      <c r="D434" s="119"/>
      <c r="E434" s="119"/>
    </row>
    <row r="435" spans="2:5" s="101" customFormat="1" ht="14.25" customHeight="1" x14ac:dyDescent="0.2">
      <c r="B435" s="118"/>
      <c r="D435" s="119"/>
      <c r="E435" s="119"/>
    </row>
    <row r="436" spans="2:5" s="101" customFormat="1" ht="14.25" customHeight="1" x14ac:dyDescent="0.2">
      <c r="B436" s="118"/>
      <c r="D436" s="119"/>
      <c r="E436" s="119"/>
    </row>
    <row r="437" spans="2:5" s="101" customFormat="1" ht="14.25" customHeight="1" x14ac:dyDescent="0.2">
      <c r="B437" s="118"/>
      <c r="D437" s="119"/>
      <c r="E437" s="119"/>
    </row>
    <row r="438" spans="2:5" s="101" customFormat="1" ht="14.25" customHeight="1" x14ac:dyDescent="0.2">
      <c r="B438" s="118"/>
      <c r="D438" s="119"/>
      <c r="E438" s="119"/>
    </row>
    <row r="439" spans="2:5" s="101" customFormat="1" ht="14.25" customHeight="1" x14ac:dyDescent="0.2">
      <c r="B439" s="118"/>
      <c r="D439" s="119"/>
      <c r="E439" s="119"/>
    </row>
    <row r="440" spans="2:5" s="101" customFormat="1" ht="14.25" customHeight="1" x14ac:dyDescent="0.2">
      <c r="B440" s="118"/>
      <c r="D440" s="119"/>
      <c r="E440" s="119"/>
    </row>
    <row r="441" spans="2:5" s="101" customFormat="1" ht="14.25" customHeight="1" x14ac:dyDescent="0.2">
      <c r="B441" s="118"/>
      <c r="D441" s="119"/>
      <c r="E441" s="119"/>
    </row>
    <row r="442" spans="2:5" s="101" customFormat="1" ht="14.25" customHeight="1" x14ac:dyDescent="0.2">
      <c r="B442" s="118"/>
      <c r="D442" s="119"/>
      <c r="E442" s="119"/>
    </row>
    <row r="443" spans="2:5" s="101" customFormat="1" ht="14.25" customHeight="1" x14ac:dyDescent="0.2">
      <c r="B443" s="118"/>
      <c r="D443" s="119"/>
      <c r="E443" s="119"/>
    </row>
    <row r="444" spans="2:5" s="101" customFormat="1" ht="14.25" customHeight="1" x14ac:dyDescent="0.2">
      <c r="B444" s="118"/>
      <c r="D444" s="119"/>
      <c r="E444" s="119"/>
    </row>
    <row r="445" spans="2:5" s="101" customFormat="1" ht="14.25" customHeight="1" x14ac:dyDescent="0.2">
      <c r="B445" s="118"/>
      <c r="D445" s="119"/>
      <c r="E445" s="119"/>
    </row>
    <row r="446" spans="2:5" s="101" customFormat="1" ht="14.25" customHeight="1" x14ac:dyDescent="0.2">
      <c r="B446" s="118"/>
      <c r="D446" s="119"/>
      <c r="E446" s="119"/>
    </row>
    <row r="447" spans="2:5" s="101" customFormat="1" ht="14.25" customHeight="1" x14ac:dyDescent="0.2">
      <c r="B447" s="118"/>
      <c r="D447" s="119"/>
      <c r="E447" s="119"/>
    </row>
    <row r="448" spans="2:5" s="101" customFormat="1" ht="14.25" customHeight="1" x14ac:dyDescent="0.2">
      <c r="B448" s="118"/>
      <c r="D448" s="119"/>
      <c r="E448" s="119"/>
    </row>
    <row r="449" spans="2:5" s="101" customFormat="1" ht="14.25" customHeight="1" x14ac:dyDescent="0.2">
      <c r="B449" s="118"/>
      <c r="D449" s="119"/>
      <c r="E449" s="119"/>
    </row>
    <row r="450" spans="2:5" s="101" customFormat="1" ht="14.25" customHeight="1" x14ac:dyDescent="0.2">
      <c r="B450" s="118"/>
      <c r="D450" s="119"/>
      <c r="E450" s="119"/>
    </row>
    <row r="451" spans="2:5" s="101" customFormat="1" ht="14.25" customHeight="1" x14ac:dyDescent="0.2">
      <c r="B451" s="118"/>
      <c r="D451" s="119"/>
      <c r="E451" s="119"/>
    </row>
    <row r="452" spans="2:5" s="101" customFormat="1" ht="14.25" customHeight="1" x14ac:dyDescent="0.2">
      <c r="B452" s="118"/>
      <c r="D452" s="119"/>
      <c r="E452" s="119"/>
    </row>
    <row r="453" spans="2:5" s="101" customFormat="1" ht="14.25" customHeight="1" x14ac:dyDescent="0.2">
      <c r="B453" s="118"/>
      <c r="D453" s="119"/>
      <c r="E453" s="119"/>
    </row>
    <row r="454" spans="2:5" s="101" customFormat="1" ht="14.25" customHeight="1" x14ac:dyDescent="0.2">
      <c r="B454" s="118"/>
      <c r="D454" s="119"/>
      <c r="E454" s="119"/>
    </row>
    <row r="455" spans="2:5" s="101" customFormat="1" ht="14.25" customHeight="1" x14ac:dyDescent="0.2">
      <c r="B455" s="118"/>
      <c r="D455" s="119"/>
      <c r="E455" s="119"/>
    </row>
    <row r="456" spans="2:5" s="101" customFormat="1" ht="14.25" customHeight="1" x14ac:dyDescent="0.2">
      <c r="B456" s="118"/>
      <c r="D456" s="119"/>
      <c r="E456" s="119"/>
    </row>
    <row r="457" spans="2:5" s="101" customFormat="1" ht="14.25" customHeight="1" x14ac:dyDescent="0.2">
      <c r="B457" s="118"/>
      <c r="D457" s="119"/>
      <c r="E457" s="119"/>
    </row>
    <row r="458" spans="2:5" s="101" customFormat="1" ht="14.25" customHeight="1" x14ac:dyDescent="0.2">
      <c r="B458" s="118"/>
      <c r="D458" s="119"/>
      <c r="E458" s="119"/>
    </row>
    <row r="459" spans="2:5" s="101" customFormat="1" ht="14.25" customHeight="1" x14ac:dyDescent="0.2">
      <c r="B459" s="118"/>
      <c r="D459" s="119"/>
      <c r="E459" s="119"/>
    </row>
    <row r="460" spans="2:5" s="101" customFormat="1" ht="14.25" customHeight="1" x14ac:dyDescent="0.2">
      <c r="B460" s="118"/>
      <c r="D460" s="119"/>
      <c r="E460" s="119"/>
    </row>
    <row r="461" spans="2:5" s="101" customFormat="1" ht="14.25" customHeight="1" x14ac:dyDescent="0.2">
      <c r="B461" s="118"/>
      <c r="D461" s="119"/>
      <c r="E461" s="119"/>
    </row>
    <row r="462" spans="2:5" s="101" customFormat="1" ht="14.25" customHeight="1" x14ac:dyDescent="0.2">
      <c r="B462" s="118"/>
      <c r="D462" s="119"/>
      <c r="E462" s="119"/>
    </row>
    <row r="463" spans="2:5" s="101" customFormat="1" ht="14.25" customHeight="1" x14ac:dyDescent="0.2">
      <c r="B463" s="118"/>
      <c r="D463" s="119"/>
      <c r="E463" s="119"/>
    </row>
    <row r="464" spans="2:5" s="101" customFormat="1" ht="14.25" customHeight="1" x14ac:dyDescent="0.2">
      <c r="B464" s="118"/>
      <c r="D464" s="119"/>
      <c r="E464" s="119"/>
    </row>
    <row r="465" spans="2:5" s="101" customFormat="1" ht="14.25" customHeight="1" x14ac:dyDescent="0.2">
      <c r="B465" s="118"/>
      <c r="D465" s="119"/>
      <c r="E465" s="119"/>
    </row>
    <row r="466" spans="2:5" s="101" customFormat="1" ht="57" customHeight="1" x14ac:dyDescent="0.2">
      <c r="B466" s="118"/>
      <c r="D466" s="119"/>
      <c r="E466" s="119"/>
    </row>
    <row r="467" spans="2:5" s="101" customFormat="1" ht="57.75" customHeight="1" x14ac:dyDescent="0.2">
      <c r="B467" s="118"/>
      <c r="D467" s="119"/>
      <c r="E467" s="119"/>
    </row>
    <row r="468" spans="2:5" s="101" customFormat="1" ht="60" customHeight="1" x14ac:dyDescent="0.2">
      <c r="B468" s="118"/>
      <c r="D468" s="119"/>
      <c r="E468" s="119"/>
    </row>
    <row r="469" spans="2:5" s="101" customFormat="1" ht="57.75" customHeight="1" x14ac:dyDescent="0.2">
      <c r="B469" s="118"/>
      <c r="D469" s="119"/>
      <c r="E469" s="119"/>
    </row>
    <row r="470" spans="2:5" s="101" customFormat="1" ht="58.5" customHeight="1" x14ac:dyDescent="0.2">
      <c r="B470" s="118"/>
      <c r="D470" s="119"/>
      <c r="E470" s="119"/>
    </row>
    <row r="471" spans="2:5" s="101" customFormat="1" ht="56.25" customHeight="1" x14ac:dyDescent="0.2">
      <c r="B471" s="118"/>
      <c r="D471" s="119"/>
      <c r="E471" s="119"/>
    </row>
    <row r="472" spans="2:5" s="101" customFormat="1" ht="56.25" customHeight="1" x14ac:dyDescent="0.2">
      <c r="B472" s="118"/>
      <c r="D472" s="119"/>
      <c r="E472" s="119"/>
    </row>
    <row r="473" spans="2:5" s="101" customFormat="1" ht="58.5" customHeight="1" x14ac:dyDescent="0.2">
      <c r="B473" s="118"/>
      <c r="D473" s="119"/>
      <c r="E473" s="119"/>
    </row>
    <row r="474" spans="2:5" s="101" customFormat="1" ht="58.5" customHeight="1" x14ac:dyDescent="0.2">
      <c r="B474" s="118"/>
      <c r="D474" s="119"/>
      <c r="E474" s="119"/>
    </row>
    <row r="475" spans="2:5" s="101" customFormat="1" ht="43.5" customHeight="1" x14ac:dyDescent="0.2">
      <c r="B475" s="118"/>
      <c r="D475" s="119"/>
      <c r="E475" s="119"/>
    </row>
    <row r="476" spans="2:5" s="101" customFormat="1" ht="38.25" customHeight="1" x14ac:dyDescent="0.2">
      <c r="B476" s="118"/>
      <c r="D476" s="119"/>
      <c r="E476" s="119"/>
    </row>
    <row r="477" spans="2:5" s="101" customFormat="1" ht="39.75" customHeight="1" x14ac:dyDescent="0.2">
      <c r="B477" s="118"/>
      <c r="D477" s="119"/>
      <c r="E477" s="119"/>
    </row>
    <row r="478" spans="2:5" s="101" customFormat="1" ht="41.25" customHeight="1" x14ac:dyDescent="0.2">
      <c r="B478" s="118"/>
      <c r="D478" s="119"/>
      <c r="E478" s="119"/>
    </row>
    <row r="479" spans="2:5" s="101" customFormat="1" ht="57" customHeight="1" x14ac:dyDescent="0.2">
      <c r="B479" s="118"/>
      <c r="D479" s="119"/>
      <c r="E479" s="119"/>
    </row>
    <row r="480" spans="2:5" s="101" customFormat="1" ht="56.25" customHeight="1" x14ac:dyDescent="0.2">
      <c r="B480" s="118"/>
      <c r="D480" s="119"/>
      <c r="E480" s="119"/>
    </row>
    <row r="481" spans="2:5" s="101" customFormat="1" ht="57.75" customHeight="1" x14ac:dyDescent="0.2">
      <c r="B481" s="118"/>
      <c r="D481" s="119"/>
      <c r="E481" s="119"/>
    </row>
    <row r="482" spans="2:5" s="101" customFormat="1" ht="56.25" customHeight="1" x14ac:dyDescent="0.2">
      <c r="B482" s="118"/>
      <c r="D482" s="119"/>
      <c r="E482" s="119"/>
    </row>
    <row r="483" spans="2:5" s="101" customFormat="1" ht="56.25" customHeight="1" x14ac:dyDescent="0.2">
      <c r="B483" s="118"/>
      <c r="D483" s="119"/>
      <c r="E483" s="119"/>
    </row>
    <row r="484" spans="2:5" s="101" customFormat="1" ht="66.75" customHeight="1" x14ac:dyDescent="0.2">
      <c r="B484" s="118"/>
      <c r="D484" s="119"/>
      <c r="E484" s="119"/>
    </row>
    <row r="485" spans="2:5" s="101" customFormat="1" ht="66" customHeight="1" x14ac:dyDescent="0.2">
      <c r="B485" s="118"/>
      <c r="D485" s="119"/>
      <c r="E485" s="119"/>
    </row>
    <row r="486" spans="2:5" s="101" customFormat="1" ht="63.75" customHeight="1" x14ac:dyDescent="0.2">
      <c r="B486" s="118"/>
      <c r="D486" s="119"/>
      <c r="E486" s="119"/>
    </row>
    <row r="487" spans="2:5" s="101" customFormat="1" ht="56.25" customHeight="1" x14ac:dyDescent="0.2">
      <c r="B487" s="118"/>
      <c r="D487" s="119"/>
      <c r="E487" s="119"/>
    </row>
    <row r="488" spans="2:5" s="101" customFormat="1" ht="60.75" customHeight="1" x14ac:dyDescent="0.2">
      <c r="B488" s="118"/>
      <c r="D488" s="119"/>
      <c r="E488" s="119"/>
    </row>
    <row r="489" spans="2:5" s="101" customFormat="1" ht="67.5" customHeight="1" x14ac:dyDescent="0.2">
      <c r="B489" s="118"/>
      <c r="D489" s="119"/>
      <c r="E489" s="119"/>
    </row>
    <row r="490" spans="2:5" s="101" customFormat="1" ht="60" customHeight="1" x14ac:dyDescent="0.2">
      <c r="B490" s="118"/>
      <c r="D490" s="119"/>
      <c r="E490" s="119"/>
    </row>
    <row r="491" spans="2:5" s="101" customFormat="1" ht="70.5" customHeight="1" x14ac:dyDescent="0.2">
      <c r="B491" s="118"/>
      <c r="D491" s="119"/>
      <c r="E491" s="119"/>
    </row>
    <row r="492" spans="2:5" s="101" customFormat="1" ht="60" customHeight="1" x14ac:dyDescent="0.2">
      <c r="B492" s="118"/>
      <c r="D492" s="119"/>
      <c r="E492" s="119"/>
    </row>
    <row r="493" spans="2:5" s="101" customFormat="1" ht="57.75" customHeight="1" x14ac:dyDescent="0.2">
      <c r="B493" s="118"/>
      <c r="D493" s="119"/>
      <c r="E493" s="119"/>
    </row>
    <row r="494" spans="2:5" s="101" customFormat="1" ht="59.25" customHeight="1" x14ac:dyDescent="0.2">
      <c r="B494" s="118"/>
      <c r="D494" s="119"/>
      <c r="E494" s="119"/>
    </row>
    <row r="495" spans="2:5" s="101" customFormat="1" ht="56.25" customHeight="1" x14ac:dyDescent="0.2">
      <c r="B495" s="118"/>
      <c r="D495" s="119"/>
      <c r="E495" s="119"/>
    </row>
    <row r="496" spans="2:5" s="101" customFormat="1" ht="57" customHeight="1" x14ac:dyDescent="0.2">
      <c r="B496" s="118"/>
      <c r="D496" s="119"/>
      <c r="E496" s="119"/>
    </row>
    <row r="497" spans="2:5" s="101" customFormat="1" ht="59.25" customHeight="1" x14ac:dyDescent="0.2">
      <c r="B497" s="118"/>
      <c r="D497" s="119"/>
      <c r="E497" s="119"/>
    </row>
    <row r="498" spans="2:5" s="101" customFormat="1" ht="65.25" customHeight="1" x14ac:dyDescent="0.2">
      <c r="B498" s="118"/>
      <c r="D498" s="119"/>
      <c r="E498" s="119"/>
    </row>
    <row r="499" spans="2:5" s="101" customFormat="1" ht="54" customHeight="1" x14ac:dyDescent="0.2">
      <c r="B499" s="118"/>
      <c r="D499" s="119"/>
      <c r="E499" s="119"/>
    </row>
    <row r="500" spans="2:5" s="101" customFormat="1" ht="65.25" customHeight="1" x14ac:dyDescent="0.2">
      <c r="B500" s="118"/>
      <c r="D500" s="119"/>
      <c r="E500" s="119"/>
    </row>
    <row r="501" spans="2:5" s="101" customFormat="1" ht="63.75" customHeight="1" x14ac:dyDescent="0.2">
      <c r="B501" s="118"/>
      <c r="D501" s="119"/>
      <c r="E501" s="119"/>
    </row>
    <row r="502" spans="2:5" s="101" customFormat="1" ht="60" customHeight="1" x14ac:dyDescent="0.2">
      <c r="B502" s="118"/>
      <c r="D502" s="119"/>
      <c r="E502" s="119"/>
    </row>
    <row r="503" spans="2:5" s="101" customFormat="1" ht="57" customHeight="1" x14ac:dyDescent="0.2">
      <c r="B503" s="118"/>
      <c r="D503" s="119"/>
      <c r="E503" s="119"/>
    </row>
    <row r="504" spans="2:5" s="101" customFormat="1" ht="60.75" customHeight="1" x14ac:dyDescent="0.2">
      <c r="B504" s="118"/>
      <c r="D504" s="119"/>
      <c r="E504" s="119"/>
    </row>
    <row r="505" spans="2:5" s="101" customFormat="1" ht="55.5" customHeight="1" x14ac:dyDescent="0.2">
      <c r="B505" s="118"/>
      <c r="D505" s="119"/>
      <c r="E505" s="119"/>
    </row>
    <row r="506" spans="2:5" s="101" customFormat="1" ht="14.25" customHeight="1" x14ac:dyDescent="0.2">
      <c r="B506" s="118"/>
      <c r="D506" s="119"/>
      <c r="E506" s="119"/>
    </row>
    <row r="507" spans="2:5" s="101" customFormat="1" ht="14.25" customHeight="1" x14ac:dyDescent="0.2">
      <c r="B507" s="118"/>
      <c r="D507" s="119"/>
      <c r="E507" s="119"/>
    </row>
    <row r="508" spans="2:5" s="101" customFormat="1" ht="14.25" customHeight="1" x14ac:dyDescent="0.2">
      <c r="B508" s="118"/>
      <c r="D508" s="119"/>
      <c r="E508" s="119"/>
    </row>
    <row r="509" spans="2:5" ht="18" customHeight="1" x14ac:dyDescent="0.2"/>
    <row r="510" spans="2:5" ht="11.25" customHeight="1" x14ac:dyDescent="0.2"/>
    <row r="511" spans="2:5" ht="60.75" customHeight="1" x14ac:dyDescent="0.2"/>
    <row r="512" spans="2:5" ht="57" customHeight="1" x14ac:dyDescent="0.2"/>
    <row r="513" ht="51" customHeight="1" x14ac:dyDescent="0.2"/>
    <row r="514" ht="54" customHeight="1" x14ac:dyDescent="0.2"/>
    <row r="515" ht="49.5" customHeight="1" x14ac:dyDescent="0.2"/>
    <row r="516" ht="49.5" customHeight="1" x14ac:dyDescent="0.2"/>
    <row r="517" ht="51.75" customHeight="1" x14ac:dyDescent="0.2"/>
    <row r="518" ht="52.5" customHeight="1" x14ac:dyDescent="0.2"/>
    <row r="519" ht="56.25" customHeight="1" x14ac:dyDescent="0.2"/>
    <row r="520" ht="39.75" customHeight="1" x14ac:dyDescent="0.2"/>
    <row r="521" ht="41.25" customHeight="1" x14ac:dyDescent="0.2"/>
    <row r="522" ht="53.25" customHeight="1" x14ac:dyDescent="0.2"/>
    <row r="523" ht="52.5" customHeight="1" x14ac:dyDescent="0.2"/>
    <row r="524" ht="48" customHeight="1" x14ac:dyDescent="0.2"/>
    <row r="525" ht="62.25" customHeight="1" x14ac:dyDescent="0.2"/>
    <row r="526" ht="42" customHeight="1" x14ac:dyDescent="0.2"/>
    <row r="527" ht="42" customHeight="1" x14ac:dyDescent="0.2"/>
    <row r="528" ht="51" customHeight="1" x14ac:dyDescent="0.2"/>
    <row r="529" ht="50.25" customHeight="1" x14ac:dyDescent="0.2"/>
    <row r="530" ht="60" customHeight="1" x14ac:dyDescent="0.2"/>
    <row r="531" ht="58.5" customHeight="1" x14ac:dyDescent="0.2"/>
    <row r="532" ht="51" customHeight="1" x14ac:dyDescent="0.2"/>
    <row r="533" ht="60" customHeight="1" x14ac:dyDescent="0.2"/>
    <row r="534" ht="51" customHeight="1" x14ac:dyDescent="0.2"/>
    <row r="535" ht="55.5" customHeight="1" x14ac:dyDescent="0.2"/>
    <row r="536" ht="61.5" customHeight="1" x14ac:dyDescent="0.2"/>
    <row r="537" ht="54" customHeight="1" x14ac:dyDescent="0.2"/>
    <row r="538" ht="59.25" customHeight="1" x14ac:dyDescent="0.2"/>
    <row r="539" ht="64.5" customHeight="1" x14ac:dyDescent="0.2"/>
    <row r="540" ht="51" customHeight="1" x14ac:dyDescent="0.2"/>
    <row r="541" ht="60" customHeight="1" x14ac:dyDescent="0.2"/>
    <row r="542" ht="62.25" customHeight="1" x14ac:dyDescent="0.2"/>
    <row r="543" ht="56.25" customHeight="1" x14ac:dyDescent="0.2"/>
    <row r="544" ht="54.75" customHeight="1" x14ac:dyDescent="0.2"/>
    <row r="545" ht="53.25" customHeight="1" x14ac:dyDescent="0.2"/>
    <row r="546" ht="62.25" customHeight="1" x14ac:dyDescent="0.2"/>
    <row r="547" ht="60.75" customHeight="1" x14ac:dyDescent="0.2"/>
    <row r="548" ht="69" customHeight="1" x14ac:dyDescent="0.2"/>
    <row r="549" ht="66.75" customHeight="1" x14ac:dyDescent="0.2"/>
    <row r="550" ht="59.25" customHeight="1" x14ac:dyDescent="0.2"/>
    <row r="551" ht="60.75" customHeight="1" x14ac:dyDescent="0.2"/>
    <row r="552" ht="56.25" customHeight="1" x14ac:dyDescent="0.2"/>
    <row r="553" ht="57.75" customHeight="1" x14ac:dyDescent="0.2"/>
    <row r="554" ht="66" customHeight="1" x14ac:dyDescent="0.2"/>
    <row r="555" ht="51.75" customHeight="1" x14ac:dyDescent="0.2"/>
    <row r="556" ht="52.5" customHeight="1" x14ac:dyDescent="0.2"/>
    <row r="557" ht="54.75" customHeight="1" x14ac:dyDescent="0.2"/>
    <row r="558" ht="50.25" customHeight="1" x14ac:dyDescent="0.2"/>
    <row r="559" ht="49.5" customHeight="1" x14ac:dyDescent="0.2"/>
    <row r="560" ht="57" customHeight="1" x14ac:dyDescent="0.2"/>
    <row r="561" ht="54.75" customHeight="1" x14ac:dyDescent="0.2"/>
    <row r="562" ht="48.75" customHeight="1" x14ac:dyDescent="0.2"/>
    <row r="563" ht="57" customHeight="1" x14ac:dyDescent="0.2"/>
    <row r="564" ht="50.25" customHeight="1" x14ac:dyDescent="0.2"/>
    <row r="565" ht="59.25" customHeight="1" x14ac:dyDescent="0.2"/>
    <row r="566" ht="66" customHeight="1" x14ac:dyDescent="0.2"/>
    <row r="567" ht="68.25" customHeight="1" x14ac:dyDescent="0.2"/>
    <row r="568" ht="57.75" customHeight="1" x14ac:dyDescent="0.2"/>
    <row r="569" ht="60" customHeight="1" x14ac:dyDescent="0.2"/>
    <row r="570" ht="52.5" customHeight="1" x14ac:dyDescent="0.2"/>
    <row r="571" ht="66.75" customHeight="1" x14ac:dyDescent="0.2"/>
    <row r="572" ht="57" customHeight="1" x14ac:dyDescent="0.2"/>
    <row r="573" ht="74.25" customHeight="1" x14ac:dyDescent="0.2"/>
    <row r="574" ht="69" customHeight="1" x14ac:dyDescent="0.2"/>
    <row r="575" ht="62.25" customHeight="1" x14ac:dyDescent="0.2"/>
    <row r="576" ht="60" customHeight="1" x14ac:dyDescent="0.2"/>
    <row r="577" ht="58.5" customHeight="1" x14ac:dyDescent="0.2"/>
    <row r="578" ht="75" customHeight="1" x14ac:dyDescent="0.2"/>
    <row r="579" ht="60" customHeight="1" x14ac:dyDescent="0.2"/>
    <row r="580" ht="56.25" customHeight="1" x14ac:dyDescent="0.2"/>
    <row r="581" ht="51" customHeight="1" x14ac:dyDescent="0.2"/>
    <row r="582" ht="48.75" customHeight="1" x14ac:dyDescent="0.2"/>
    <row r="583" ht="49.5" customHeight="1" x14ac:dyDescent="0.2"/>
    <row r="584" ht="50.25" customHeight="1" x14ac:dyDescent="0.2"/>
    <row r="585" ht="48.75" customHeight="1" x14ac:dyDescent="0.2"/>
    <row r="586" ht="58.5" customHeight="1" x14ac:dyDescent="0.2"/>
    <row r="587" ht="53.25" customHeight="1" x14ac:dyDescent="0.2"/>
    <row r="588" ht="59.25" customHeight="1" x14ac:dyDescent="0.2"/>
    <row r="589" ht="54" customHeight="1" x14ac:dyDescent="0.2"/>
    <row r="590" ht="45" customHeight="1" x14ac:dyDescent="0.2"/>
    <row r="591" ht="51.75" customHeight="1" x14ac:dyDescent="0.2"/>
    <row r="592" ht="51.75" customHeight="1" x14ac:dyDescent="0.2"/>
    <row r="593" ht="57" customHeight="1" x14ac:dyDescent="0.2"/>
    <row r="594" ht="50.25" customHeight="1" x14ac:dyDescent="0.2"/>
    <row r="595" ht="54" customHeight="1" x14ac:dyDescent="0.2"/>
    <row r="596" ht="49.5" customHeight="1" x14ac:dyDescent="0.2"/>
    <row r="597" ht="51.75" customHeight="1" x14ac:dyDescent="0.2"/>
    <row r="598" ht="78" customHeight="1" x14ac:dyDescent="0.2"/>
    <row r="599" ht="66.75" customHeight="1" x14ac:dyDescent="0.2"/>
    <row r="600" ht="23.25" customHeight="1" x14ac:dyDescent="0.2"/>
    <row r="601" ht="22.5" customHeight="1" x14ac:dyDescent="0.2"/>
    <row r="602" ht="22.5"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1.25" customHeight="1" x14ac:dyDescent="0.2"/>
    <row r="623" ht="11.25" customHeight="1" x14ac:dyDescent="0.2"/>
    <row r="646" spans="1:1" ht="11.25" customHeight="1" x14ac:dyDescent="0.2">
      <c r="A646" s="158"/>
    </row>
    <row r="647" spans="1:1" ht="11.25" customHeight="1" x14ac:dyDescent="0.2">
      <c r="A647" s="158"/>
    </row>
    <row r="648" spans="1:1" ht="11.25" customHeight="1" x14ac:dyDescent="0.2">
      <c r="A648" s="159"/>
    </row>
    <row r="712" spans="10:10" ht="11.25" customHeight="1" x14ac:dyDescent="0.2"/>
    <row r="713" spans="10:10" ht="11.25" customHeight="1" x14ac:dyDescent="0.2">
      <c r="J713" s="160"/>
    </row>
    <row r="714" spans="10:10" ht="11.25" customHeight="1" x14ac:dyDescent="0.2">
      <c r="J714" s="160"/>
    </row>
    <row r="715" spans="10:10" ht="11.25" customHeight="1" x14ac:dyDescent="0.2">
      <c r="J715" s="161"/>
    </row>
    <row r="716" spans="10:10" ht="11.25" customHeight="1" x14ac:dyDescent="0.2">
      <c r="J716" s="161"/>
    </row>
    <row r="717" spans="10:10" ht="11.25" customHeight="1" x14ac:dyDescent="0.2">
      <c r="J717" s="160"/>
    </row>
    <row r="718" spans="10:10" ht="11.25" customHeight="1" x14ac:dyDescent="0.2">
      <c r="J718" s="160"/>
    </row>
    <row r="719" spans="10:10" ht="11.25" customHeight="1" x14ac:dyDescent="0.2">
      <c r="J719" s="160"/>
    </row>
    <row r="720" spans="10:10" ht="11.25" customHeight="1" x14ac:dyDescent="0.2">
      <c r="J720" s="160"/>
    </row>
  </sheetData>
  <mergeCells count="56">
    <mergeCell ref="D22:E22"/>
    <mergeCell ref="D21:E21"/>
    <mergeCell ref="G60:I60"/>
    <mergeCell ref="G49:I49"/>
    <mergeCell ref="G59:I59"/>
    <mergeCell ref="G33:H34"/>
    <mergeCell ref="G48:I48"/>
    <mergeCell ref="D28:E28"/>
    <mergeCell ref="D27:E27"/>
    <mergeCell ref="D25:E25"/>
    <mergeCell ref="D24:E24"/>
    <mergeCell ref="D23:E23"/>
    <mergeCell ref="D18:E18"/>
    <mergeCell ref="D19:E19"/>
    <mergeCell ref="D29:E29"/>
    <mergeCell ref="L32:M32"/>
    <mergeCell ref="L6:M6"/>
    <mergeCell ref="D12:E12"/>
    <mergeCell ref="L7:M7"/>
    <mergeCell ref="D8:E8"/>
    <mergeCell ref="D9:E9"/>
    <mergeCell ref="L8:M8"/>
    <mergeCell ref="D10:E10"/>
    <mergeCell ref="D11:E11"/>
    <mergeCell ref="D13:E13"/>
    <mergeCell ref="D14:E14"/>
    <mergeCell ref="D20:E20"/>
    <mergeCell ref="D26:E26"/>
    <mergeCell ref="C4:E4"/>
    <mergeCell ref="F4:H4"/>
    <mergeCell ref="D6:E6"/>
    <mergeCell ref="D7:E7"/>
    <mergeCell ref="D17:E17"/>
    <mergeCell ref="D15:E15"/>
    <mergeCell ref="D16:E16"/>
    <mergeCell ref="L9:M9"/>
    <mergeCell ref="L10:M10"/>
    <mergeCell ref="L11:M11"/>
    <mergeCell ref="L12:M12"/>
    <mergeCell ref="L13:M13"/>
    <mergeCell ref="L14:M14"/>
    <mergeCell ref="L15:M15"/>
    <mergeCell ref="L16:M16"/>
    <mergeCell ref="L17:M17"/>
    <mergeCell ref="L18:M18"/>
    <mergeCell ref="L29:M29"/>
    <mergeCell ref="L19:M19"/>
    <mergeCell ref="L20:M20"/>
    <mergeCell ref="L21:M21"/>
    <mergeCell ref="L22:M22"/>
    <mergeCell ref="L23:M23"/>
    <mergeCell ref="L28:M28"/>
    <mergeCell ref="L27:M27"/>
    <mergeCell ref="L24:M24"/>
    <mergeCell ref="L25:M25"/>
    <mergeCell ref="L26:M26"/>
  </mergeCells>
  <printOptions horizontalCentered="1"/>
  <pageMargins left="0.19685039370078741" right="0.19685039370078741" top="0.39370078740157483" bottom="0.19685039370078741" header="0.51181102362204722" footer="0.51181102362204722"/>
  <pageSetup scale="80" pageOrder="overThenDown" orientation="landscape" r:id="rId1"/>
  <rowBreaks count="2" manualBreakCount="2">
    <brk id="24" min="1" max="8" man="1"/>
    <brk id="30"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FDC8E-5B77-419F-AAFF-0D3293640265}">
  <dimension ref="A6"/>
  <sheetViews>
    <sheetView workbookViewId="0">
      <selection sqref="A1:E1048576"/>
    </sheetView>
  </sheetViews>
  <sheetFormatPr baseColWidth="10" defaultRowHeight="12.75" x14ac:dyDescent="0.2"/>
  <sheetData>
    <row r="6" ht="93.75" customHeigh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2617</TotalTime>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vt:i4>
      </vt:variant>
    </vt:vector>
  </HeadingPairs>
  <TitlesOfParts>
    <vt:vector size="10" baseType="lpstr">
      <vt:lpstr>Inventarios</vt:lpstr>
      <vt:lpstr>Fechas</vt:lpstr>
      <vt:lpstr>Tiendas</vt:lpstr>
      <vt:lpstr>Acuerdos</vt:lpstr>
      <vt:lpstr>Hoja1</vt:lpstr>
      <vt:lpstr>Acuerdos!Área_de_impresión</vt:lpstr>
      <vt:lpstr>Fechas!Área_de_impresión</vt:lpstr>
      <vt:lpstr>Inventarios!Área_de_impresión</vt:lpstr>
      <vt:lpstr>Tiendas!Área_de_impresión</vt:lpstr>
      <vt:lpstr>Acuerdos!Títulos_a_imprimir</vt:lpstr>
    </vt:vector>
  </TitlesOfParts>
  <Company>liconsa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liconsa</dc:creator>
  <dc:description/>
  <cp:lastModifiedBy>Jesus Damian Santiago Lopez</cp:lastModifiedBy>
  <cp:revision>172</cp:revision>
  <cp:lastPrinted>2026-05-27T19:19:24Z</cp:lastPrinted>
  <dcterms:created xsi:type="dcterms:W3CDTF">2008-02-25T15:46:21Z</dcterms:created>
  <dcterms:modified xsi:type="dcterms:W3CDTF">2026-05-27T19:19:29Z</dcterms:modified>
  <dc:language>es-MX</dc:language>
</cp:coreProperties>
</file>