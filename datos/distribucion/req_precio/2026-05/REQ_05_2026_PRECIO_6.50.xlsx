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2026\DICONSA\GUIAS\06-JUNIO-2026\"/>
    </mc:Choice>
  </mc:AlternateContent>
  <xr:revisionPtr revIDLastSave="0" documentId="13_ncr:1_{E5407A1E-94E3-473C-9D66-F04EAE2C270D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catabril26" sheetId="6" r:id="rId1"/>
    <sheet name="POR ALMACEN" sheetId="3" r:id="rId2"/>
    <sheet name="TOTAL" sheetId="4" r:id="rId3"/>
  </sheets>
  <definedNames>
    <definedName name="_xlnm._FilterDatabase" localSheetId="0" hidden="1">catabril26!$A$1:$AY$273</definedName>
    <definedName name="_xlnm._FilterDatabase" localSheetId="1" hidden="1">'POR ALMACEN'!$A$12:$Q$533</definedName>
    <definedName name="AA">#REF!</definedName>
    <definedName name="AAA">#REF!</definedName>
    <definedName name="ACTUAL">#REF!</definedName>
    <definedName name="AL">#REF!</definedName>
    <definedName name="ALAN">#REF!</definedName>
    <definedName name="ALEX">#REF!</definedName>
    <definedName name="ALEXA">#REF!</definedName>
    <definedName name="ALLAN">#REF!</definedName>
    <definedName name="ALMA">#REF!</definedName>
    <definedName name="AMA">#REF!</definedName>
    <definedName name="AMB">#REF!</definedName>
    <definedName name="AMBAR">#REF!</definedName>
    <definedName name="AMBRE">#REF!</definedName>
    <definedName name="ANA">#REF!</definedName>
    <definedName name="AP">#REF!</definedName>
    <definedName name="_xlnm.Print_Area" localSheetId="1">'POR ALMACEN'!$A$322:$R$363</definedName>
    <definedName name="_xlnm.Print_Area" localSheetId="2">TOTAL!$A$1:$J$51</definedName>
    <definedName name="AX">#REF!</definedName>
    <definedName name="AXA">#REF!</definedName>
    <definedName name="AXE">#REF!</definedName>
    <definedName name="BA">#REF!</definedName>
    <definedName name="BASE">#REF!</definedName>
    <definedName name="BB">#REF!</definedName>
    <definedName name="BEN">#REF!</definedName>
    <definedName name="BENEF">#REF!</definedName>
    <definedName name="CASA">#REF!</definedName>
    <definedName name="CAT">#REF!</definedName>
    <definedName name="CATA">#REF!</definedName>
    <definedName name="CC">#REF!</definedName>
    <definedName name="color">#REF!</definedName>
    <definedName name="DA">#REF!</definedName>
    <definedName name="DAM">#REF!</definedName>
    <definedName name="DAMO">#REF!</definedName>
    <definedName name="DAT">#REF!</definedName>
    <definedName name="DATA">#REF!</definedName>
    <definedName name="DATAS">#REF!</definedName>
    <definedName name="DATIS">#REF!</definedName>
    <definedName name="DATOS" localSheetId="1">#REF!</definedName>
    <definedName name="DATOS">#REF!</definedName>
    <definedName name="DATOS1">#REF!</definedName>
    <definedName name="DD">#REF!</definedName>
    <definedName name="DEY">#REF!</definedName>
    <definedName name="DEYSI">#REF!</definedName>
    <definedName name="DICE">#REF!</definedName>
    <definedName name="DUAL">#REF!</definedName>
    <definedName name="EDI">#REF!</definedName>
    <definedName name="FAM">#REF!</definedName>
    <definedName name="HERI">#REF!</definedName>
    <definedName name="HOLA">#REF!</definedName>
    <definedName name="HOLAS">#REF!</definedName>
    <definedName name="HOLIS">#REF!</definedName>
    <definedName name="INF">#REF!</definedName>
    <definedName name="LALO">#REF!</definedName>
    <definedName name="LECHE">#REF!</definedName>
    <definedName name="LECHERIA">#REF!</definedName>
    <definedName name="libreta">#REF!</definedName>
    <definedName name="MAMA">#REF!</definedName>
    <definedName name="MAR">#REF!</definedName>
    <definedName name="MARBE">#REF!</definedName>
    <definedName name="MARBELLA">#REF!</definedName>
    <definedName name="MARIO">#REF!</definedName>
    <definedName name="MARTE">#REF!</definedName>
    <definedName name="MARY">#REF!</definedName>
    <definedName name="MAY">#REF!</definedName>
    <definedName name="MEN">#REF!</definedName>
    <definedName name="MORA">#REF!</definedName>
    <definedName name="MORALES">#REF!</definedName>
    <definedName name="NOVIEMBRE">#REF!</definedName>
    <definedName name="OCT">#REF!</definedName>
    <definedName name="PADRO">#REF!</definedName>
    <definedName name="PADRON">#REF!</definedName>
    <definedName name="PEDRO">#REF!</definedName>
    <definedName name="PER">#REF!</definedName>
    <definedName name="PERSONA">#REF!</definedName>
    <definedName name="RAU">#REF!</definedName>
    <definedName name="RAUL">#REF!</definedName>
    <definedName name="RAUS">#REF!</definedName>
    <definedName name="RENA">#REF!</definedName>
    <definedName name="RENATO">#REF!</definedName>
    <definedName name="RENATOS">catabril26!$I$2:$L$273</definedName>
    <definedName name="RUTA">#REF!</definedName>
    <definedName name="SANDRA">#REF!</definedName>
    <definedName name="TAB">#REF!</definedName>
    <definedName name="TATA">#REF!</definedName>
    <definedName name="_xlnm.Print_Titles" localSheetId="1">'POR ALMACEN'!$1:$10</definedName>
    <definedName name="VASE">#REF!</definedName>
    <definedName name="XL">#REF!</definedName>
    <definedName name="YOYO">#REF!</definedName>
    <definedName name="YOY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<sst xmlns="http://schemas.openxmlformats.org/spreadsheetml/2006/main" count="8988" uniqueCount="1441">
  <si>
    <t xml:space="preserve"> </t>
  </si>
  <si>
    <t xml:space="preserve">SAN JUAN COYULA                                             </t>
  </si>
  <si>
    <t>GERENCIA ESTATAL OAXACA</t>
  </si>
  <si>
    <t>DEPARTAMENTO DE DISTRIBUCION Y TRANSPORTACION</t>
  </si>
  <si>
    <t>LECHERÍA</t>
  </si>
  <si>
    <t>TIENDA</t>
  </si>
  <si>
    <t>PADRÓN</t>
  </si>
  <si>
    <t>DOT.</t>
  </si>
  <si>
    <t>Envio</t>
  </si>
  <si>
    <t>EXIST.</t>
  </si>
  <si>
    <t>EXISTENCIA</t>
  </si>
  <si>
    <t>Envio Program.</t>
  </si>
  <si>
    <t>EXIST.ESTIMADA</t>
  </si>
  <si>
    <t>%  AJUSTE</t>
  </si>
  <si>
    <t>SOBRANTE</t>
  </si>
  <si>
    <t>CAJAS</t>
  </si>
  <si>
    <t>GUIA DIST.</t>
  </si>
  <si>
    <t>NÚM.</t>
  </si>
  <si>
    <t>No.</t>
  </si>
  <si>
    <t>L O C A L I D A D</t>
  </si>
  <si>
    <t>FAM.</t>
  </si>
  <si>
    <t>BENEF.</t>
  </si>
  <si>
    <t>MEN.</t>
  </si>
  <si>
    <t>EN</t>
  </si>
  <si>
    <t>CAJ.</t>
  </si>
  <si>
    <t>SOB.</t>
  </si>
  <si>
    <t>INICIO</t>
  </si>
  <si>
    <t>DOT. TEORICA</t>
  </si>
  <si>
    <t>ESTIM. P/</t>
  </si>
  <si>
    <t>SOLIC. X</t>
  </si>
  <si>
    <t>TEORICA</t>
  </si>
  <si>
    <t>ALMACEN</t>
  </si>
  <si>
    <t>%</t>
  </si>
  <si>
    <t>SUPERV.</t>
  </si>
  <si>
    <t>ALMACEN RURAL : CHALCATONGO</t>
  </si>
  <si>
    <t xml:space="preserve">SAN ANDRÉS CABECERA NUEVA                              </t>
  </si>
  <si>
    <t>SAN ESTEBAN ATATLAHUCA</t>
  </si>
  <si>
    <t>SAN MIGUEL EL GRANDE</t>
  </si>
  <si>
    <t xml:space="preserve">SAN PEDRO MOLINOS                                      </t>
  </si>
  <si>
    <t>SANTA CATARINA TICUA</t>
  </si>
  <si>
    <t>SANTO DOMINGO IXCATLAN</t>
  </si>
  <si>
    <t>T O T A L</t>
  </si>
  <si>
    <t>OBSERVACIONES:</t>
  </si>
  <si>
    <t>TOTAL A RECIBIR EN ALMACEN:</t>
  </si>
  <si>
    <t>ALMACEN RURAL : COIXTLAHUACA</t>
  </si>
  <si>
    <t>TEPELMEME VILLA DE MORELOS</t>
  </si>
  <si>
    <t>SANTA MARIA NATIVITAS</t>
  </si>
  <si>
    <t xml:space="preserve">OBSERVACIONES: </t>
  </si>
  <si>
    <t>ALMACEN RURAL : CONSTANCIA DEL ROSARIO</t>
  </si>
  <si>
    <t>ALMACEN RURAL : HUAJOLOTITLAN</t>
  </si>
  <si>
    <t>COSOLTEPEC</t>
  </si>
  <si>
    <t>EL MOLINO HUAJUAPAN</t>
  </si>
  <si>
    <t>SANTIAGO CHAZUMBA</t>
  </si>
  <si>
    <t xml:space="preserve">SANTIAGO MILTEPEC </t>
  </si>
  <si>
    <t>SAN JOSE AYUQUILA</t>
  </si>
  <si>
    <t>SAN MARCOS ARTEAGA</t>
  </si>
  <si>
    <t>ALMACEN RURAL : TACACHE DE MINA</t>
  </si>
  <si>
    <t xml:space="preserve">MARISCALA DE JUÁREZ                                    </t>
  </si>
  <si>
    <t>ALMACEN RURAL : TLAXIACO</t>
  </si>
  <si>
    <t>HEROICA CIUDAD DE TLAXIACO</t>
  </si>
  <si>
    <t>BARRIO SAN PEDRO, TLAXIACO</t>
  </si>
  <si>
    <t>BARRIO SAN DIEGO, TLAXIACO</t>
  </si>
  <si>
    <t>SANTIAGO NUNDICHE</t>
  </si>
  <si>
    <t>SANTIAGO YOLOMECATL</t>
  </si>
  <si>
    <t>SANTO TOMAS OCOTEPEC</t>
  </si>
  <si>
    <t>ALMACEN RURAL : TECOMAXTLAHUACA</t>
  </si>
  <si>
    <t xml:space="preserve">SANTIAGO JUXTLAHUACA                                   </t>
  </si>
  <si>
    <t>STO. DGO. TONALA</t>
  </si>
  <si>
    <t>ALMACEN RURAL : YANHUITLAN</t>
  </si>
  <si>
    <t>SAN ANDRES LAGUNAS</t>
  </si>
  <si>
    <t>SAN FCO. JALTEPETONGO</t>
  </si>
  <si>
    <t>SAN JUAN SAYULTEPEC</t>
  </si>
  <si>
    <t>SAN JUAN TEPOSCOLULA</t>
  </si>
  <si>
    <t>SAN MATEO ETLATONGO</t>
  </si>
  <si>
    <t>SAN PEDRO TEOZACOALCO</t>
  </si>
  <si>
    <t>SAN PEDRO Y SAN PABLO TEPOSCOLULA</t>
  </si>
  <si>
    <t>SAN VICENTE NUÑU</t>
  </si>
  <si>
    <t>SANTA INES DE ZARAGOZA</t>
  </si>
  <si>
    <t>ALMACEN RURAL : MORRO MAZATAN</t>
  </si>
  <si>
    <t>SANTO DOMINGO TEHUANTEPEC</t>
  </si>
  <si>
    <t>SN BLAS ATEMPA</t>
  </si>
  <si>
    <t xml:space="preserve">SANTIAGO ASTATA </t>
  </si>
  <si>
    <t>RANCHO EL LLANO</t>
  </si>
  <si>
    <t>SAN PEDRO HUAMELULA</t>
  </si>
  <si>
    <t>SAN PEDRO HUILOTEPEC</t>
  </si>
  <si>
    <t>MORRO MAZATAN</t>
  </si>
  <si>
    <t>::</t>
  </si>
  <si>
    <t>ALMACEN RURAL : PALOMARES</t>
  </si>
  <si>
    <t>PALOMARES</t>
  </si>
  <si>
    <t>ALMACEN RURAL : SANTIAGO LAOLLAGA</t>
  </si>
  <si>
    <t>SAN BLAS ATEMPA</t>
  </si>
  <si>
    <t>ALMACEN RURAL : SANTIAGO NILTEPEC</t>
  </si>
  <si>
    <t>ASUNCION IXTALTEPEC</t>
  </si>
  <si>
    <t>EL HUAMUL</t>
  </si>
  <si>
    <t>SANTIAGO NILTEPEC</t>
  </si>
  <si>
    <t xml:space="preserve">SANTO DOMINGO ZANATEPEC                                </t>
  </si>
  <si>
    <t>ALMACEN RURAL : EL TOMATAL</t>
  </si>
  <si>
    <t>COL. LINDAVISTA RIO GRANDE</t>
  </si>
  <si>
    <t>RIO GRANDE O PIEDRA PARADA</t>
  </si>
  <si>
    <t>ALMACEN RURAL : SAN ANDRES HUAXPALTEPEC</t>
  </si>
  <si>
    <t>SAN AGUSTIN CHAYUCO</t>
  </si>
  <si>
    <t>YUCUTACO</t>
  </si>
  <si>
    <t>SAN ANDRES HUAXPALTEPEC</t>
  </si>
  <si>
    <t>SAN JOSE DEL PROGRESO</t>
  </si>
  <si>
    <t>STA.MA. HUAZOLOTITLAN</t>
  </si>
  <si>
    <t>STA. ROSA DE LIMA</t>
  </si>
  <si>
    <t>COL GUADALUPE; STGO. JAMILTEPEC</t>
  </si>
  <si>
    <t>SAN PEDRO AMUZGOS</t>
  </si>
  <si>
    <t>SAN JUAN CACAHUATEPEC</t>
  </si>
  <si>
    <t>SAN JOSE ESTANCIA GRANDE</t>
  </si>
  <si>
    <t>SAN ANTONIO OCOTLAN</t>
  </si>
  <si>
    <t>VILLA DE TUTUTEPEC DE M. OCAMPO</t>
  </si>
  <si>
    <t>SANTA MARIA ACATEPEC</t>
  </si>
  <si>
    <t>STA CRUZ TUTUTEPEC</t>
  </si>
  <si>
    <t>LA LUZ</t>
  </si>
  <si>
    <t>COSTATITLAN</t>
  </si>
  <si>
    <t>SANTA MARIA CORTIJO</t>
  </si>
  <si>
    <t>PASO DE JIOTE</t>
  </si>
  <si>
    <t>JOSE MARIA MORELOS</t>
  </si>
  <si>
    <t>SANTIAGO LLANO GRANDE</t>
  </si>
  <si>
    <t>RANCHO NUEVO, SANTIAGO LLANO GRANDE</t>
  </si>
  <si>
    <t>PINOTEPA NACIONAL</t>
  </si>
  <si>
    <t>CERRO LA ESPERANZA</t>
  </si>
  <si>
    <t>MANCUERNAS PINOTEPA NAL.</t>
  </si>
  <si>
    <t>ALMACEN RURAL : SANTA  MARIA  HUATULCO</t>
  </si>
  <si>
    <t>STA. MA. HUATULCO</t>
  </si>
  <si>
    <t>SAN JOSE CHACALAPA</t>
  </si>
  <si>
    <t>SAN PEDRO CAFETITLAN</t>
  </si>
  <si>
    <t>SAN ISIDRO APANGO</t>
  </si>
  <si>
    <t>ROQUE SAN PEDRO POCHUTLA</t>
  </si>
  <si>
    <t>PUEBLO VIEJO</t>
  </si>
  <si>
    <t>ALMACEN RURAL : LA REFORMA YAUTEPEC</t>
  </si>
  <si>
    <t>MAGDALENA TEQUISISTLAN</t>
  </si>
  <si>
    <t>SAN JOSE</t>
  </si>
  <si>
    <t>NEJAPA DE MADERO</t>
  </si>
  <si>
    <t>ALMACEN RURAL : LOS IDEALES</t>
  </si>
  <si>
    <t>ALMACEN RURAL : PUEBLO NUEVO, TUX.</t>
  </si>
  <si>
    <t>JOLIETTE</t>
  </si>
  <si>
    <t>SAN JUAN BTA. VALLE NAL.</t>
  </si>
  <si>
    <t>ZACATE COLORADO</t>
  </si>
  <si>
    <t>EL CEDRAL</t>
  </si>
  <si>
    <t>EL CARMEN</t>
  </si>
  <si>
    <t>SANTA MARIA JACATEPEC</t>
  </si>
  <si>
    <t>ALMACEN RURAL : VALLES CENTRALES</t>
  </si>
  <si>
    <t>AYOQUEZCO DE ALDAMA</t>
  </si>
  <si>
    <t>SANTA CRUZ MIXTEPEC</t>
  </si>
  <si>
    <t>SANTIAGO TENANGO</t>
  </si>
  <si>
    <t>ALMACEN RURAL : SAN ANDRES HIDALGO</t>
  </si>
  <si>
    <t>RIO SANTIAGO HUAUTLA</t>
  </si>
  <si>
    <t>ALMACEN RURAL : SAN JOSE DEL CHILAR</t>
  </si>
  <si>
    <t>SAN PEDRO CHICOZAPOTE</t>
  </si>
  <si>
    <t>SAN JUAN BAUTISTA CUICATLAN</t>
  </si>
  <si>
    <t>VALERIO TRUJANO/TOMELLÍN</t>
  </si>
  <si>
    <t>ALMACEN RURAL : TEOTITLAN DE FLORES MAGON</t>
  </si>
  <si>
    <t>XOCHITONALCO</t>
  </si>
  <si>
    <t>SAN JUAN DE LOS CUES</t>
  </si>
  <si>
    <t>SAN JERONIMO TECOATL</t>
  </si>
  <si>
    <t>SAN MATEO YOLOXOCHITLAN</t>
  </si>
  <si>
    <t>TEOTITLAN DE FLORES MAGON</t>
  </si>
  <si>
    <t>ALMACEN RURAL : AYUTLA MIXES</t>
  </si>
  <si>
    <t>STA MARIA TLAHUITOLTEPEC</t>
  </si>
  <si>
    <t>TAMAZULAPAM DEL ESPIRITU SANTO</t>
  </si>
  <si>
    <t>ALMACEN RURAL: IXTLAN DE JUAREZ</t>
  </si>
  <si>
    <t>IXTLAN DE JUAREZ</t>
  </si>
  <si>
    <t>SAN MIGUEL AMATLÁN</t>
  </si>
  <si>
    <t>SANTIAGO LA XOPA</t>
  </si>
  <si>
    <t>TANETZE DE ZARAGOZA</t>
  </si>
  <si>
    <t>ALMACEN RURAL : MAGDALENA OCOTLAN</t>
  </si>
  <si>
    <t>MONTE DEL TORO</t>
  </si>
  <si>
    <t>SAN PEDRO APOSTOL</t>
  </si>
  <si>
    <t>YAXE</t>
  </si>
  <si>
    <t>ALMACEN RURAL : SANTO TOMAS TAMAZULAPAN</t>
  </si>
  <si>
    <t>GUIXE</t>
  </si>
  <si>
    <t>SANTA CATARINA ROATINA</t>
  </si>
  <si>
    <t>BRAMADEROS</t>
  </si>
  <si>
    <t>LA PILA</t>
  </si>
  <si>
    <t>MIAHUATLAN DE PORFIRIO DIAZ</t>
  </si>
  <si>
    <t>STO.TOMAS TAMAZULAPAN</t>
  </si>
  <si>
    <t>SANTA ANA MIAHUATLAN</t>
  </si>
  <si>
    <t>ALMACEN RURAL : SAN PEDRO JUCHATENGO</t>
  </si>
  <si>
    <t>STA. CATARINA JUQUILA</t>
  </si>
  <si>
    <t>SN. GABRIEL MIXTEPEC</t>
  </si>
  <si>
    <t>SN. PEDRO JUCHATENGO</t>
  </si>
  <si>
    <t>SAN ANDRES COPALA</t>
  </si>
  <si>
    <t>EL CAMALOTE</t>
  </si>
  <si>
    <t>BARRIO LA ASUNCION, SANTA CATARINA JUQUILA</t>
  </si>
  <si>
    <t>SAN NICOLAS, SANTA CATARINA JUQUILA</t>
  </si>
  <si>
    <t>TOTAL A RECIBIR EN ALMACÉN:</t>
  </si>
  <si>
    <t>ALMACEN RURAL : SANTA MARIA LACHIXIO</t>
  </si>
  <si>
    <t>SAN FERNANDO DE MATAMOROS</t>
  </si>
  <si>
    <t>SAN MIGUEL PIEDRAS</t>
  </si>
  <si>
    <t>ALMACEN RURAL : MATATLAN</t>
  </si>
  <si>
    <t>ALMACEN RURAL : CUAJIMOLOYAS</t>
  </si>
  <si>
    <t>SAN ILDEFONSO VILLA ALTA</t>
  </si>
  <si>
    <t>SAN CRISTOBAL LACHIRIOAG</t>
  </si>
  <si>
    <t>CUAJIMOLOYAS</t>
  </si>
  <si>
    <t>DEPARTAMENTO DE DISTRIBUCIÓN Y TRANSPORTACIÓN</t>
  </si>
  <si>
    <t>ALMACEN DICONSA</t>
  </si>
  <si>
    <t>NUMERO DE  TIENDAS</t>
  </si>
  <si>
    <t>DOTACION MENSUAL TEOR.</t>
  </si>
  <si>
    <t>SOBRANTE EN ALMACEN RURAL</t>
  </si>
  <si>
    <t xml:space="preserve"> * REQUERIMIENTO *</t>
  </si>
  <si>
    <t>TOTALES POR SUCURSALES RURALES</t>
  </si>
  <si>
    <t>CAJAS A ENVIAR A ALMC. RURAL</t>
  </si>
  <si>
    <t>SUCURSAL HUAJUAPAN</t>
  </si>
  <si>
    <t xml:space="preserve">  CHALCATONGO</t>
  </si>
  <si>
    <t xml:space="preserve">  COIXTLAHUACA</t>
  </si>
  <si>
    <t xml:space="preserve">  CONSTANCIA DEL ROSARIO</t>
  </si>
  <si>
    <t xml:space="preserve">  HUAJOLOTITLAN</t>
  </si>
  <si>
    <t xml:space="preserve">  TACACHE DE MINA</t>
  </si>
  <si>
    <t xml:space="preserve">  TLAXIACO</t>
  </si>
  <si>
    <t xml:space="preserve">  TECOMAXTLAHUACA</t>
  </si>
  <si>
    <t xml:space="preserve">  YANHUITLAN</t>
  </si>
  <si>
    <t>SUCURSAL  ISTMO-COSTA</t>
  </si>
  <si>
    <t xml:space="preserve">  MORRO MAZATAN</t>
  </si>
  <si>
    <t xml:space="preserve">  PALOMARES</t>
  </si>
  <si>
    <t xml:space="preserve">  SANTIAGO LAOLLAGA</t>
  </si>
  <si>
    <t xml:space="preserve">  SANTIAGO NILTEPEC</t>
  </si>
  <si>
    <t xml:space="preserve">  EL TOMATAL</t>
  </si>
  <si>
    <t xml:space="preserve">  HUAXPALTEPEC</t>
  </si>
  <si>
    <t xml:space="preserve">  SANTA MARIA HUATULCO</t>
  </si>
  <si>
    <t xml:space="preserve">  LA REFORMA YAUTEPEC</t>
  </si>
  <si>
    <t xml:space="preserve">  LOS IDEALES</t>
  </si>
  <si>
    <t xml:space="preserve">  PUEBLO NUEVO</t>
  </si>
  <si>
    <t>SUCURSAL V. CENTRAL</t>
  </si>
  <si>
    <t>VALLES CENTRALES</t>
  </si>
  <si>
    <t>SAN ANDRES HIDALGO</t>
  </si>
  <si>
    <t>SAN JOSE DEL CHILAR</t>
  </si>
  <si>
    <t>AYUTLA MIXES</t>
  </si>
  <si>
    <t>MAGDALENA OCOTLAN</t>
  </si>
  <si>
    <t>SANTO TOMAS TAMAZULAPAN</t>
  </si>
  <si>
    <t>SAN PEDRO JUCHATENGO</t>
  </si>
  <si>
    <t>SANTA MARIA LACHIXIO</t>
  </si>
  <si>
    <t>MATATLAN</t>
  </si>
  <si>
    <t xml:space="preserve">ALMACENES TOTALES </t>
  </si>
  <si>
    <t>CAPULALPAM DE MENDEZ</t>
  </si>
  <si>
    <t>SANTA MARIA JALTIANGUIS</t>
  </si>
  <si>
    <t>EL CARRIZAL</t>
  </si>
  <si>
    <t>PATIO IGLESIA</t>
  </si>
  <si>
    <t>SAN FRANCISCO DEL MAR</t>
  </si>
  <si>
    <t>SANTA MARIA ECATEPEC</t>
  </si>
  <si>
    <t>SAN MIGUEL TEQUIXTEPEC</t>
  </si>
  <si>
    <t>EL PASO DE LAS MARAVILLAS</t>
  </si>
  <si>
    <t>SANTA ANA TUTUTEPEC</t>
  </si>
  <si>
    <t>SANTA CRUZ YODOCONO</t>
  </si>
  <si>
    <t>SANTA MARIA CHACHOAPAM</t>
  </si>
  <si>
    <t>HEROICA VILLA TEZOATLAN DE SEGURA Y LUNA, CUNA DE LA INDEPEN</t>
  </si>
  <si>
    <t xml:space="preserve">GUADALUPE NUEVO TENOCHTITLAN </t>
  </si>
  <si>
    <t xml:space="preserve">SAN PEDRO MIXTEPEC DISTRITO 22 </t>
  </si>
  <si>
    <t xml:space="preserve">SAN PEDRO Y SAN PABLO TEQUIXTEPEC </t>
  </si>
  <si>
    <t xml:space="preserve">SANTA MARIA JALAPA DEL MARQUES </t>
  </si>
  <si>
    <t xml:space="preserve">SANTIAGO AMATE COLORADO </t>
  </si>
  <si>
    <t xml:space="preserve">LA REFORMA </t>
  </si>
  <si>
    <t xml:space="preserve">BARRIO SAN SEBASTIAN </t>
  </si>
  <si>
    <t xml:space="preserve">BRISAS DE ZICATELA </t>
  </si>
  <si>
    <t xml:space="preserve">PUTLA VILLA DE GUERRERO </t>
  </si>
  <si>
    <t xml:space="preserve">LOS OCOTES </t>
  </si>
  <si>
    <t xml:space="preserve">BAJOS DE CHILA </t>
  </si>
  <si>
    <t xml:space="preserve">SANTA CATARINA TAYATA </t>
  </si>
  <si>
    <t xml:space="preserve">SANTA MARIA ZACATEPEC </t>
  </si>
  <si>
    <t xml:space="preserve">VILLA TALEA DE CASTRO </t>
  </si>
  <si>
    <t xml:space="preserve">SAN JUAN ACHIUTLA </t>
  </si>
  <si>
    <t xml:space="preserve">LA MINA </t>
  </si>
  <si>
    <t xml:space="preserve">SAN MARTIN HUAMELULPAM </t>
  </si>
  <si>
    <t xml:space="preserve">SAN PEDRO MARTIR YUCUXACO </t>
  </si>
  <si>
    <t xml:space="preserve">PUERTO ESCONDIDO </t>
  </si>
  <si>
    <t xml:space="preserve">SAN PEDRO POCHUTLA </t>
  </si>
  <si>
    <t xml:space="preserve">SAN SEBASTIAN NICANANDUTA </t>
  </si>
  <si>
    <t xml:space="preserve">EL TOMATAL </t>
  </si>
  <si>
    <t xml:space="preserve">VENTANILLA </t>
  </si>
  <si>
    <t xml:space="preserve">VALDEFLORES SEGUNDA SECCION </t>
  </si>
  <si>
    <t xml:space="preserve">ZOCOTEACA DE LEON </t>
  </si>
  <si>
    <t xml:space="preserve">SANTA MARIA IPALAPA </t>
  </si>
  <si>
    <t xml:space="preserve">SANTA MARIA EL RINCON </t>
  </si>
  <si>
    <t xml:space="preserve">SAN JUAN CABEZA DEL RIO </t>
  </si>
  <si>
    <t xml:space="preserve">SANTIAGO LLANO GRANDE </t>
  </si>
  <si>
    <t xml:space="preserve">COLLANTES </t>
  </si>
  <si>
    <t>CHALCATONGO DE HIDALGO</t>
  </si>
  <si>
    <t>VILLA DE TAMAZULAPAN DEL PROGRESO</t>
  </si>
  <si>
    <t>COL. BUENA VISTA, HUAJUAPAN</t>
  </si>
  <si>
    <t>YUTANDUCHI DE GUERRERO</t>
  </si>
  <si>
    <t>RINCON DE TLAPACOYAN</t>
  </si>
  <si>
    <t>SANTA URSULA</t>
  </si>
  <si>
    <t>SANTIAGO COMALTEPEC</t>
  </si>
  <si>
    <t>SANTA MARIA TEMAXCALAPA</t>
  </si>
  <si>
    <t>EL CAPULIN</t>
  </si>
  <si>
    <t>TEE UJIA PROGRESO</t>
  </si>
  <si>
    <t>EL ZACATAL</t>
  </si>
  <si>
    <t>SAN PEDRO COMITANCILLO</t>
  </si>
  <si>
    <t>UNION HIDALGO</t>
  </si>
  <si>
    <t>SANTA MARIA YACOCHI</t>
  </si>
  <si>
    <t>SAN PEDRO SINIYUVI</t>
  </si>
  <si>
    <t>REYES LLANO GRANDE</t>
  </si>
  <si>
    <t>AYOTZINTEPEC</t>
  </si>
  <si>
    <t>SAN PEDRO COATLAN</t>
  </si>
  <si>
    <t>RIO GRANDE</t>
  </si>
  <si>
    <t>OCOTAL</t>
  </si>
  <si>
    <t>SAN JUAN LACHIXILA</t>
  </si>
  <si>
    <t>SANTIAGO JOCOTEPEC</t>
  </si>
  <si>
    <t>SAN MARCOS ZACATEPEC</t>
  </si>
  <si>
    <t>LA REFORMA SAN MATEO</t>
  </si>
  <si>
    <t>SANTA CRUZ NEXILA</t>
  </si>
  <si>
    <t>SANTA CRUZ BAMBA Y GARRAPATERO</t>
  </si>
  <si>
    <t>SANTA CRUZ NUNDACO</t>
  </si>
  <si>
    <t>SAN ISIDRO VISTA HERMOSA</t>
  </si>
  <si>
    <t>SAN FELIPE TEJALAPA</t>
  </si>
  <si>
    <t>SAN MIGUEL CHIMALAPA</t>
  </si>
  <si>
    <t>LLANO GRANDE</t>
  </si>
  <si>
    <t>BARRIO NUEVO TOLTEPEC</t>
  </si>
  <si>
    <t>CUAJINICUIL</t>
  </si>
  <si>
    <t>SAN FRANCISCO IXHUATAN 20 DE NOVIEMBRE</t>
  </si>
  <si>
    <t>SAN FRANCISCO IXHUATAN</t>
  </si>
  <si>
    <t>LAS PALMAS</t>
  </si>
  <si>
    <t>LA VENTA</t>
  </si>
  <si>
    <t>TLACOTEPEC PLUMAS</t>
  </si>
  <si>
    <t>SAN ANDRES YUTATIIO</t>
  </si>
  <si>
    <t>SAN ANDRES CHICAHUAXTLA</t>
  </si>
  <si>
    <t>CAMPO DE AVIACION , TLAXIACO</t>
  </si>
  <si>
    <t>SAN JUAN LAJARCIA</t>
  </si>
  <si>
    <t>EL GUAYABO TEPEHUAJE</t>
  </si>
  <si>
    <t>SAN MIGUEL (COLONIA)</t>
  </si>
  <si>
    <t>CERRO HERMOSO</t>
  </si>
  <si>
    <t>MAGDALENA TLACOTEPEC</t>
  </si>
  <si>
    <t>SANTA MARIA GUELACE</t>
  </si>
  <si>
    <t>LAZARO CARDENAS</t>
  </si>
  <si>
    <t>SAN DIONICIO DEL MAR</t>
  </si>
  <si>
    <t>LAS ANONAS</t>
  </si>
  <si>
    <t>EL PORVENIR</t>
  </si>
  <si>
    <t>LOS LIMONES</t>
  </si>
  <si>
    <t>LAS CONCHAS</t>
  </si>
  <si>
    <t>LEYES DE REFORMA</t>
  </si>
  <si>
    <t>SANTA CRUZ</t>
  </si>
  <si>
    <t>EL CRUCE HUATULCO</t>
  </si>
  <si>
    <t>SANTIAGO MATATLAN</t>
  </si>
  <si>
    <t>CHACALAPA VILLA DE TUTUTEPEC</t>
  </si>
  <si>
    <t>SAN ANTONIO</t>
  </si>
  <si>
    <t>BENITO JUAREZ (EL TREBOL)</t>
  </si>
  <si>
    <t>PLAN DE SAN LUIS</t>
  </si>
  <si>
    <t>EL RASTROJO</t>
  </si>
  <si>
    <t>SAN PEDRO ATOYAC</t>
  </si>
  <si>
    <t>SAN NICOLAS HIDALGO</t>
  </si>
  <si>
    <t>SANTIAGO LAOLLAGA</t>
  </si>
  <si>
    <t>SANTO DOMINGO CHIHUITAN</t>
  </si>
  <si>
    <t>SAN MIGUEL SUCHIXTEPEC</t>
  </si>
  <si>
    <t>ESTACION SARABIA</t>
  </si>
  <si>
    <t>ALMOLOYA DE GUTIERREZ</t>
  </si>
  <si>
    <t xml:space="preserve">COLONIA CUAUHTEMOC                                          </t>
  </si>
  <si>
    <t>SANTO DOMINGO YOJOVI</t>
  </si>
  <si>
    <t>LA TRINIDAD VISTA HERMOSA</t>
  </si>
  <si>
    <t>ESTANZUELA GRANDE</t>
  </si>
  <si>
    <t>LA BLANCA</t>
  </si>
  <si>
    <t>OJO DE AGUA, TLAXIACO</t>
  </si>
  <si>
    <t>SANTA MARIA COLOTEPEC</t>
  </si>
  <si>
    <t>SAN JUAN ATEPEC</t>
  </si>
  <si>
    <t>SAN MARTIN DEL RIO</t>
  </si>
  <si>
    <t xml:space="preserve">     LECHE PARA EL BIENESTAR, S.A. DE C.V.</t>
  </si>
  <si>
    <t>LECHERIAS INCORPORADAS AL CONVENIO LECHE PARA EL BIENESTAR-ALIMENTACION PARA EL BIENESTAR 6.50 X LITRO</t>
  </si>
  <si>
    <t>LECHERIAS INCORPORADAS AL CONVENIO LECHE PARA EL BIENESTAR-ALIMENTACION PARA EL BIENESTAR Precio $6.50 Lt. COD:1360</t>
  </si>
  <si>
    <t>GENERAL FELIPE ANGELES</t>
  </si>
  <si>
    <t>LOS NARANJOS ESQUIPULAS</t>
  </si>
  <si>
    <t>SANTA MARIA TINDU</t>
  </si>
  <si>
    <t>LAZARO CARDENAS COPALA</t>
  </si>
  <si>
    <t>SAN JOSE MANO MARQUES</t>
  </si>
  <si>
    <t>YOSOYUXI COPALA</t>
  </si>
  <si>
    <t>GUADALUPE DE CISNEROS</t>
  </si>
  <si>
    <t>RIO PACHINE</t>
  </si>
  <si>
    <t>YERBA SANTA</t>
  </si>
  <si>
    <t>RIO MINAS TEOZACUALC</t>
  </si>
  <si>
    <t>SANTA CRUZ YAGAVILA</t>
  </si>
  <si>
    <t>SAN MIGUEL FIGUEROA</t>
  </si>
  <si>
    <t>SANTA MARIA CAMOTLAN</t>
  </si>
  <si>
    <t>SANTO DOMINGO TIANGUISTENGO</t>
  </si>
  <si>
    <t>ASUNCION ATOYAQUILLO</t>
  </si>
  <si>
    <t>TIERRA BLANCA</t>
  </si>
  <si>
    <t>PESQUERIA RANCHO SALINAS</t>
  </si>
  <si>
    <t>SAN PEDRO AYACAXTEPEC</t>
  </si>
  <si>
    <t>AGUA DE SOL</t>
  </si>
  <si>
    <t>ABRIL</t>
  </si>
  <si>
    <t>LOMA NOPAL</t>
  </si>
  <si>
    <t>MAYO</t>
  </si>
  <si>
    <t>BARRA DE NAVIDAD</t>
  </si>
  <si>
    <t>SAN FRANCISCO MIAHUTLAN</t>
  </si>
  <si>
    <r>
      <t>REQUERIMIENTO DE LECHE EN POLVO CORRESPONDIENTE AL MES DE JUNIO</t>
    </r>
    <r>
      <rPr>
        <b/>
        <sz val="9"/>
        <rFont val="Arial"/>
        <family val="2"/>
        <charset val="1"/>
      </rPr>
      <t xml:space="preserve"> DEL 2026.</t>
    </r>
  </si>
  <si>
    <t>PADRON DE BENEFICIARIOS. AL CIERRE DE ABRIL 2026</t>
  </si>
  <si>
    <t>JUNIO</t>
  </si>
  <si>
    <t>OBSERVACIONES: DE LAS CAJAS QUE SE ENCUENTRAN EN EXISTENCIA EN EL ALMACÉN, CONSIDERAR: 11 CAJAS PARA EL PTO. DE VTA. 2038510100.</t>
  </si>
  <si>
    <t>OBSERVACIONES: DE LAS CAJAS QUE SE ENCUENTRAN EN EXISTENCIA EN EL ALMACÉN, CONSIDERAR: 2 CAJAS PARA EL PTO. DE VTA. 2047510500.</t>
  </si>
  <si>
    <t>12 CAJAS PARA EL PV. 2005711200, 15 CAJAS AL PV. 2005711300. 22 CAJAS AL PV. 2019811500, 10 CAJAS AL PV. 2019811700.</t>
  </si>
  <si>
    <r>
      <t xml:space="preserve">OBSERVACIONES: DE LAS CAJAS QUE SE ENCUENTRAN EN EXISTENCIA EN EL ALMACÉN, CONSIDERAR: </t>
    </r>
    <r>
      <rPr>
        <sz val="8"/>
        <rFont val="Arial"/>
        <family val="2"/>
      </rPr>
      <t xml:space="preserve">8 CAJAS PARA EL PV. 2001010400, 20 CAJAS PARA EL PV. 2005710200, </t>
    </r>
  </si>
  <si>
    <r>
      <t xml:space="preserve">OBSERVACIONES: DE LAS CAJAS QUE SE ENCUENTRAN EN EXISTENCIA EN EL ALMACÉN, CONSIDERAR: </t>
    </r>
    <r>
      <rPr>
        <sz val="8"/>
        <rFont val="Arial"/>
        <family val="2"/>
      </rPr>
      <t>13 CAJAS AL PV. 2012410300, 29 CAJAS AL PV. 2000510300.</t>
    </r>
  </si>
  <si>
    <r>
      <t xml:space="preserve">OBSERVACIONES: DE LAS CAJAS QUE SE ENCUENTRAN EN EXISTENCIA EN EL ALMACÉN, CONSIDERAR: </t>
    </r>
    <r>
      <rPr>
        <sz val="8"/>
        <rFont val="Arial"/>
        <family val="2"/>
      </rPr>
      <t>35 CAJAS AL PV. 20051010100.</t>
    </r>
  </si>
  <si>
    <r>
      <t>OBSERVACIONES: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  <charset val="1"/>
      </rPr>
      <t xml:space="preserve">DE LAS CAJAS QUE SE ENCUENTRAN EN EXISTENCIA EN EL ALMACÉN, CONSIDERAR: </t>
    </r>
    <r>
      <rPr>
        <sz val="8"/>
        <rFont val="Arial"/>
        <family val="2"/>
      </rPr>
      <t>60 CAJAS AL P.V. 2012018000, 40 CAJAS AL P.V. 2012018200, 35 CAJAS AL PV.V 2032411500.</t>
    </r>
  </si>
  <si>
    <r>
      <t xml:space="preserve">OBSERVACIONES: DE LAS CAJAS QUE SE ENCUENTRAN EN EXISTENCIA EN EL ALMACÉN, CONSIDERAR: </t>
    </r>
    <r>
      <rPr>
        <sz val="8"/>
        <rFont val="Arial"/>
        <family val="2"/>
      </rPr>
      <t>50 CAJAS AL P.V. 2011015100</t>
    </r>
  </si>
  <si>
    <r>
      <t xml:space="preserve">OBSERVACIONES: DE LAS CAJAS QUE SE ENCUENTRAN EN EXISTENCIA EN EL ALMACÉN, CONSIDERAR: </t>
    </r>
    <r>
      <rPr>
        <sz val="8"/>
        <rFont val="Arial"/>
        <family val="2"/>
      </rPr>
      <t>7 CAJAS AL P.V. 2003911400.</t>
    </r>
  </si>
  <si>
    <r>
      <t xml:space="preserve">OBSERVACIONES: DE LAS CAJAS QUE SE ENCUENTRAN EN EXISTENCIA EN EL ALMACÉN, CONSIDERAR: </t>
    </r>
    <r>
      <rPr>
        <sz val="8"/>
        <rFont val="Arial"/>
        <family val="2"/>
      </rPr>
      <t>10 CAJAS AL P.V. 2028310100</t>
    </r>
  </si>
  <si>
    <r>
      <t xml:space="preserve">OBSERVACIONES: DE LAS CAJAS QUE SE ENCUENTRAN EN EXISTENCIA EN EL ALMACÉN, CONSIDERAR: </t>
    </r>
    <r>
      <rPr>
        <sz val="8"/>
        <rFont val="Arial"/>
        <family val="2"/>
      </rPr>
      <t>4 CAJAS AL P.V. 2012029700.</t>
    </r>
  </si>
  <si>
    <r>
      <t xml:space="preserve">OBSERVACIONES: DE LAS CAJAS QUE SE ENCUENTRAN EN EXISTENCIA EN EL ALMACÉN, CONSIDERAR: </t>
    </r>
    <r>
      <rPr>
        <sz val="8"/>
        <rFont val="Arial"/>
        <family val="2"/>
      </rPr>
      <t xml:space="preserve"> 36 CAJAS AL PV.V 2000210200, 9 CAJAS AL P.V. 2018416500.</t>
    </r>
  </si>
  <si>
    <t>AMB</t>
  </si>
  <si>
    <t>TIPO</t>
  </si>
  <si>
    <t>PRESE</t>
  </si>
  <si>
    <t>ZONA</t>
  </si>
  <si>
    <t>RUTA</t>
  </si>
  <si>
    <t>PRECIO</t>
  </si>
  <si>
    <t>PTO_VTA</t>
  </si>
  <si>
    <t>LECHERIA</t>
  </si>
  <si>
    <t>FAMILIAS</t>
  </si>
  <si>
    <t>MENORES</t>
  </si>
  <si>
    <t>ADULTOS</t>
  </si>
  <si>
    <t>BENEFICIARIOS</t>
  </si>
  <si>
    <t>LEC_AGEB_LOC_MUN_NUMERO</t>
  </si>
  <si>
    <t xml:space="preserve">MUN                                                         </t>
  </si>
  <si>
    <t>LEC_AGEB_LOC_NUMERO</t>
  </si>
  <si>
    <t xml:space="preserve">LOC                                                         </t>
  </si>
  <si>
    <t>'</t>
  </si>
  <si>
    <t xml:space="preserve">AMBITO  </t>
  </si>
  <si>
    <t xml:space="preserve">''   </t>
  </si>
  <si>
    <t>NV</t>
  </si>
  <si>
    <t xml:space="preserve">NVM     </t>
  </si>
  <si>
    <t xml:space="preserve">SUBSTR(LEC_CALLE_NUMERO,1,55)                          </t>
  </si>
  <si>
    <t xml:space="preserve">SUBSTR(LEC_COLONIA,1,42)                  </t>
  </si>
  <si>
    <t>SUBSTR(LEC_REFERENCIA_UBICACION,1,36</t>
  </si>
  <si>
    <t xml:space="preserve">        CP</t>
  </si>
  <si>
    <t xml:space="preserve">''                    </t>
  </si>
  <si>
    <t xml:space="preserve">OTROP       </t>
  </si>
  <si>
    <t>SUBSTR(TO_</t>
  </si>
  <si>
    <t xml:space="preserve">PRESE </t>
  </si>
  <si>
    <t xml:space="preserve">''                                                </t>
  </si>
  <si>
    <t xml:space="preserve">PRESEN              </t>
  </si>
  <si>
    <t xml:space="preserve">''            </t>
  </si>
  <si>
    <t>TPL_NUMERO</t>
  </si>
  <si>
    <t>SUBSTR(TPL_DESCRIPCI</t>
  </si>
  <si>
    <t xml:space="preserve">''       </t>
  </si>
  <si>
    <t>REF_NUMERO</t>
  </si>
  <si>
    <t>SUBSTR(REF_DESCRI</t>
  </si>
  <si>
    <t>PMT_NUMERO</t>
  </si>
  <si>
    <t xml:space="preserve">SUBSTR(PMT_DESCRIPCIONL,1,60)                               </t>
  </si>
  <si>
    <t>LEC_CONC_NUMERO</t>
  </si>
  <si>
    <t xml:space="preserve">CONC_DESCRIPCIONL                                           </t>
  </si>
  <si>
    <t>TO_CH</t>
  </si>
  <si>
    <t>LEC_COORDENADA_Y</t>
  </si>
  <si>
    <t xml:space="preserve">LEC_COORDENADA_X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</si>
  <si>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</t>
  </si>
  <si>
    <t>TD</t>
  </si>
  <si>
    <t>P</t>
  </si>
  <si>
    <t xml:space="preserve">ACATLÁN DE PÉREZ FIGUEROA                                   </t>
  </si>
  <si>
    <t xml:space="preserve">JOLIETTE                                                    </t>
  </si>
  <si>
    <t xml:space="preserve">RURAL   </t>
  </si>
  <si>
    <t xml:space="preserve">     </t>
  </si>
  <si>
    <t xml:space="preserve">ALTA    </t>
  </si>
  <si>
    <t xml:space="preserve">DIAZ MIRON S/N                                         </t>
  </si>
  <si>
    <t xml:space="preserve">CENTRO                                    </t>
  </si>
  <si>
    <t xml:space="preserve">FRENTE A LA IGLESIA CATOLICA.       </t>
  </si>
  <si>
    <t xml:space="preserve">                      </t>
  </si>
  <si>
    <t>EN OPERACION</t>
  </si>
  <si>
    <t xml:space="preserve">POLVO </t>
  </si>
  <si>
    <t xml:space="preserve">                                                  </t>
  </si>
  <si>
    <t>CON VENTA DE BASICOS</t>
  </si>
  <si>
    <t xml:space="preserve">              </t>
  </si>
  <si>
    <t xml:space="preserve">TIENDA              </t>
  </si>
  <si>
    <t xml:space="preserve">         </t>
  </si>
  <si>
    <t xml:space="preserve">DICONSA          </t>
  </si>
  <si>
    <t xml:space="preserve">FLORES SANTIAGO HECTOR DANIEL                               </t>
  </si>
  <si>
    <t xml:space="preserve">NOMBRE CONCESIONARIO                                        </t>
  </si>
  <si>
    <t xml:space="preserve">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</si>
  <si>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</si>
  <si>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NINGUNO S/N                                            </t>
  </si>
  <si>
    <t xml:space="preserve">CALLE NINGUNO Y CALLE NINGUNO       </t>
  </si>
  <si>
    <t xml:space="preserve">SANTOS PINELO FLOR MAGDALENA                                </t>
  </si>
  <si>
    <t xml:space="preserve">TD </t>
  </si>
  <si>
    <t xml:space="preserve">P </t>
  </si>
  <si>
    <t xml:space="preserve">ASUNCIÓN IXTALTEPEC                                         </t>
  </si>
  <si>
    <t xml:space="preserve">SANTIAGO IXTALTEPEC                                         </t>
  </si>
  <si>
    <t xml:space="preserve">MEDIA   </t>
  </si>
  <si>
    <t xml:space="preserve">BENITO JUAREZ ESQ 10 DE ABRIL                          </t>
  </si>
  <si>
    <t xml:space="preserve">FRENTE AL AUDITORIO MUNICIPAL       </t>
  </si>
  <si>
    <t xml:space="preserve">MIGUEL ANGEL MARTINEZ PURA                                  </t>
  </si>
  <si>
    <t xml:space="preserve">LAZARO CARDENAS                                             </t>
  </si>
  <si>
    <t xml:space="preserve">NIÑO ARTILLERO S/N                                     </t>
  </si>
  <si>
    <t xml:space="preserve">LAZARO CARDENAS                           </t>
  </si>
  <si>
    <t>AV. IGNACIO ZARAGOZA Y AV, BENITO JU</t>
  </si>
  <si>
    <t xml:space="preserve">ASUNCION IXTALTEPEC                                         </t>
  </si>
  <si>
    <t xml:space="preserve">CANAL 33 S/N                                           </t>
  </si>
  <si>
    <t xml:space="preserve">ASUNCIÓN IXTALTEPEC (TERCERA SECCIÓN)     </t>
  </si>
  <si>
    <t xml:space="preserve">LA LECHERÍA SE UBICARÁ EN LA TIENDA </t>
  </si>
  <si>
    <t xml:space="preserve">CARPIO RITO JOSE LEONARDO                                   </t>
  </si>
  <si>
    <t xml:space="preserve">SANCHEZ HERNANDEZ LUCILA                                    </t>
  </si>
  <si>
    <t xml:space="preserve">AYOTZINTEPEC                                                </t>
  </si>
  <si>
    <t xml:space="preserve">5 DE MAYO S/N                                          </t>
  </si>
  <si>
    <t xml:space="preserve">AYOTZINTEPEC                              </t>
  </si>
  <si>
    <t>CALLE MORELOS Y CALLE JOSEFA ORTIZ D</t>
  </si>
  <si>
    <t xml:space="preserve">PEREZ DOMINGUEZ SILVIA                                      </t>
  </si>
  <si>
    <t xml:space="preserve">SAN JOSE MANO MARQUES                                       </t>
  </si>
  <si>
    <t xml:space="preserve">FRANCISCO VILLA S/N                                    </t>
  </si>
  <si>
    <t xml:space="preserve">SAN JOSÉ MANO MARQUÉS                     </t>
  </si>
  <si>
    <t xml:space="preserve">CERCA DEL TANQUE ELEVADO            </t>
  </si>
  <si>
    <t xml:space="preserve">PERALTA REYES RAMIRO                                        </t>
  </si>
  <si>
    <t xml:space="preserve">EL BARRIO DE LA SOLEDAD                                     </t>
  </si>
  <si>
    <t xml:space="preserve">RIO GRANDE                                                  </t>
  </si>
  <si>
    <t xml:space="preserve">BAJA    </t>
  </si>
  <si>
    <t xml:space="preserve">BENITO JUÁREZ S/N                                      </t>
  </si>
  <si>
    <t xml:space="preserve">RIO GRANDE                                </t>
  </si>
  <si>
    <t>CALLE PRIMERO DE MAYO Y CALLE BENITO</t>
  </si>
  <si>
    <t xml:space="preserve">ALMOLOYA DE GUTIERREZ                                       </t>
  </si>
  <si>
    <t xml:space="preserve">REVOLUCIÓN S/N                                         </t>
  </si>
  <si>
    <t xml:space="preserve">ALMOLOYA DE GUTIÉRREZ                     </t>
  </si>
  <si>
    <t>EN LA TIENDA DICONSA 34, EN FRENTE D</t>
  </si>
  <si>
    <t xml:space="preserve">GARCIA MENDEZ MARIA                                         </t>
  </si>
  <si>
    <t xml:space="preserve">LORENA MAGDANELA MARTÍNEZ MARTÍNEZ                          </t>
  </si>
  <si>
    <t xml:space="preserve">HIDALGO S/N                                            </t>
  </si>
  <si>
    <t xml:space="preserve">IDALIA SARAHI SOSA SANTIAGO                                 </t>
  </si>
  <si>
    <t xml:space="preserve">CALLE PRINCIPAL S/N                                    </t>
  </si>
  <si>
    <t>MUY ALTA</t>
  </si>
  <si>
    <t xml:space="preserve">BENITO JUAREZ S/N                                      </t>
  </si>
  <si>
    <t xml:space="preserve">FLORES LOPEZ JUAN EDGAR                                     </t>
  </si>
  <si>
    <t xml:space="preserve">WILLEBALDO MARTIN SANCHEZ SALAZAR                           </t>
  </si>
  <si>
    <t xml:space="preserve">NINGUNA S/N                                            </t>
  </si>
  <si>
    <t xml:space="preserve">INDEPENDENCIA S/N                                      </t>
  </si>
  <si>
    <t xml:space="preserve">VERONICA JOSEFINA GOMEZ RODRIGUEZ                           </t>
  </si>
  <si>
    <t xml:space="preserve">DULCE ANDREA CASTELLANOS VAZQUEZ                            </t>
  </si>
  <si>
    <t xml:space="preserve">ELISEO BAUTISTA FLORES                                      </t>
  </si>
  <si>
    <t xml:space="preserve">COSOLTEPEC                                                  </t>
  </si>
  <si>
    <t xml:space="preserve">MIGUEL HIDALGO S/N                                     </t>
  </si>
  <si>
    <t xml:space="preserve">CENTRO, COSOLTEPEC                        </t>
  </si>
  <si>
    <t>AVE. 16 DE SEPTIEMBRE Y AVE. 5 DE FE</t>
  </si>
  <si>
    <t xml:space="preserve">VIANNY YAZMIN VELASCO MATUS                                 </t>
  </si>
  <si>
    <t xml:space="preserve">HEROICA CIUDAD DE EJUTLA DE CRESPO                          </t>
  </si>
  <si>
    <t xml:space="preserve">MONTE DEL TORO                                              </t>
  </si>
  <si>
    <t xml:space="preserve">CENTRAL S/N                                            </t>
  </si>
  <si>
    <t xml:space="preserve">CENTRO MONTE DEL TORO                     </t>
  </si>
  <si>
    <t xml:space="preserve">ABRIL AMAYRANI CISNEROS RAMIREZ                             </t>
  </si>
  <si>
    <t xml:space="preserve">TAMAZULÁPAM DEL ESPÍRITU SANTO                              </t>
  </si>
  <si>
    <t xml:space="preserve">TAMAZULAPAM DEL ESPIRITU SANTO                              </t>
  </si>
  <si>
    <t xml:space="preserve">PROGRESO S/N                                           </t>
  </si>
  <si>
    <t xml:space="preserve">CENTRO TAMAZULAPAN                        </t>
  </si>
  <si>
    <t xml:space="preserve">CALLE ZEMPOALTEPETL Y CALLE NINGUNO </t>
  </si>
  <si>
    <t xml:space="preserve">CUAJINICUIL                                                 </t>
  </si>
  <si>
    <t xml:space="preserve">NINGUNO Y NINGUNO                   </t>
  </si>
  <si>
    <t xml:space="preserve">GUADALUPE                                 </t>
  </si>
  <si>
    <t xml:space="preserve">DIAZ RAMIREZ CARMELO                                        </t>
  </si>
  <si>
    <t xml:space="preserve">GABRIELA ARIZBETH DIAZ SANTIAGO                             </t>
  </si>
  <si>
    <t xml:space="preserve">HEROICA CIUDAD DE HUAJUAPAN DE LEÓN                         </t>
  </si>
  <si>
    <t xml:space="preserve">EL MOLINO                                                   </t>
  </si>
  <si>
    <t xml:space="preserve">GUADALUPE VÍCTORIA S/N                                 </t>
  </si>
  <si>
    <t xml:space="preserve">CENTRO, EL MOLINO                         </t>
  </si>
  <si>
    <t xml:space="preserve">CALLE FERNANDO SOLANA GÓMEZ         </t>
  </si>
  <si>
    <t xml:space="preserve">FELIPE ROMERO GONZALEZ                                      </t>
  </si>
  <si>
    <t xml:space="preserve">COLONIA BUENA VISTA                                         </t>
  </si>
  <si>
    <t xml:space="preserve">NAYARIT NUM. 15                                        </t>
  </si>
  <si>
    <t xml:space="preserve">BUENA VISTA                               </t>
  </si>
  <si>
    <t xml:space="preserve">CALLE OAXACA Y CALLE SONORA         </t>
  </si>
  <si>
    <t xml:space="preserve">PRINCIPAL S/N                                          </t>
  </si>
  <si>
    <t xml:space="preserve">BALTAZAR CALVO RODRIGO                                      </t>
  </si>
  <si>
    <t xml:space="preserve">HUAUTLA DE JIMÉNEZ                                          </t>
  </si>
  <si>
    <t xml:space="preserve">XOCHITONALCO                                                </t>
  </si>
  <si>
    <t xml:space="preserve">LA JOYA                                   </t>
  </si>
  <si>
    <t xml:space="preserve">A 50 MTS DEL CENTRO                 </t>
  </si>
  <si>
    <t xml:space="preserve">RIO SANTIAGO                                                </t>
  </si>
  <si>
    <t xml:space="preserve">CALLE PROGRESO SEIS S/N                                </t>
  </si>
  <si>
    <t xml:space="preserve">ENTRE LA CALLE JUAREZ E HIDALGO     </t>
  </si>
  <si>
    <t xml:space="preserve">EL CARRIZAL                                                 </t>
  </si>
  <si>
    <t xml:space="preserve">EL CARRIZAL                               </t>
  </si>
  <si>
    <t xml:space="preserve">PATIO IGLESIA                                               </t>
  </si>
  <si>
    <t xml:space="preserve">ALFONSO CASO S/N                                       </t>
  </si>
  <si>
    <t xml:space="preserve">PATIO IGLESIA                             </t>
  </si>
  <si>
    <t xml:space="preserve">CALLE NINGUNO Y CALLE ALFONSO CASO  </t>
  </si>
  <si>
    <t xml:space="preserve">SAN ANDRES HIDALGO                                          </t>
  </si>
  <si>
    <t xml:space="preserve">JUÁREZ NUM. 21                                         </t>
  </si>
  <si>
    <t xml:space="preserve">SAN ANDRES HIDALGO                        </t>
  </si>
  <si>
    <t>CALLE NIÑO PERDIDO Y CALLE VICENTE G</t>
  </si>
  <si>
    <t xml:space="preserve">LOMA NOPAL                                                  </t>
  </si>
  <si>
    <t xml:space="preserve">LOMA NOPAL                                </t>
  </si>
  <si>
    <t>EN LA TIENDA DE ALIMENTACIÓN PARA EL</t>
  </si>
  <si>
    <t xml:space="preserve">MATUS CARRASCO ELIZABETH                                    </t>
  </si>
  <si>
    <t xml:space="preserve">IXTLÁN DE JUÁREZ                                            </t>
  </si>
  <si>
    <t xml:space="preserve">IXTLAN DE JUAREZ                                            </t>
  </si>
  <si>
    <t xml:space="preserve">VENUSTIANO CARRANZA S/N                                </t>
  </si>
  <si>
    <t xml:space="preserve">CENTRO, IXTLÁN DE JUÁREZ                  </t>
  </si>
  <si>
    <t>CALLE LAZARO CARDENAS Y CALLE IGNACI</t>
  </si>
  <si>
    <t xml:space="preserve">AQUINO SANTIAGO MARIA GUADALUPE                             </t>
  </si>
  <si>
    <t xml:space="preserve">SANTA CRUZ YAGAVILA                                         </t>
  </si>
  <si>
    <t xml:space="preserve">SANTA CRUZ YAGAVILA                       </t>
  </si>
  <si>
    <t xml:space="preserve">FRENTE LA AGENCIA MUNICIPAL         </t>
  </si>
  <si>
    <t xml:space="preserve">RIVEROS REYES SOCORRO                                       </t>
  </si>
  <si>
    <t xml:space="preserve">JUCHITÁN DE ZARAGOZA                                        </t>
  </si>
  <si>
    <t xml:space="preserve">LA VENTA                                                    </t>
  </si>
  <si>
    <t xml:space="preserve">VENUSTIANO CARRANZA NUM. 26                            </t>
  </si>
  <si>
    <t xml:space="preserve">LA VENTA                                  </t>
  </si>
  <si>
    <t>CALLE HIDALGO Y CARR. INTERNACIONALS</t>
  </si>
  <si>
    <t xml:space="preserve">ARELY CONCEPCION CASTELLANOS SANTIAGO                       </t>
  </si>
  <si>
    <t>U</t>
  </si>
  <si>
    <t xml:space="preserve">VAZQUEZ LÓPEZ JESUS EMMANUEL                                </t>
  </si>
  <si>
    <t xml:space="preserve">PACHECO HERNANDEZ VERONICA PATRICIA                         </t>
  </si>
  <si>
    <t xml:space="preserve">MAGDALENA TEQUISISTLÁN                                      </t>
  </si>
  <si>
    <t xml:space="preserve">MAGDALENA TEQUISISTLAN                                      </t>
  </si>
  <si>
    <t xml:space="preserve">CALLEJON GALEANA                                       </t>
  </si>
  <si>
    <t>ENTRE LA CALLE HIDALGO Y LA CALLE MO</t>
  </si>
  <si>
    <t xml:space="preserve">MARISOL RODRIGUEZ SANCHEZ                                   </t>
  </si>
  <si>
    <t xml:space="preserve">SAN JOSE                                                    </t>
  </si>
  <si>
    <t xml:space="preserve">OAXACA-SANTO DOMINGO TEHUANTEPEC S/N                   </t>
  </si>
  <si>
    <t xml:space="preserve">CENTRO, SAN JOSÉ                          </t>
  </si>
  <si>
    <t xml:space="preserve">MAGDALENA TLACOTEPEC                                        </t>
  </si>
  <si>
    <t xml:space="preserve">3 DE MAYO S/N                                          </t>
  </si>
  <si>
    <t xml:space="preserve">MAGDALENA TLACOTEPEC                      </t>
  </si>
  <si>
    <t>CALLE ITURBIDE Y CALLE EMILIANO ZAPA</t>
  </si>
  <si>
    <t xml:space="preserve">MARISCALA DE JUÁREZ                                         </t>
  </si>
  <si>
    <t xml:space="preserve">MARISCALA DE JUAREZ                                         </t>
  </si>
  <si>
    <t xml:space="preserve">RICARDO FLORES MAGÓN SIN NUMERO                        </t>
  </si>
  <si>
    <t>ENTRE CALLE BENITO JUÁREZ Y CALLE CO</t>
  </si>
  <si>
    <t xml:space="preserve">SAN PEDRO ATOYAC                                            </t>
  </si>
  <si>
    <t xml:space="preserve">SAN PEDRO ATOYAC                          </t>
  </si>
  <si>
    <t xml:space="preserve">EN LA TIENDA DICONSA NÚMERO 95, UNA </t>
  </si>
  <si>
    <t xml:space="preserve">INES ANA GARCIA MORALES                                     </t>
  </si>
  <si>
    <t xml:space="preserve">MATÍAS ROMERO AVENDAÑO                                      </t>
  </si>
  <si>
    <t xml:space="preserve">PALOMARES                                                   </t>
  </si>
  <si>
    <t xml:space="preserve">SECTOR 4 S/N                                           </t>
  </si>
  <si>
    <t>A UN COSTADO DE LA TERMINAL DE AUTOB</t>
  </si>
  <si>
    <t xml:space="preserve">EL PASO DE LAS MARAVILLAS                                   </t>
  </si>
  <si>
    <t xml:space="preserve">EL PASO DE LAS MARAVILLAS                 </t>
  </si>
  <si>
    <t>CALLE NORMA MONROY Y CALLE VICENTE G</t>
  </si>
  <si>
    <t xml:space="preserve">CUAUHTÉMOC-CASA BLANCA S/N                             </t>
  </si>
  <si>
    <t xml:space="preserve">COLONIA CUAUHTÉMOC                        </t>
  </si>
  <si>
    <t>EN LA TIENDA DICONSA NÚM.113 A UN LA</t>
  </si>
  <si>
    <t xml:space="preserve">LOPEZ FLORES MARIA TERESA                                   </t>
  </si>
  <si>
    <t xml:space="preserve">CALLE PRINCIPAL                                        </t>
  </si>
  <si>
    <t xml:space="preserve">BRIZEIDA GARCIA RODRIGUEZ                                   </t>
  </si>
  <si>
    <t xml:space="preserve">NINGUNO NUM. 0                                         </t>
  </si>
  <si>
    <t xml:space="preserve">AGUIRRE MARISCAL ELSA EULALIA                               </t>
  </si>
  <si>
    <t xml:space="preserve">CALLE NINGUNO Y NINGUNO NINGUNO     </t>
  </si>
  <si>
    <t xml:space="preserve">MIAHUATLÁN DE PORFIRIO DÍAZ                                 </t>
  </si>
  <si>
    <t xml:space="preserve">GUIXE                                                       </t>
  </si>
  <si>
    <t xml:space="preserve">FRANCISCO I. MADERO S/N                                </t>
  </si>
  <si>
    <t xml:space="preserve">NINGUNO                                   </t>
  </si>
  <si>
    <t xml:space="preserve">CALLE BENITO JUÁREZ Y CALLE NINGUNO </t>
  </si>
  <si>
    <t xml:space="preserve">SANTA CATARINA ROATINA                                      </t>
  </si>
  <si>
    <t xml:space="preserve">SANTA CATARINA ROATINA                    </t>
  </si>
  <si>
    <t>CALLE DIAZ ORDAZ Y CALLE INDEPENDENC</t>
  </si>
  <si>
    <t xml:space="preserve">ANAY MARGARITA CRUZ RAMOS                                   </t>
  </si>
  <si>
    <t xml:space="preserve">BRAMADEROS                                                  </t>
  </si>
  <si>
    <t xml:space="preserve">CENTRO BRAMADEROS                         </t>
  </si>
  <si>
    <t xml:space="preserve">CRUZ CORTES MARCO ANTONIO                                   </t>
  </si>
  <si>
    <t xml:space="preserve">LA PILA                                                     </t>
  </si>
  <si>
    <t xml:space="preserve">A UN LADO DE LA CALLE PRINCIPAL     </t>
  </si>
  <si>
    <t xml:space="preserve">EL GUAYABO TEPEHUAJE                                        </t>
  </si>
  <si>
    <t xml:space="preserve">EL GUAYABO TEPEHUAJE                      </t>
  </si>
  <si>
    <t xml:space="preserve">SAN PEDRO COATLAN                                           </t>
  </si>
  <si>
    <t xml:space="preserve">16 DE SEPTIEMBRE S/N                                   </t>
  </si>
  <si>
    <t xml:space="preserve">SAN PEDRO COATLAN                         </t>
  </si>
  <si>
    <t>CALLE VICENTE GUERRERO Y PRIV. DE GU</t>
  </si>
  <si>
    <t xml:space="preserve">AGUA DE SOL                                                 </t>
  </si>
  <si>
    <t xml:space="preserve">MORELOS S/N                                            </t>
  </si>
  <si>
    <t xml:space="preserve">AGUA DE SOL                               </t>
  </si>
  <si>
    <t xml:space="preserve">PLANTA BAJA DE LA AGENCIA MUNICIPAL </t>
  </si>
  <si>
    <t xml:space="preserve">GARCIA VELASCO MONICA ELISA                                 </t>
  </si>
  <si>
    <t xml:space="preserve">MIAHUATLAN DE PORFIRIO DIAZ                                 </t>
  </si>
  <si>
    <t xml:space="preserve">ZARAGOZA NUM. 317                                      </t>
  </si>
  <si>
    <t xml:space="preserve">SAN FRANCISCO                             </t>
  </si>
  <si>
    <t>EN LA TIENDA DEL BIENESTAR NUMERO 13</t>
  </si>
  <si>
    <t xml:space="preserve">VASQUEZ CABALLERO DAVID                                     </t>
  </si>
  <si>
    <t xml:space="preserve">SIN NOMBRE S/N                                         </t>
  </si>
  <si>
    <t xml:space="preserve">VELASCO RIOS ELENA                                          </t>
  </si>
  <si>
    <t>A UN COSTADO DE LA AGENCIA MUNICIPAL</t>
  </si>
  <si>
    <t xml:space="preserve">NEJAPA DE MADERO                                            </t>
  </si>
  <si>
    <t xml:space="preserve">MACEDONIO ALCALÁ S/N                                   </t>
  </si>
  <si>
    <t xml:space="preserve">NEJAPA DE MADERO                          </t>
  </si>
  <si>
    <t xml:space="preserve">CALLE MARIANO MATAMOROS Y NINGUNO   </t>
  </si>
  <si>
    <t xml:space="preserve">SAN JUAN LACHIXILA                                          </t>
  </si>
  <si>
    <t xml:space="preserve">TEHUANTEPEC S/N                                        </t>
  </si>
  <si>
    <t xml:space="preserve">SAN JUAN LACHIXILA                        </t>
  </si>
  <si>
    <t xml:space="preserve">CALLE BENITO JUAREZ Y CALLE NINGUNO </t>
  </si>
  <si>
    <t xml:space="preserve">SANTIAGO NILTEPEC                                           </t>
  </si>
  <si>
    <t xml:space="preserve">EL HUAMUL                                                   </t>
  </si>
  <si>
    <t xml:space="preserve">HUAMUL                                    </t>
  </si>
  <si>
    <t xml:space="preserve">ZARAGOZA S/N                                           </t>
  </si>
  <si>
    <t xml:space="preserve">PUTLA VILLA DE GUERRERO                                     </t>
  </si>
  <si>
    <t xml:space="preserve">SANTIAGO AMATE COLORADO                                     </t>
  </si>
  <si>
    <t xml:space="preserve">PEREZ GAZGA S/N                                        </t>
  </si>
  <si>
    <t xml:space="preserve">SAN PEDRO SINIYUVI                                          </t>
  </si>
  <si>
    <t xml:space="preserve">20 DE NOVIEMBRE S/N                                    </t>
  </si>
  <si>
    <t xml:space="preserve">SAN PEDRO SINIYUVI                        </t>
  </si>
  <si>
    <t>CALLE LAZARO CARDENAS Y CALLE BENITO</t>
  </si>
  <si>
    <t xml:space="preserve">SAN ANDRES CHICAHUAXTLA                                     </t>
  </si>
  <si>
    <t xml:space="preserve">EMILIANO ZAPATA S/N                                    </t>
  </si>
  <si>
    <t xml:space="preserve">SAN ANDRÉS CHICAHUAXTLA                   </t>
  </si>
  <si>
    <t xml:space="preserve">ASUNCION ATOYAQUILLO                                        </t>
  </si>
  <si>
    <t xml:space="preserve">6 DE SEPTIEMBRE S/N                                    </t>
  </si>
  <si>
    <t xml:space="preserve">ASUNCIÓN ATOYAQUILLO                      </t>
  </si>
  <si>
    <t xml:space="preserve">FRENTE A LA REFACCIONARIA TAURO     </t>
  </si>
  <si>
    <t xml:space="preserve">LA REFORMA                                                  </t>
  </si>
  <si>
    <t xml:space="preserve">CONSTITUCION S/N                                       </t>
  </si>
  <si>
    <t xml:space="preserve">HIDALGO Y AURORA                    </t>
  </si>
  <si>
    <t xml:space="preserve">ESTANZUELA GRANDE                                           </t>
  </si>
  <si>
    <t xml:space="preserve">ESTANZUELA GRANDE                         </t>
  </si>
  <si>
    <t>TIENDA DICONSA NUMERO 42 DE LA POBLA</t>
  </si>
  <si>
    <t xml:space="preserve">SAN AGUSTÍN CHAYUCO                                         </t>
  </si>
  <si>
    <t xml:space="preserve">SAN AGUSTIN CHAYUCO                                         </t>
  </si>
  <si>
    <t xml:space="preserve">RAFAEL RAMÍREZ S/N                                     </t>
  </si>
  <si>
    <t xml:space="preserve">ENTRE CALLE MORELOS Y CALLE NICOLAS </t>
  </si>
  <si>
    <t xml:space="preserve">SULEMA CRUZ LOPEZ                                           </t>
  </si>
  <si>
    <t xml:space="preserve">YUCUTACO                                                    </t>
  </si>
  <si>
    <t xml:space="preserve">LUIS DONALDO COLOSIO S/N                               </t>
  </si>
  <si>
    <t>CALLE NINGUNO E INDEPENDENCIA. EN EL</t>
  </si>
  <si>
    <t xml:space="preserve">TIERRA BLANCA                                               </t>
  </si>
  <si>
    <t xml:space="preserve">SAN ANDRÉS CABECERA NUEVA                                   </t>
  </si>
  <si>
    <t xml:space="preserve">SAN ANDRES CABECERA NUEVA                                   </t>
  </si>
  <si>
    <t xml:space="preserve">GUADALUPE VICTORIA S/N                                 </t>
  </si>
  <si>
    <t xml:space="preserve">CERRADA DE GUERRERO Y CALLE VICENTE </t>
  </si>
  <si>
    <t xml:space="preserve">ELIEL DAVID CASTELLANOS RAMIREZ                             </t>
  </si>
  <si>
    <t xml:space="preserve">SAN ANDRÉS HUAXPALTEPEC                                     </t>
  </si>
  <si>
    <t xml:space="preserve">SAN ANDRES HUAXPALTEPEC                                     </t>
  </si>
  <si>
    <t xml:space="preserve">AV  PRINCIPAL Y CARRETERA  COSTERA                     </t>
  </si>
  <si>
    <t>ENTRE LA CALLE 14 DE FEBRERO Y CALLE</t>
  </si>
  <si>
    <t xml:space="preserve">SAN ANDRÉS LAGUNAS                                          </t>
  </si>
  <si>
    <t xml:space="preserve">SAN ANDRES LAGUNAS                                          </t>
  </si>
  <si>
    <t xml:space="preserve">CENTRO, SAN ANDRÉS LAGUNA                 </t>
  </si>
  <si>
    <t xml:space="preserve">CALLE BENITO JUAREZ Y CALLE HIDALGO </t>
  </si>
  <si>
    <t xml:space="preserve">SUSANA MENDOZA LOPEZ                                        </t>
  </si>
  <si>
    <t xml:space="preserve">SAN ANDRÉS SOLAGA                                           </t>
  </si>
  <si>
    <t xml:space="preserve">SANTO DOMINGO YOJOVI                                        </t>
  </si>
  <si>
    <t xml:space="preserve">SANTO DOMINGO YOJOVI                      </t>
  </si>
  <si>
    <t xml:space="preserve">EN LA TIENDA DICONSA NÚMERO 98,A UN </t>
  </si>
  <si>
    <t xml:space="preserve">SILVIA CORTES RAMIREZ                                       </t>
  </si>
  <si>
    <t xml:space="preserve">VILLA DE TAMAZULÁPAM DEL PROGRESO                           </t>
  </si>
  <si>
    <t xml:space="preserve">VILLA DE TAMAZULAPAM DEL PROGRESO                           </t>
  </si>
  <si>
    <t>MUY BAJA</t>
  </si>
  <si>
    <t xml:space="preserve">PLAZA DE LA CONSTITUCIÓN S/N                           </t>
  </si>
  <si>
    <t xml:space="preserve">A DOS CUADRAS DE LA IGLESIA         </t>
  </si>
  <si>
    <t xml:space="preserve">HEROICA CIUDAD DE TLAXIACO                                  </t>
  </si>
  <si>
    <t xml:space="preserve">BARRIO SAN SEBASTIAN                                        </t>
  </si>
  <si>
    <t xml:space="preserve">FRESNOS NUMERO 3                                       </t>
  </si>
  <si>
    <t xml:space="preserve">BARRIO SAN SEBASTIAN                      </t>
  </si>
  <si>
    <t>ENTRE LA CALLE NOGAL Y CALLE CHABACA</t>
  </si>
  <si>
    <t xml:space="preserve">SANTA CRUZ NEXILA                                           </t>
  </si>
  <si>
    <t xml:space="preserve">CALLE HIDALGO SIN NUMERO                               </t>
  </si>
  <si>
    <t xml:space="preserve">RANCHERIA SANTA CRUZ NEXILA               </t>
  </si>
  <si>
    <t xml:space="preserve">CALLE JUAREZ Y CALLE NINGUNO        </t>
  </si>
  <si>
    <t xml:space="preserve">SAN ANTONINO EL ALTO                                        </t>
  </si>
  <si>
    <t xml:space="preserve">SAN FERNANDO DE MATAMOROS                                   </t>
  </si>
  <si>
    <t xml:space="preserve">PORFIRIO DÍAZ S/N                                      </t>
  </si>
  <si>
    <t xml:space="preserve">CENTRO SAN FERNANDO DE MATAMOROS          </t>
  </si>
  <si>
    <t xml:space="preserve">CALLE MORELOS Y CALLE NINGUNO       </t>
  </si>
  <si>
    <t xml:space="preserve">GUERRERO S/N                                           </t>
  </si>
  <si>
    <t xml:space="preserve">AYOQUEZCO DE ALDAMA                                         </t>
  </si>
  <si>
    <t xml:space="preserve">ALDAMA S/N (CORREDOR MUNICIPAL )                       </t>
  </si>
  <si>
    <t>ENTRE CALLE PORFIRIO DIAZ Y CALLE MA</t>
  </si>
  <si>
    <t xml:space="preserve">GARCIA ESPAÑA PABLO                                         </t>
  </si>
  <si>
    <t xml:space="preserve">SANTO DOMINGO TEHUANTEPEC                                   </t>
  </si>
  <si>
    <t xml:space="preserve">LAZARO CARDENAS SIN NUMERO                             </t>
  </si>
  <si>
    <t xml:space="preserve">JOSE LOPEZ PORTILLO                       </t>
  </si>
  <si>
    <t xml:space="preserve">CALLE MITLA Y CALLE EL PIPILA       </t>
  </si>
  <si>
    <t xml:space="preserve">SAN BLAS ATEMPA                                             </t>
  </si>
  <si>
    <t xml:space="preserve">MATEO JIMENEZ NO. 9                                    </t>
  </si>
  <si>
    <t>ENTRE LA CALLE MIGUEL HIDALGO Y LA C</t>
  </si>
  <si>
    <t xml:space="preserve">LAS PALMAS NO. 202                                     </t>
  </si>
  <si>
    <t xml:space="preserve">BARRIO ARRIBA                             </t>
  </si>
  <si>
    <t xml:space="preserve">CARRETERA FED. A PTO. ANGEL Y CALLE </t>
  </si>
  <si>
    <t xml:space="preserve">SANTO TOMÁS TAMAZULAPAN                                     </t>
  </si>
  <si>
    <t xml:space="preserve">SANTO TOMAS TAMAZULAPAN                                     </t>
  </si>
  <si>
    <t xml:space="preserve">PORFIRIO DIAZ S/N                                      </t>
  </si>
  <si>
    <t xml:space="preserve">ENTRE LA CALLE NIÑOS HEROES Y CALLE </t>
  </si>
  <si>
    <t xml:space="preserve">SANTIAGO ASTATA                                             </t>
  </si>
  <si>
    <t xml:space="preserve">LIBERTAD S/N                                           </t>
  </si>
  <si>
    <t xml:space="preserve">ENTRE CALLE 5 DE MAYO Y NINGUNO     </t>
  </si>
  <si>
    <t xml:space="preserve">SANTA MARÍA HUATULCO                                        </t>
  </si>
  <si>
    <t xml:space="preserve">SANTA MARIA HUATULCO                                        </t>
  </si>
  <si>
    <t xml:space="preserve">DIAZ ORDAZ S/N                                         </t>
  </si>
  <si>
    <t xml:space="preserve">LAS PALMAS                                </t>
  </si>
  <si>
    <t xml:space="preserve">CALLE HIDALGO Y CALLE MORELOS       </t>
  </si>
  <si>
    <t xml:space="preserve">SAN PEDRO POCHUTLA                                          </t>
  </si>
  <si>
    <t xml:space="preserve">SAN JOSE CHACALAPA                                          </t>
  </si>
  <si>
    <t xml:space="preserve">CARRETERA A OAXACA S/N                                 </t>
  </si>
  <si>
    <t xml:space="preserve">FRENTE A LA CANCHA MUNICIPAL        </t>
  </si>
  <si>
    <t xml:space="preserve">ACEVEDO SAN MIGUEL EDITH NANCY                              </t>
  </si>
  <si>
    <t xml:space="preserve">HIDALGO NO. 15                                         </t>
  </si>
  <si>
    <t>ENTRE LA CALLE 20 DE NOVIEMBRE Y CAL</t>
  </si>
  <si>
    <t xml:space="preserve">SANTA MARÍA COLOTEPEC                                       </t>
  </si>
  <si>
    <t xml:space="preserve">BRISAS DE ZICATELA                                          </t>
  </si>
  <si>
    <t xml:space="preserve">AV.DANIEL GTZ  SANTOS S/N                              </t>
  </si>
  <si>
    <t>ENTRE LA CALLE COSTERA Y LA CALLE VI</t>
  </si>
  <si>
    <t xml:space="preserve">SAN JUAN BAUTISTA CUICATLÁN                                 </t>
  </si>
  <si>
    <t xml:space="preserve">SAN PEDRO CHICOZAPOTES                                      </t>
  </si>
  <si>
    <t>JUNTO AL PARQUE Y A LA AGENCIA MPAL.</t>
  </si>
  <si>
    <t xml:space="preserve">SANTA MARÍA TLAHUITOLTEPEC                                  </t>
  </si>
  <si>
    <t xml:space="preserve">SANTA MARIA TLAHUITOLTEPEC                                  </t>
  </si>
  <si>
    <t xml:space="preserve">A UN COSTADO DEL ANTIGUO MUNICIPIO. </t>
  </si>
  <si>
    <t xml:space="preserve">SANTIAGO JUXTLAHUACA                                        </t>
  </si>
  <si>
    <t xml:space="preserve">BENITO JUAREZ ORIENTE S/N                              </t>
  </si>
  <si>
    <t xml:space="preserve">LA ESPERANZA                              </t>
  </si>
  <si>
    <t xml:space="preserve">MORELOS NORTE Y REFORMA             </t>
  </si>
  <si>
    <t xml:space="preserve">SANTA CATARINA JUQUILA                                      </t>
  </si>
  <si>
    <t xml:space="preserve"> 3 DE MAYO                                </t>
  </si>
  <si>
    <t xml:space="preserve">FRENTE A LA TERMINAL DE AUTOBUSES.  </t>
  </si>
  <si>
    <t xml:space="preserve">CARLOS ALBERTO SANCHEZ MENDEZ                               </t>
  </si>
  <si>
    <t xml:space="preserve">VILLA DE TUTUTEPEC                                          </t>
  </si>
  <si>
    <t xml:space="preserve">SAN JOSE DEL PROGRESO                                       </t>
  </si>
  <si>
    <t xml:space="preserve">MIGUEL SABINO S/N                                      </t>
  </si>
  <si>
    <t>ENTRE LA CALLE ANTONIO BALDES Y LA C</t>
  </si>
  <si>
    <t xml:space="preserve">RAMIREZ OJEDA DULCE MERCEDES                                </t>
  </si>
  <si>
    <t xml:space="preserve">SANTA MARÍA HUAZOLOTITLÁN                                   </t>
  </si>
  <si>
    <t xml:space="preserve">SANTA MARIA HUAZOLOTITLAN                                   </t>
  </si>
  <si>
    <t xml:space="preserve">REVOLUCION S/N                                         </t>
  </si>
  <si>
    <t>ENTRE LA CALLE MORELOS Y LA CALLE ZA</t>
  </si>
  <si>
    <t xml:space="preserve">SANTA ROSA DE LIMA                                          </t>
  </si>
  <si>
    <t xml:space="preserve">LOS HUESOS S/N                                         </t>
  </si>
  <si>
    <t xml:space="preserve">CENTRO.                                   </t>
  </si>
  <si>
    <t xml:space="preserve">FRENTE A LAS OFICINAS DE LA C.F.E.  </t>
  </si>
  <si>
    <t xml:space="preserve">SANTIAGO JAMILTEPEC                                         </t>
  </si>
  <si>
    <t xml:space="preserve">GONZALEZ ORTEGA S/N                                    </t>
  </si>
  <si>
    <t>ENTRE LA CALLE IGNACIO RAYON Y LA CA</t>
  </si>
  <si>
    <t xml:space="preserve">TAMAULIPAS NO. 30                                      </t>
  </si>
  <si>
    <t>ENTRE LA CALLE SONORA Y CALLE BAJA C</t>
  </si>
  <si>
    <t xml:space="preserve">REFORMA S/N                                            </t>
  </si>
  <si>
    <t xml:space="preserve">LOS OCOTES                                                  </t>
  </si>
  <si>
    <t xml:space="preserve">REFORMA S/N AGENCIA MUNICIPAL                          </t>
  </si>
  <si>
    <t xml:space="preserve">A UN COSTADO DE LA CASA EJIDAL      </t>
  </si>
  <si>
    <t xml:space="preserve">CHALCATONGO DE HIDALGO                                      </t>
  </si>
  <si>
    <t xml:space="preserve">NICOLAS BRAVO S/N                                      </t>
  </si>
  <si>
    <t>ENTRE LA CALLE ALLENDE Y CALLE INDEP</t>
  </si>
  <si>
    <t xml:space="preserve">GUADALUPE NUEVO TENOCHTITLAN                                </t>
  </si>
  <si>
    <t xml:space="preserve">AVENIDA PRINCIPAL S/N                                  </t>
  </si>
  <si>
    <t xml:space="preserve">A UN COSTADO DE LA PRIMARIA         </t>
  </si>
  <si>
    <t xml:space="preserve">SAN JUAN BAUTISTA VALLE NACIONAL                            </t>
  </si>
  <si>
    <t xml:space="preserve">AV  REFORMA NO. 380                                    </t>
  </si>
  <si>
    <t>ENTRE CALLE PONIENTE 1 Y CALLE PONIE</t>
  </si>
  <si>
    <t xml:space="preserve">TEPELMEME VILLA DE MORELOS                                  </t>
  </si>
  <si>
    <t>ENTRE LA CALLE REFORMA Y LA CALLE HI</t>
  </si>
  <si>
    <t xml:space="preserve">ECHEVERRIA TREJO ESPERANZA YESENIA                          </t>
  </si>
  <si>
    <t>HEROICA VILLA TEZOATLÁN DE SEGURA Y LUNA, CUNA DE LA INDEPEN</t>
  </si>
  <si>
    <t xml:space="preserve">MIGUEL LUNA NO. 3                                      </t>
  </si>
  <si>
    <t>ENTRE LA CALLE MIGUEL ALEMAN Y CALLE</t>
  </si>
  <si>
    <t xml:space="preserve">VILLA DE SANTIAGO CHAZUMBA                                  </t>
  </si>
  <si>
    <t xml:space="preserve">JUAN ALVAREZ S/N                                       </t>
  </si>
  <si>
    <t>ENTRE LA CALLE 27 DE SEPTIEMBRE Y LA</t>
  </si>
  <si>
    <t xml:space="preserve">SANTIAGO MILTEPEC                                           </t>
  </si>
  <si>
    <t xml:space="preserve">OLVIDO S/N                                             </t>
  </si>
  <si>
    <t xml:space="preserve">ENTRE LA CALLE BRASIL Y CALLE VISTA </t>
  </si>
  <si>
    <t xml:space="preserve">SAN PEDRO MIXTEPEC                                          </t>
  </si>
  <si>
    <t xml:space="preserve">BAJOS DE CHILA                                              </t>
  </si>
  <si>
    <t>ENTRE LA CALLE 16 DE SEPTIEMBRE Y CA</t>
  </si>
  <si>
    <t xml:space="preserve">SAN PEDRO MIXTEPEC DISTRITO 22                              </t>
  </si>
  <si>
    <t>ENTRE LA CALLE MELCHOR OCAMPO Y CALL</t>
  </si>
  <si>
    <t xml:space="preserve">SANTA CATARINA TAYATA                                       </t>
  </si>
  <si>
    <t xml:space="preserve">A UN COSTADO DEL EXCEBETA                              </t>
  </si>
  <si>
    <t xml:space="preserve">A UN COSTADO DE LA BIBLIOTECA       </t>
  </si>
  <si>
    <t xml:space="preserve">SAN PEDRO AMUZGOS                                           </t>
  </si>
  <si>
    <t xml:space="preserve">VICENTE GUERRERO S/N                                   </t>
  </si>
  <si>
    <t xml:space="preserve">ENTRE LA CALLE 5 DE FEBRERO Y CALLE </t>
  </si>
  <si>
    <t xml:space="preserve">HERNANDEZ RAMIREZ DAVID                                     </t>
  </si>
  <si>
    <t xml:space="preserve">SANTA MARÍA ZACATEPEC                                       </t>
  </si>
  <si>
    <t xml:space="preserve">SANTA MARIA ZACATEPEC                                       </t>
  </si>
  <si>
    <t>ENTRE LA CALLE APLO XI Y CALLE OAXAC</t>
  </si>
  <si>
    <t xml:space="preserve">SAN JUAN DE LOS CUÉS                                        </t>
  </si>
  <si>
    <t xml:space="preserve">SAN JUAN DE LOS CUES                                        </t>
  </si>
  <si>
    <t xml:space="preserve">FRANCISCO I. MADERO S/N PRINCIPAL                      </t>
  </si>
  <si>
    <t xml:space="preserve">ENTRE LA CALLE MANUEL S. OSEGUERA Y </t>
  </si>
  <si>
    <t xml:space="preserve">SAN JUAN BAUTISTA TUXTEPEC                                  </t>
  </si>
  <si>
    <t xml:space="preserve">SANTA URSULA                                                </t>
  </si>
  <si>
    <t xml:space="preserve">20 DE NOVIEMBRE                                        </t>
  </si>
  <si>
    <t>CALLE EMILIANO ZAPATA Y CALLE VICENT</t>
  </si>
  <si>
    <t>SIN VENTA DE BASICOS</t>
  </si>
  <si>
    <t xml:space="preserve">VILLA TALEA DE CASTRO                                       </t>
  </si>
  <si>
    <t xml:space="preserve">CAFETICULTORES SUR S/N                                 </t>
  </si>
  <si>
    <t xml:space="preserve">ENTRE CALLE UNIVERSIDAD Y NINGUNO   </t>
  </si>
  <si>
    <t xml:space="preserve">SAN JUAN CACAHUATEPEC                                       </t>
  </si>
  <si>
    <t xml:space="preserve">PRINCIPAL ORIENTE S/N                                  </t>
  </si>
  <si>
    <t>ENTRE LA CALLE BENITO JUAREZ NORTE Y</t>
  </si>
  <si>
    <t xml:space="preserve">RANCHO EL LLANO                                             </t>
  </si>
  <si>
    <t xml:space="preserve">CENTRO, RANCHO EL LLANO                   </t>
  </si>
  <si>
    <t xml:space="preserve">CENTRO SAN BLAS ATEMPA                    </t>
  </si>
  <si>
    <t>CALLE DR. FACUNDO GENICO Y CALLE NIN</t>
  </si>
  <si>
    <t xml:space="preserve">1 DE MAYO S/N                                          </t>
  </si>
  <si>
    <t xml:space="preserve">TIERRA BLANCA                             </t>
  </si>
  <si>
    <t xml:space="preserve">ALVAREZ TORRES GUSTAVO                                      </t>
  </si>
  <si>
    <t xml:space="preserve">ROJAS RODRIGUEZ SOLEDAD                                     </t>
  </si>
  <si>
    <t xml:space="preserve">SAN CRISTÓBAL LACHIRIOAG                                    </t>
  </si>
  <si>
    <t xml:space="preserve">SAN CRISTOBAL LACHIRIOAG                                    </t>
  </si>
  <si>
    <t xml:space="preserve">JUÁREZ S/N                                             </t>
  </si>
  <si>
    <t xml:space="preserve">CENTRO SAN CRISTÓBAL LACHIRIOAG           </t>
  </si>
  <si>
    <t xml:space="preserve">ENTRE CALLE NINGUNO Y CALLE NINGUNO </t>
  </si>
  <si>
    <t xml:space="preserve">SAN DIONISIO DEL MAR                                        </t>
  </si>
  <si>
    <t xml:space="preserve">IGNACIO ZARAGOZA NUM. 460                              </t>
  </si>
  <si>
    <t xml:space="preserve">SAN DIONISIO DEL MAR                      </t>
  </si>
  <si>
    <t xml:space="preserve">AVENIDA ITURBIDE Y AVENIDA MADERO   </t>
  </si>
  <si>
    <t xml:space="preserve">OJEDA MENDEZ ANTONIA                                        </t>
  </si>
  <si>
    <t xml:space="preserve">SAN ESTEBAN ATATLAHUCA                                      </t>
  </si>
  <si>
    <t>CALLE HIDALGO Y CALLE GUERRERO CERCA</t>
  </si>
  <si>
    <t xml:space="preserve">AQUINO RUIZ IRMA                                            </t>
  </si>
  <si>
    <t xml:space="preserve">SAN FELIPE TEJALÁPAM                                        </t>
  </si>
  <si>
    <t xml:space="preserve">SAN FELIPE TEJALAPAM                                        </t>
  </si>
  <si>
    <t xml:space="preserve">BENITO JUÁREZ NUM. 1                                   </t>
  </si>
  <si>
    <t xml:space="preserve">SAN FELIPE TEJALÁPAM                      </t>
  </si>
  <si>
    <t>CALLE 16 DE SEPTIEMBRE Y CALLE INDEN</t>
  </si>
  <si>
    <t xml:space="preserve">AEROPUERTO                                </t>
  </si>
  <si>
    <t xml:space="preserve">SAN FRANCISCO DEL MAR                                       </t>
  </si>
  <si>
    <t xml:space="preserve">CENTRO, SAN FRANCISCO DEL MAR             </t>
  </si>
  <si>
    <t>CALLE MORELOS Y MECHOR OCAMPO, CERCA</t>
  </si>
  <si>
    <t xml:space="preserve">SAN FRANCISCO IXHUATÁN                                      </t>
  </si>
  <si>
    <t xml:space="preserve">20 DE NOVIEMBRE                                             </t>
  </si>
  <si>
    <t xml:space="preserve">JUSTO SIERRA S/N                                       </t>
  </si>
  <si>
    <t xml:space="preserve">20 DE NOVIEMBRE                           </t>
  </si>
  <si>
    <t>CALLE MELCHOR OCAMPO Y NINGUNO NINGU</t>
  </si>
  <si>
    <t xml:space="preserve">SAN FRANCISCO IXHUATAN                                      </t>
  </si>
  <si>
    <t xml:space="preserve">REFORMA NUM. 125                                       </t>
  </si>
  <si>
    <t xml:space="preserve">SAN FRANCISCO IXHUATAN CENTRO             </t>
  </si>
  <si>
    <t xml:space="preserve">CALLE CORTES Y NINGUNO NINGUNO      </t>
  </si>
  <si>
    <t xml:space="preserve">LAS PALMAS                                                  </t>
  </si>
  <si>
    <t>CALLE VICENTE GUERRERO Y CALLE REVOL</t>
  </si>
  <si>
    <t xml:space="preserve">SAN FRANCISCO JALTEPETONGO                                  </t>
  </si>
  <si>
    <t xml:space="preserve">CENTRO, SAN FRANCISCO JALTEPETONGO        </t>
  </si>
  <si>
    <t xml:space="preserve">CALLE INDEPENDENCIA Y CALLE NINGUNO </t>
  </si>
  <si>
    <t xml:space="preserve">SAN GABRIEL MIXTEPEC                                        </t>
  </si>
  <si>
    <t>ENTRE LA CALLE JUAREZ Y CALLE PORFIR</t>
  </si>
  <si>
    <t xml:space="preserve">SAN ILDEFONSO VILLA ALTA                                    </t>
  </si>
  <si>
    <t xml:space="preserve">CALLE 16 DE SEPTIEMBRE S/N                             </t>
  </si>
  <si>
    <t xml:space="preserve">CALLE 5 DE MAYO Y CALLE MORELOS     </t>
  </si>
  <si>
    <t xml:space="preserve">CUAJINICUIL                               </t>
  </si>
  <si>
    <t xml:space="preserve">SAN JERÓNIMO TECÓATL                                        </t>
  </si>
  <si>
    <t xml:space="preserve">SAN JERONIMO TECOATL                                        </t>
  </si>
  <si>
    <t xml:space="preserve">CENTRO SAN JERONIMO TECOATL               </t>
  </si>
  <si>
    <t xml:space="preserve">FRENTE AL PALACIO MUNICIPAL Y A UNA </t>
  </si>
  <si>
    <t xml:space="preserve">SAN JOSÉ AYUQUILA                                           </t>
  </si>
  <si>
    <t xml:space="preserve">SAN JOSE AYUQUILA                                           </t>
  </si>
  <si>
    <t xml:space="preserve">POR EL PALACIO MUNICIPAL            </t>
  </si>
  <si>
    <t xml:space="preserve">SAN JOSÉ CHILTEPEC                                          </t>
  </si>
  <si>
    <t xml:space="preserve">LEYES DE REFORMA                                            </t>
  </si>
  <si>
    <t xml:space="preserve">LEYES DE REFORMA                          </t>
  </si>
  <si>
    <t>CALLE EMILIANO ZAPATA Y NINGUNO, NIN</t>
  </si>
  <si>
    <t xml:space="preserve">SAN JOSÉ ESTANCIA GRANDE                                    </t>
  </si>
  <si>
    <t xml:space="preserve">SAN JOSE ESTANCIA GRANDE                                    </t>
  </si>
  <si>
    <t xml:space="preserve">INDEPENDENCIA NORTE S/N                                </t>
  </si>
  <si>
    <t xml:space="preserve">CALLE JUAREZ Y CALLE 10 DE ABRIL    </t>
  </si>
  <si>
    <t xml:space="preserve">SAN JUAN ACHIUTLA                                           </t>
  </si>
  <si>
    <t xml:space="preserve">CENTRO, SAN JUAN ACHIUTLA                 </t>
  </si>
  <si>
    <t>CARR. FELIPE IXTAPA-ATOYAQUILLO Y AV</t>
  </si>
  <si>
    <t xml:space="preserve">SAN JUAN ATEPEC                                             </t>
  </si>
  <si>
    <t xml:space="preserve">FRANCISCO SARABIA S/N                                  </t>
  </si>
  <si>
    <t xml:space="preserve">SAN JUAN ATEPEC                           </t>
  </si>
  <si>
    <t>EN LA PLANTA BAJA DEL SALON DE ASAMB</t>
  </si>
  <si>
    <t xml:space="preserve">CENTRO SAN JUAN COYULA                    </t>
  </si>
  <si>
    <t xml:space="preserve">SAN JUAN BAUTISTA CUICATLAN                                 </t>
  </si>
  <si>
    <t xml:space="preserve">CENTRO SAN JUAN BAUTISTA CUICATLÁN        </t>
  </si>
  <si>
    <t>CALLE MANUEL DOBLADO Y CALLE CENTENA</t>
  </si>
  <si>
    <t xml:space="preserve">LA MINA                                                     </t>
  </si>
  <si>
    <t xml:space="preserve">LA MINA                                   </t>
  </si>
  <si>
    <t>CALLE JUSTO SIERRA Y CALLE ALFREDO B</t>
  </si>
  <si>
    <t xml:space="preserve">ZACATE COLORADO                                             </t>
  </si>
  <si>
    <t xml:space="preserve">ZACATE COLORADO                           </t>
  </si>
  <si>
    <t>CALLE FRANCISCO I. MADERO Y CALLE JO</t>
  </si>
  <si>
    <t xml:space="preserve">EL CEDRAL                                                   </t>
  </si>
  <si>
    <t xml:space="preserve">18 DE MARZO S/N                                        </t>
  </si>
  <si>
    <t xml:space="preserve">EL CEDRAL                                 </t>
  </si>
  <si>
    <t>CALLE NICOLAS BRAVO Y CALLE VENUSTIA</t>
  </si>
  <si>
    <t xml:space="preserve">SAN ANTONIO OCOTLAN                                         </t>
  </si>
  <si>
    <t xml:space="preserve">LIBERTAD Nª 6                                          </t>
  </si>
  <si>
    <t xml:space="preserve">JUNTO AL PALACIO MUNICIPAL.         </t>
  </si>
  <si>
    <t xml:space="preserve">PINEDA VILLEGAS JUANA                                       </t>
  </si>
  <si>
    <t xml:space="preserve">SAN JUAN GUICHICOVI                                         </t>
  </si>
  <si>
    <t xml:space="preserve">EL ZACATAL                                                  </t>
  </si>
  <si>
    <t xml:space="preserve">EL ZACATAL                                </t>
  </si>
  <si>
    <t xml:space="preserve">EN LA TIENDA DICONSA NUM. 125       </t>
  </si>
  <si>
    <t xml:space="preserve">OCOTAL                                                      </t>
  </si>
  <si>
    <t xml:space="preserve">OCOTAL                                    </t>
  </si>
  <si>
    <t xml:space="preserve">PLAN DE SAN LUIS                                            </t>
  </si>
  <si>
    <t xml:space="preserve">REMIGIO SARABIA S/N                                    </t>
  </si>
  <si>
    <t xml:space="preserve">PLAN DE SAN LUIS                          </t>
  </si>
  <si>
    <t>EN LA TIENDA DICONSA NÚMERO 43, A DO</t>
  </si>
  <si>
    <t xml:space="preserve">ROSAS ANTONIO ANDRES                                        </t>
  </si>
  <si>
    <t xml:space="preserve">ESTACION SARABIA                                            </t>
  </si>
  <si>
    <t xml:space="preserve">CRISTÓBAL COLÓN S/N                                    </t>
  </si>
  <si>
    <t xml:space="preserve">ESTACIÓN SARABIA                          </t>
  </si>
  <si>
    <t>EN LA TIENDA DICONSA 44, EN FRENTE D</t>
  </si>
  <si>
    <t xml:space="preserve">TOMAS JOSE SANCHEZ                                          </t>
  </si>
  <si>
    <t xml:space="preserve">RIO PACHINE                                                 </t>
  </si>
  <si>
    <t xml:space="preserve">RÍO PACHIÑE                               </t>
  </si>
  <si>
    <t>LA TIENDA DE ALIMENTACIÓN PARA EL BI</t>
  </si>
  <si>
    <t xml:space="preserve">TRUJILLO JUAREZ MARIA                                       </t>
  </si>
  <si>
    <t xml:space="preserve">SAN JUAN LAJARCIA                                           </t>
  </si>
  <si>
    <t xml:space="preserve">SAN JUAN LAJARCIA                         </t>
  </si>
  <si>
    <t xml:space="preserve">SAN JUAN MAZATLÁN                                           </t>
  </si>
  <si>
    <t xml:space="preserve">GENERAL FELIPE ANGELES                                      </t>
  </si>
  <si>
    <t xml:space="preserve">ALFONSO GOMEZ LARA S/N                                 </t>
  </si>
  <si>
    <t xml:space="preserve">GENERAL FELIPE ANGELES                    </t>
  </si>
  <si>
    <t xml:space="preserve">EN LA TIENDA DICONSA                </t>
  </si>
  <si>
    <t xml:space="preserve">MIRANDA ORTEGA SOLEDAD G.                                   </t>
  </si>
  <si>
    <t xml:space="preserve">CERCA DEL PALACIO MUNICIPAL         </t>
  </si>
  <si>
    <t xml:space="preserve">FRENTE AL PALACIO MUNICIPAL         </t>
  </si>
  <si>
    <t xml:space="preserve">SAN JUAN SAYULTEPEC                                         </t>
  </si>
  <si>
    <t xml:space="preserve">GUILLERMO PRIETO S/N                                   </t>
  </si>
  <si>
    <t xml:space="preserve">CENTRO SAN JUAN SAYULTEPEC                </t>
  </si>
  <si>
    <t xml:space="preserve">CALLE ABASOLO Y CALLE ALLENDE       </t>
  </si>
  <si>
    <t xml:space="preserve">SAN JUAN TEPOSCOLULA                                        </t>
  </si>
  <si>
    <t>ENTRE LA CALLE CAMINO NACIONAL Y CAL</t>
  </si>
  <si>
    <t xml:space="preserve">SANTA MARÍA CHACHOÁPAM                                      </t>
  </si>
  <si>
    <t xml:space="preserve">SANTA MARIA CHACHOAPAM                                      </t>
  </si>
  <si>
    <t>CALLE EMILIANO ZAPATA Y CALLE VENUST</t>
  </si>
  <si>
    <t xml:space="preserve">SAN MARCOS ARTEAGA                                          </t>
  </si>
  <si>
    <t xml:space="preserve">JUAREZ S/N                                             </t>
  </si>
  <si>
    <t>ENTRE LA CALLE INDEPENDENCIA Y CALLE</t>
  </si>
  <si>
    <t xml:space="preserve">SAN MARTÍN HUAMELÚLPAM                                      </t>
  </si>
  <si>
    <t xml:space="preserve">SAN MARTIN HUAMELULPAM                                      </t>
  </si>
  <si>
    <t xml:space="preserve">FLORES MAGÓN S/N                                       </t>
  </si>
  <si>
    <t xml:space="preserve">CENTRO, SAN MARTÍN HUAMELÚLPAM            </t>
  </si>
  <si>
    <t>CALLE PEREZ GASGA Y CALLE LAZARO CAR</t>
  </si>
  <si>
    <t xml:space="preserve">CAPULÁLPAM DE MÉNDEZ                                        </t>
  </si>
  <si>
    <t xml:space="preserve">CAPULALPAM DE MENDEZ                                        </t>
  </si>
  <si>
    <t xml:space="preserve">MIGUEL MÉNDEZ S/N                                      </t>
  </si>
  <si>
    <t xml:space="preserve">CAPULALPAM DE MENDEZ                      </t>
  </si>
  <si>
    <t xml:space="preserve">CALLE HIDALGO Y CALLE INDEPENDENCIA </t>
  </si>
  <si>
    <t xml:space="preserve">JOSEFA ORTIZ DE DOMINGUEZ S/N                          </t>
  </si>
  <si>
    <t xml:space="preserve">SAN MATEO YOLOXOCHITLÁN                                     </t>
  </si>
  <si>
    <t xml:space="preserve">SAN MATEO YOLOXOCHITLAN                                     </t>
  </si>
  <si>
    <t xml:space="preserve">5  DE MAYO S/N (CALLE PRINCIPAL)                       </t>
  </si>
  <si>
    <t xml:space="preserve">CENTRO SAN MATEO YOLOXOCHITLAN            </t>
  </si>
  <si>
    <t>ENTRE LA CALLE NINOS HEROES Y NINGUN</t>
  </si>
  <si>
    <t xml:space="preserve">LA REFORMA SAN MATEO                                        </t>
  </si>
  <si>
    <t xml:space="preserve">LA REFORMA                                </t>
  </si>
  <si>
    <t xml:space="preserve">SAN MATEO ETLATONGO                                         </t>
  </si>
  <si>
    <t xml:space="preserve">INDEPENDENCIA NUM. 12                                  </t>
  </si>
  <si>
    <t xml:space="preserve">CALLE CUAUHTEMOC Y CALLE ALLENDE    </t>
  </si>
  <si>
    <t xml:space="preserve">SAN MIGUEL AMATLÁN                                          </t>
  </si>
  <si>
    <t xml:space="preserve">CUAJIMOLOYAS                                                </t>
  </si>
  <si>
    <t xml:space="preserve">AGENCIA CUAJIMOLOYAS                      </t>
  </si>
  <si>
    <t>CALLE BENITO JUAREZ Y CALLE LIBERTAD</t>
  </si>
  <si>
    <t xml:space="preserve">SAN MIGUEL AMATLAN                                          </t>
  </si>
  <si>
    <t xml:space="preserve">CENTRO SAN MIGUEL AMATLÁN                 </t>
  </si>
  <si>
    <t>CALLE MELCHOR OCAMPO Y LAZARO CARDEN</t>
  </si>
  <si>
    <t xml:space="preserve">SAN MIGUEL CHIMALAPA                                        </t>
  </si>
  <si>
    <t xml:space="preserve">SAN MIGUEL CHIMALAPA                      </t>
  </si>
  <si>
    <t>CALLE INDEPENDENCIA Y CALLEJON NINGU</t>
  </si>
  <si>
    <t xml:space="preserve">LAS ANONAS                                                  </t>
  </si>
  <si>
    <t xml:space="preserve">LAS ANONAS                                </t>
  </si>
  <si>
    <t xml:space="preserve">EL PORVENIR                                                 </t>
  </si>
  <si>
    <t xml:space="preserve">EL PORVENIR                               </t>
  </si>
  <si>
    <t xml:space="preserve">LOS LIMONES                                                 </t>
  </si>
  <si>
    <t xml:space="preserve">LOS LIMONES                               </t>
  </si>
  <si>
    <t xml:space="preserve">LAS CONCHAS                                                 </t>
  </si>
  <si>
    <t xml:space="preserve">LAS CONCHAS                               </t>
  </si>
  <si>
    <t xml:space="preserve">SAN ANTONIO                                                 </t>
  </si>
  <si>
    <t xml:space="preserve">SAN ANTONIO                               </t>
  </si>
  <si>
    <t>EN LA TIENDA DICONSA NÚMERO 45, A UN</t>
  </si>
  <si>
    <t xml:space="preserve">BENITO JUAREZ (EL TREBOL)                                   </t>
  </si>
  <si>
    <t xml:space="preserve">BENITO JUÁREZ (EL TRÉBOL)                 </t>
  </si>
  <si>
    <t>EN LA TIENDA DICONSA NÚMERO 82, A UN</t>
  </si>
  <si>
    <t xml:space="preserve">SAN MIGUEL EL GRANDE                                        </t>
  </si>
  <si>
    <t xml:space="preserve">CENTRO, SAN MIGUEL EL GRANDE              </t>
  </si>
  <si>
    <t xml:space="preserve">CALLE ALLENDE Y CALLE NINGUNO       </t>
  </si>
  <si>
    <t xml:space="preserve">SAN MIGUEL PIEDRAS                                          </t>
  </si>
  <si>
    <t xml:space="preserve">LA UNIÓN S/N                                           </t>
  </si>
  <si>
    <t xml:space="preserve">CENTRO, SAN MIGUEL PIEDRAS                </t>
  </si>
  <si>
    <t xml:space="preserve">CALLE LIBERTAD Y CAMINO A EL FRESNO </t>
  </si>
  <si>
    <t xml:space="preserve">ALDAMA S/N                                             </t>
  </si>
  <si>
    <t xml:space="preserve">SAN MIGUEL SOYALTEPEC                                       </t>
  </si>
  <si>
    <t xml:space="preserve">EL CARMEN                                                   </t>
  </si>
  <si>
    <t xml:space="preserve">EN LA AGENCIA MUNICIPAL             </t>
  </si>
  <si>
    <t xml:space="preserve">SAN MIGUEL SUCHIXTEPEC                                      </t>
  </si>
  <si>
    <t xml:space="preserve">SAN MIGUEL SUCHIXTEPEC                    </t>
  </si>
  <si>
    <t>EN LA TIENDA DICONSA NÚMERO 20, A UN</t>
  </si>
  <si>
    <t xml:space="preserve">LINARES HERNANDEZ YOLANDA                                   </t>
  </si>
  <si>
    <t xml:space="preserve">SAN MIGUEL TEQUIXTEPEC                                      </t>
  </si>
  <si>
    <t xml:space="preserve">SAN MIGUEL TEQUIXTEPEC                    </t>
  </si>
  <si>
    <t xml:space="preserve">CALLE JOSE MARIA MORELOS Y CALLE 16 </t>
  </si>
  <si>
    <t xml:space="preserve">SAN NICOLAS                               </t>
  </si>
  <si>
    <t xml:space="preserve">SAN NICOLÁS HIDALGO                                         </t>
  </si>
  <si>
    <t xml:space="preserve">SAN NICOLAS HIDALGO                                         </t>
  </si>
  <si>
    <t xml:space="preserve">SAN NICOLAS HIDALGO                       </t>
  </si>
  <si>
    <t>EN LA TIENDA DICONSA NÚMERO 75, EN F</t>
  </si>
  <si>
    <t xml:space="preserve">SAN PEDRO APÓSTOL                                           </t>
  </si>
  <si>
    <t xml:space="preserve">SAN PEDRO APOSTOL                                           </t>
  </si>
  <si>
    <t xml:space="preserve">HOMBRES ILUSTRES S/N                                   </t>
  </si>
  <si>
    <t xml:space="preserve">ISABEL LA CATOLICA S/N                                 </t>
  </si>
  <si>
    <t xml:space="preserve">SAN PEDRO COMITANCILLO                                      </t>
  </si>
  <si>
    <t xml:space="preserve">IGNACIO ZARAGOZA S/N                                   </t>
  </si>
  <si>
    <t xml:space="preserve">SAN PEDRO COMITANCILLO                    </t>
  </si>
  <si>
    <t>ENTRE CALLE VENUSTIANO CARRANZA Y CA</t>
  </si>
  <si>
    <t xml:space="preserve">PRESTADO            </t>
  </si>
  <si>
    <t xml:space="preserve">PARTICULAR       </t>
  </si>
  <si>
    <t xml:space="preserve">OLIVERA ALVAREZ ANEL                                        </t>
  </si>
  <si>
    <t xml:space="preserve">SAN PEDRO HUAMELULA                                         </t>
  </si>
  <si>
    <t xml:space="preserve">CALLE HIDALGO Y CALLE SOR JUANA     </t>
  </si>
  <si>
    <t xml:space="preserve">SAN PEDRO HUILOTEPEC                                        </t>
  </si>
  <si>
    <t xml:space="preserve">CALLEJON SOLIDARIDAD Y AV. GUAYMAS  </t>
  </si>
  <si>
    <t xml:space="preserve">SAN PEDRO JUCHATENGO                                        </t>
  </si>
  <si>
    <t>ENTRE LA CALLE BENITO JUAREZ Y NINGU</t>
  </si>
  <si>
    <t xml:space="preserve">SAN PEDRO MÁRTIR YUCUXACO                                   </t>
  </si>
  <si>
    <t xml:space="preserve">SAN PEDRO MARTIR YUCUXACO                                   </t>
  </si>
  <si>
    <t xml:space="preserve">CENTRO, SAN PEDRO MARTÍR YUCUXACO         </t>
  </si>
  <si>
    <t xml:space="preserve">CALLE REFORMA Y CALLE FRONTERA      </t>
  </si>
  <si>
    <t xml:space="preserve">SAN ANDRES COPALA                                           </t>
  </si>
  <si>
    <t xml:space="preserve">PUERTO ESCONDIDO                                            </t>
  </si>
  <si>
    <t>CALLE 5 DE MAYO Y CALLE 5 DE FEBRERO</t>
  </si>
  <si>
    <t xml:space="preserve">SAN MIGUEL [COLONIA]                                        </t>
  </si>
  <si>
    <t xml:space="preserve">SAN MIGUEL                                </t>
  </si>
  <si>
    <t xml:space="preserve">SAN PEDRO MOLINOS                                           </t>
  </si>
  <si>
    <t>CALLE DE LA LLAVE Y CALLE BENITO JUA</t>
  </si>
  <si>
    <t xml:space="preserve">SANTA CRUZ                                </t>
  </si>
  <si>
    <t xml:space="preserve">CALZADA AÑO JUAREZ S/N                                 </t>
  </si>
  <si>
    <t xml:space="preserve">2A. SECCION                               </t>
  </si>
  <si>
    <t xml:space="preserve">FRENTE A LA CAPILLA                 </t>
  </si>
  <si>
    <t xml:space="preserve">SAN PEDRO CAFETITLAN                                        </t>
  </si>
  <si>
    <t xml:space="preserve">AV  PRINCIPAL S/N                                      </t>
  </si>
  <si>
    <t xml:space="preserve">CENTRO SAN PEDRO CAFETITLAN               </t>
  </si>
  <si>
    <t xml:space="preserve">CERCA DEL JARDIN DE NIÑOS GABILONDO </t>
  </si>
  <si>
    <t xml:space="preserve">SAN ISIDRO APANGO                                           </t>
  </si>
  <si>
    <t xml:space="preserve">SAN ISIDRO APANGO SAN PEDRO POCHUTLA      </t>
  </si>
  <si>
    <t xml:space="preserve">ROQUE                                                       </t>
  </si>
  <si>
    <t xml:space="preserve">FEDERAL MIAHUATLAN A SAN PEDRO POCHUTLA KM 175 S/N     </t>
  </si>
  <si>
    <t xml:space="preserve">NUCLEO RURAL ROQUE SAN PEDRO POCHUTLA     </t>
  </si>
  <si>
    <t xml:space="preserve">BARRIO NUEVO TOLTEPEC                                       </t>
  </si>
  <si>
    <t xml:space="preserve">MIAHUATLAN- SAN PEDRO POCHUTLA NUM. 175                </t>
  </si>
  <si>
    <t xml:space="preserve">BARRIO NUEVO TOLTEPEC                     </t>
  </si>
  <si>
    <t xml:space="preserve">LOS NARANJOS ESQUIPULAS                                     </t>
  </si>
  <si>
    <t xml:space="preserve">LOS NARANJOS ESQUIPULAS                   </t>
  </si>
  <si>
    <t>TIENDA DE ALIMENTACIÓN PARA EL BIENE</t>
  </si>
  <si>
    <t xml:space="preserve">SAN MIGUEL FIGUEROA                                         </t>
  </si>
  <si>
    <t xml:space="preserve">SAN MIGUEL FIGUEROA                       </t>
  </si>
  <si>
    <t xml:space="preserve">SAN PEDRO TAPANATEPEC                                       </t>
  </si>
  <si>
    <t xml:space="preserve">PESQUERIA RANCHO SALINAS                                    </t>
  </si>
  <si>
    <t xml:space="preserve">PESQUERÍA RANCHO SALINAS                  </t>
  </si>
  <si>
    <t xml:space="preserve">SAN PEDRO TEOZACOALCO                                       </t>
  </si>
  <si>
    <t xml:space="preserve">CALLE MORELOS Y CALLE BENITO JUAREZ </t>
  </si>
  <si>
    <t xml:space="preserve">SAN JOSE RIO MINAS                                          </t>
  </si>
  <si>
    <t xml:space="preserve">RANCHERIA SAN JOSE RIO MINAS              </t>
  </si>
  <si>
    <t xml:space="preserve">TIENDA PARA EL BIENESTAR NUMERO 73  </t>
  </si>
  <si>
    <t xml:space="preserve">VIOLETA S/N                                            </t>
  </si>
  <si>
    <t xml:space="preserve">LIRIOS Y CLAVELITO                  </t>
  </si>
  <si>
    <t xml:space="preserve">RIO GRANDE O PIEDRA PARADA                                  </t>
  </si>
  <si>
    <t xml:space="preserve">LINDA VISTA                               </t>
  </si>
  <si>
    <t xml:space="preserve">VICENTE GUERRERO Y FRANCISCO ZARCO  </t>
  </si>
  <si>
    <t xml:space="preserve">SANTA MARIA ACATEPEC                                        </t>
  </si>
  <si>
    <t xml:space="preserve">LA GUADALUPE S/N                                       </t>
  </si>
  <si>
    <t xml:space="preserve">CALLE SIN NOMBRE                    </t>
  </si>
  <si>
    <t xml:space="preserve">SANTA CRUZ TUTUTEPEC                                        </t>
  </si>
  <si>
    <t xml:space="preserve">AGENCIA SANTA CRUZ                        </t>
  </si>
  <si>
    <t>CALLE 16 DE SEPTIEMBRE Y CALLE 16 DE</t>
  </si>
  <si>
    <t xml:space="preserve">MARGARITA MAZA NUM. 402                                </t>
  </si>
  <si>
    <t xml:space="preserve">BALBUENA                                  </t>
  </si>
  <si>
    <t xml:space="preserve">CALLE 21 DE MARZO Y CALLE 5 FEBRERO </t>
  </si>
  <si>
    <t xml:space="preserve">LA LUZ                                                      </t>
  </si>
  <si>
    <t xml:space="preserve">CENTRO LA LUZ VILLA DE TUTUTEPEC          </t>
  </si>
  <si>
    <t>CALLE FLORES MAGON Y CALLE INDEPENDE</t>
  </si>
  <si>
    <t xml:space="preserve">SANTA ANA TUTUTEPEC                                         </t>
  </si>
  <si>
    <t xml:space="preserve">SANTA ANA TUTUTEPEC                       </t>
  </si>
  <si>
    <t xml:space="preserve">SANTIAGO JOCOTEPEC                                          </t>
  </si>
  <si>
    <t xml:space="preserve">SANTIAGO JOCOTEPEC                        </t>
  </si>
  <si>
    <t xml:space="preserve">CERRO HERMOSO                                               </t>
  </si>
  <si>
    <t xml:space="preserve">CERRO HERMOSO                             </t>
  </si>
  <si>
    <t>CARRETERA LA PRINCIPAL Y CARRETERA L</t>
  </si>
  <si>
    <t xml:space="preserve">CHACALAPA                                                   </t>
  </si>
  <si>
    <t xml:space="preserve">CHACALAPA                                 </t>
  </si>
  <si>
    <t>EN LA TIENDA DICONSA 219, A UN COSTA</t>
  </si>
  <si>
    <t xml:space="preserve">RAMIREZ GUTIERREZ KARLA JEANETTE                            </t>
  </si>
  <si>
    <t xml:space="preserve">SAN PEDRO Y SAN PABLO TEPOSCOLULA                           </t>
  </si>
  <si>
    <t xml:space="preserve">CALLE ITURBIDE SIN NUMERO                              </t>
  </si>
  <si>
    <t>ENTRE LA CALLE ALVARO OBREGON Y CALL</t>
  </si>
  <si>
    <t xml:space="preserve">SAN PEDRO Y SAN PABLO TEQUIXTEPEC                           </t>
  </si>
  <si>
    <t xml:space="preserve">PÍPILA S/N                                             </t>
  </si>
  <si>
    <t xml:space="preserve">CENTRO, SAN PEDRO Y SAN PABLO TEQUIXTEPEC </t>
  </si>
  <si>
    <t>CALLE 1A DE REFFORMA Y CALLE NINGUNO</t>
  </si>
  <si>
    <t xml:space="preserve">SAN SEBASTIÁN IXCAPA                                        </t>
  </si>
  <si>
    <t xml:space="preserve">COSTATITLAN                                                 </t>
  </si>
  <si>
    <t xml:space="preserve">CENTRO COSTATITLÁN                        </t>
  </si>
  <si>
    <t xml:space="preserve">SAN SEBASTIÁN NICANANDUTA                                   </t>
  </si>
  <si>
    <t xml:space="preserve">SAN SEBASTIAN NICANANDUTA                                   </t>
  </si>
  <si>
    <t xml:space="preserve">CENTRO, SAN SEBASTIÁN NICANANDUTA         </t>
  </si>
  <si>
    <t xml:space="preserve">CALLE ALDAMA Y CALLE GUERRERO       </t>
  </si>
  <si>
    <t xml:space="preserve">SANTA ANA                                                   </t>
  </si>
  <si>
    <t xml:space="preserve">SANTA ANA MIAHUATLAN                      </t>
  </si>
  <si>
    <t xml:space="preserve">VICENTE GUERRERO Y EL MORAL         </t>
  </si>
  <si>
    <t xml:space="preserve">CONSTITUCIÓN S/N                                       </t>
  </si>
  <si>
    <t xml:space="preserve">SANTA ANA TLAPACOYAN                                        </t>
  </si>
  <si>
    <t xml:space="preserve">RINCON DE TLAPACOYAN                                        </t>
  </si>
  <si>
    <t xml:space="preserve">CARR  A SAN BERNARDO MIXTEPEC S/N                      </t>
  </si>
  <si>
    <t xml:space="preserve">CARR. A PTO. ESCONDIDO Y ZIMATLAN   </t>
  </si>
  <si>
    <t xml:space="preserve">EL CAMALOTE                                                 </t>
  </si>
  <si>
    <t xml:space="preserve">A UN LADO DE LA CAPILLA             </t>
  </si>
  <si>
    <t xml:space="preserve">PORTILLO DE LA LUNA S/N                                </t>
  </si>
  <si>
    <t xml:space="preserve">BARRIO LA ASUNCION                        </t>
  </si>
  <si>
    <t xml:space="preserve">CALLE SIN NOMBRE Y CALLE SIN NOMBRE </t>
  </si>
  <si>
    <t xml:space="preserve">SAN NICOLÁS                               </t>
  </si>
  <si>
    <t>CARRETERA A PANIXTLAHUACA Y CALLE DE</t>
  </si>
  <si>
    <t xml:space="preserve">SAN MARCOS ZACATEPEC                                        </t>
  </si>
  <si>
    <t xml:space="preserve">SAN MARCOS ZACATEPEC                      </t>
  </si>
  <si>
    <t xml:space="preserve">SANTA CATARINA TICUÁ                                        </t>
  </si>
  <si>
    <t xml:space="preserve">SANTA CATARINA TICUA                                        </t>
  </si>
  <si>
    <t xml:space="preserve">CENTRO, SANTA CATARINA TICUÁ              </t>
  </si>
  <si>
    <t>AVENIDA TICUA Y CALLE 25 DE NOVIEMBR</t>
  </si>
  <si>
    <t xml:space="preserve">SANTA CRUZ MIXTEPEC                                         </t>
  </si>
  <si>
    <t xml:space="preserve">CENTRO SANTA CRUZ MIXTEPEC                </t>
  </si>
  <si>
    <t xml:space="preserve">INDEPENDENCIA Y 5 DE MAYO           </t>
  </si>
  <si>
    <t xml:space="preserve">SANTA CRUZ NUNDACO                                          </t>
  </si>
  <si>
    <t xml:space="preserve">SANTA CRUZ NUNDACO                        </t>
  </si>
  <si>
    <t xml:space="preserve">CALLE JUAN ALVAREZ Y CALLE LEYES DE </t>
  </si>
  <si>
    <t xml:space="preserve">SAN ISIDRO VISTA HERMOSA                                    </t>
  </si>
  <si>
    <t xml:space="preserve">AGENCIA SAN ISIDRO VISTA HERMOSA          </t>
  </si>
  <si>
    <t xml:space="preserve">SANTA MARÍA ALOTEPEC                                        </t>
  </si>
  <si>
    <t xml:space="preserve">SAN PEDRO AYACAXTEPEC                                       </t>
  </si>
  <si>
    <t xml:space="preserve">SAN PEDRO AYACAXTEPEC                     </t>
  </si>
  <si>
    <t xml:space="preserve">A UN COSTADO DE LA CANCHA MUNICIPAL </t>
  </si>
  <si>
    <t xml:space="preserve">LEONA VICARIO NUMERO 12                                </t>
  </si>
  <si>
    <t xml:space="preserve">CALLE NIÑOS HEROES DE CHAPULTEPEC Y </t>
  </si>
  <si>
    <t xml:space="preserve">CALLE NINGUNO SIN NUMERO                               </t>
  </si>
  <si>
    <t xml:space="preserve">BARRIO SAN PEDRO                          </t>
  </si>
  <si>
    <t xml:space="preserve">ENTRE CALLE JUAN ESCUTIA Y CALLE EL </t>
  </si>
  <si>
    <t xml:space="preserve">MARTIRES DE CHICAGO S/N                                </t>
  </si>
  <si>
    <t xml:space="preserve">BARRIO SAN DIEGO                          </t>
  </si>
  <si>
    <t xml:space="preserve">ENTRE LA CALLE PERIFERICO Y CERRADA </t>
  </si>
  <si>
    <t xml:space="preserve">EL CAPULIN                                                  </t>
  </si>
  <si>
    <t xml:space="preserve">EL CAPULÍN                                </t>
  </si>
  <si>
    <t xml:space="preserve">TIENDA DICONSA NUMERO 167           </t>
  </si>
  <si>
    <t xml:space="preserve">TEE UJIA PROGRESO                                           </t>
  </si>
  <si>
    <t xml:space="preserve">TEE UJIA PROGRESO                         </t>
  </si>
  <si>
    <t xml:space="preserve">EN LA TIENDA DICONSA NÚMERO 177     </t>
  </si>
  <si>
    <t xml:space="preserve">CAMPO DE AVIACION                                           </t>
  </si>
  <si>
    <t xml:space="preserve">CAMPO DE AVIACIÓN                         </t>
  </si>
  <si>
    <t xml:space="preserve">NINGUNO NINGUNO Y CALLE NINGUNO     </t>
  </si>
  <si>
    <t xml:space="preserve">OJO DE AGUA                                                 </t>
  </si>
  <si>
    <t xml:space="preserve">OJO DE AGUA                               </t>
  </si>
  <si>
    <t>TIENDA DICONSA #5 A UN LADO DE LA AG</t>
  </si>
  <si>
    <t xml:space="preserve">SANTA MARÍA CAMOTLÁN                                        </t>
  </si>
  <si>
    <t xml:space="preserve">SANTA MARIA CAMOTLAN                                        </t>
  </si>
  <si>
    <t xml:space="preserve">SANTA MARIA CAMOTLAN                      </t>
  </si>
  <si>
    <t xml:space="preserve">DENTRO DEL MUNICIPIO                </t>
  </si>
  <si>
    <t xml:space="preserve">CARRETERA COSTERA S/N                                  </t>
  </si>
  <si>
    <t xml:space="preserve">EL MARINERO                               </t>
  </si>
  <si>
    <t>ENTRE LA CALLE DANIEL GUTIERREZ SANT</t>
  </si>
  <si>
    <t xml:space="preserve">EL TOMATAL                                                  </t>
  </si>
  <si>
    <t xml:space="preserve">FIESTA DEL MAR S/N                                     </t>
  </si>
  <si>
    <t xml:space="preserve">CENTRO EL TOMATAL                         </t>
  </si>
  <si>
    <t>AVE. CAMINO REAL Y CALLE BUGAMBILIAS</t>
  </si>
  <si>
    <t xml:space="preserve">VENTANILLA                                                  </t>
  </si>
  <si>
    <t xml:space="preserve">CENTRO VENTANILLA                         </t>
  </si>
  <si>
    <t xml:space="preserve">VALDEFLORES SEGUNDA SECCION                                 </t>
  </si>
  <si>
    <t xml:space="preserve">2A SECCIÓN VALDEFLORES                    </t>
  </si>
  <si>
    <t xml:space="preserve">SANTA MARIA COLOTEPEC                                       </t>
  </si>
  <si>
    <t xml:space="preserve">SANTA MARIA COLOTEPEC                     </t>
  </si>
  <si>
    <t xml:space="preserve">EN FRENTE DE LA CANCHA MUNICIPAL    </t>
  </si>
  <si>
    <t xml:space="preserve">BARRA DE NAVIDAD                                            </t>
  </si>
  <si>
    <t>NO DEFIN</t>
  </si>
  <si>
    <t xml:space="preserve">BARRA DE NAVIDAD                          </t>
  </si>
  <si>
    <t>EN LA TIENDA PARA EL BIENESTAR NUMER</t>
  </si>
  <si>
    <t xml:space="preserve">SANTA MARÍA CORTIJO                                         </t>
  </si>
  <si>
    <t xml:space="preserve">SANTA MARIA CORTIJO                                         </t>
  </si>
  <si>
    <t xml:space="preserve">CENTRO SANTA MARÍA CORTIJO                </t>
  </si>
  <si>
    <t>CALLE VENUSTIANO CARRANZA Y CALLE NI</t>
  </si>
  <si>
    <t xml:space="preserve">SANTA MARÍA ECATEPEC                                        </t>
  </si>
  <si>
    <t xml:space="preserve">SANTA MARIA ECATEPEC                                        </t>
  </si>
  <si>
    <t xml:space="preserve">SANTA MARIA ECATEPEC                      </t>
  </si>
  <si>
    <t xml:space="preserve">SANTA MARÍA GUELACÉ                                         </t>
  </si>
  <si>
    <t xml:space="preserve">SANTA MARIA GUELACE                                         </t>
  </si>
  <si>
    <t xml:space="preserve">CONTINUACIÓN DE HIDALGO S/N                            </t>
  </si>
  <si>
    <t xml:space="preserve">SANTA MARIA GUELACE                       </t>
  </si>
  <si>
    <t>CALLE NIÑO ARTILLERO Y CALLE FRCO. I</t>
  </si>
  <si>
    <t xml:space="preserve">PUEBLO VIEJO                                                </t>
  </si>
  <si>
    <t xml:space="preserve">CAMINO AL LIMONCITO                                    </t>
  </si>
  <si>
    <t>A UNA CUADRA DE LA AGENCIA MUNICIPAL</t>
  </si>
  <si>
    <t xml:space="preserve">IGNACIO MEJÍA S/N                                      </t>
  </si>
  <si>
    <t xml:space="preserve">CALLE MANANTIAL Y CALLE NINGUNO     </t>
  </si>
  <si>
    <t xml:space="preserve">EL CRUCERO [FRACCIONAMIENTO]                                </t>
  </si>
  <si>
    <t xml:space="preserve">HUAJUAPAM MANZ.16 LOTE NUM. 17                         </t>
  </si>
  <si>
    <t xml:space="preserve">EL CRUCERO                                </t>
  </si>
  <si>
    <t>EN LA TIENDA DICONSA NÚM. 133, EN FR</t>
  </si>
  <si>
    <t xml:space="preserve">PASO DEL JIOTE                                              </t>
  </si>
  <si>
    <t xml:space="preserve">AVENIDA PRINCIPAL SN                                   </t>
  </si>
  <si>
    <t xml:space="preserve">A UN COSTADO DEL LA CASA DE SALUD   </t>
  </si>
  <si>
    <t xml:space="preserve">JOSE MARIA MORELOS                                          </t>
  </si>
  <si>
    <t xml:space="preserve">CENTRO JOSE MA. MORELOS                   </t>
  </si>
  <si>
    <t xml:space="preserve">REVOLUCION Y PRINCIPAL              </t>
  </si>
  <si>
    <t xml:space="preserve">SANTA MARÍA IPALAPA                                         </t>
  </si>
  <si>
    <t xml:space="preserve">ZOCOTEACA DE LEON                                           </t>
  </si>
  <si>
    <t xml:space="preserve">HELADIO RAMIREZ LOPEZ S/N                              </t>
  </si>
  <si>
    <t xml:space="preserve">SANTA MARIA IPALAPA                                         </t>
  </si>
  <si>
    <t xml:space="preserve">NACIONAL S/N                                           </t>
  </si>
  <si>
    <t>ENTRE LA CALLE IGNACIO ZARAGOZA Y NI</t>
  </si>
  <si>
    <t xml:space="preserve">SANTA MARIA EL RINCON                                       </t>
  </si>
  <si>
    <t xml:space="preserve">ENTRE PUEBLA Y ACAPULCO             </t>
  </si>
  <si>
    <t xml:space="preserve">SANTA MARÍA JALAPA DEL MARQUÉS                              </t>
  </si>
  <si>
    <t xml:space="preserve">SANTA MARIA JALAPA DEL MARQUES                              </t>
  </si>
  <si>
    <t xml:space="preserve">AV. BENITO JUAREZ NO. 117                              </t>
  </si>
  <si>
    <t xml:space="preserve">AGUASCALIENTES                            </t>
  </si>
  <si>
    <t>ENTRE LA CALLE 18 DE MARZO Y 24 DE F</t>
  </si>
  <si>
    <t xml:space="preserve">LLANO GRANDE                                                </t>
  </si>
  <si>
    <t xml:space="preserve">LLANO GRANDE                              </t>
  </si>
  <si>
    <t xml:space="preserve">CALLE ESTUDIANTES Y CALLE NINGUNO   </t>
  </si>
  <si>
    <t xml:space="preserve">SANTA MARÍA JALTIANGUIS                                     </t>
  </si>
  <si>
    <t xml:space="preserve">SANTA MARIA JALTIANGUIS                                     </t>
  </si>
  <si>
    <t xml:space="preserve">LAURO DE GARCÍA S/N                                    </t>
  </si>
  <si>
    <t xml:space="preserve">SANTA MARÍA NATIVITAS                                       </t>
  </si>
  <si>
    <t xml:space="preserve">SANTA MARIA NATIVITAS                                       </t>
  </si>
  <si>
    <t xml:space="preserve">CENTRO, SANTA MARÍA NATIVITAS             </t>
  </si>
  <si>
    <t xml:space="preserve">SANTA MARÍA TEMAXCALAPA                                     </t>
  </si>
  <si>
    <t xml:space="preserve">SANTA MARIA TEMAXCALAPA                                     </t>
  </si>
  <si>
    <t xml:space="preserve">SANTA MARIA YACOCHI                                         </t>
  </si>
  <si>
    <t xml:space="preserve">SANTA MARÍA YACOCHI (CENTRO)              </t>
  </si>
  <si>
    <t xml:space="preserve">SANTA CRUZ                                                  </t>
  </si>
  <si>
    <t>EN LA TIENDA DICONSA NÚMERO 110, A U</t>
  </si>
  <si>
    <t xml:space="preserve">SANTA MARÍA YUCUHITI                                        </t>
  </si>
  <si>
    <t xml:space="preserve">REYES LLANO GRANDE                                          </t>
  </si>
  <si>
    <t xml:space="preserve">REYES LLANO GRANDE                        </t>
  </si>
  <si>
    <t>CALLE 18 DE OCTUBRE Y CALLE NIÑOS HE</t>
  </si>
  <si>
    <t xml:space="preserve">SAN JUAN CABEZA DEL RIO                                     </t>
  </si>
  <si>
    <t xml:space="preserve">AL LADO DE LA AGENCIA MUNICIPAL     </t>
  </si>
  <si>
    <t xml:space="preserve">SANTIAGO LLANO GRANDE                                       </t>
  </si>
  <si>
    <t xml:space="preserve">CARRETERA A LA REFORMA              </t>
  </si>
  <si>
    <t xml:space="preserve">SANTIAGO COMALTEPEC                                         </t>
  </si>
  <si>
    <t xml:space="preserve">CIRCUITO SUR S/N                                       </t>
  </si>
  <si>
    <t xml:space="preserve">SANTIAGO COMALTEPEC                       </t>
  </si>
  <si>
    <t xml:space="preserve">TIENDA DICONSA NUMERO 21            </t>
  </si>
  <si>
    <t xml:space="preserve">SANTO DOMINGO TIANGUISTENGO                                 </t>
  </si>
  <si>
    <t xml:space="preserve">CAMINO NACIONAL NUM. 25                                </t>
  </si>
  <si>
    <t xml:space="preserve">SANTO DOMINGO TLANGUISTENGO               </t>
  </si>
  <si>
    <t xml:space="preserve">CERCA DE LA PANADERIA SANTO DOMINGO </t>
  </si>
  <si>
    <t xml:space="preserve">EL RASTROJO                                                 </t>
  </si>
  <si>
    <t xml:space="preserve">EL RASTROJO                               </t>
  </si>
  <si>
    <t>EN LA TIENDA DICONSA NÚMERO 64, EN F</t>
  </si>
  <si>
    <t xml:space="preserve">LUZ MARIA PEREZ BAUTISTA                                    </t>
  </si>
  <si>
    <t xml:space="preserve">LAZARO CARDENAS COPALA                                      </t>
  </si>
  <si>
    <t xml:space="preserve">AGENCIA DE POLICIA LAZARO CARDENAS COPALA </t>
  </si>
  <si>
    <t xml:space="preserve">TIENDA DEL BIENESTAR NUMERO 103     </t>
  </si>
  <si>
    <t xml:space="preserve">YOSOYUXI COPALA                                             </t>
  </si>
  <si>
    <t xml:space="preserve">YOSOYUXI COPALA                           </t>
  </si>
  <si>
    <t>LA TIENDA SE ENCUENTRA EN EL PALACIO</t>
  </si>
  <si>
    <t xml:space="preserve">SANTIAGO LAOLLAGA                                           </t>
  </si>
  <si>
    <t xml:space="preserve">AVENIDA OAXACA SIN NUMERO                              </t>
  </si>
  <si>
    <t xml:space="preserve">SANTIAGO LAOLLAGA                         </t>
  </si>
  <si>
    <t>ENTRE CALLE JOSE MARIA PINO SUAREZ Y</t>
  </si>
  <si>
    <t xml:space="preserve">SANTIAGO LAXOPA                                             </t>
  </si>
  <si>
    <t xml:space="preserve">SANTIAGO LAXOPA                           </t>
  </si>
  <si>
    <t xml:space="preserve">SANTIAGO LLANO GRANDE                     </t>
  </si>
  <si>
    <t>CALLE AGUSTIN DE ITURBIDE Y CALLE FR</t>
  </si>
  <si>
    <t xml:space="preserve">RANCHO NUEVO                                                </t>
  </si>
  <si>
    <t xml:space="preserve">SANTIAGO MATATLÁN                                           </t>
  </si>
  <si>
    <t xml:space="preserve">SANTIAGO MATATLAN                                           </t>
  </si>
  <si>
    <t xml:space="preserve">SANTIAGO MATATLAN                         </t>
  </si>
  <si>
    <t>EN LA TIENDA DICONSA NÚMERO 13, A ME</t>
  </si>
  <si>
    <t xml:space="preserve">SANTIAGO NUNDICHE                                           </t>
  </si>
  <si>
    <t xml:space="preserve">ENTRE CALLE NINGUNO Y CALLE MELCHOR </t>
  </si>
  <si>
    <t xml:space="preserve">SANTIAGO PINOTEPA NACIONAL                                  </t>
  </si>
  <si>
    <t>ENTRE CALLE DECIMA QUINTA PONIENTE Y</t>
  </si>
  <si>
    <t xml:space="preserve">CERRO DE LA ESPERANZA                                       </t>
  </si>
  <si>
    <t xml:space="preserve">CENTRO CERRO LA ESPERANZA                 </t>
  </si>
  <si>
    <t xml:space="preserve">COLLANTES                                                   </t>
  </si>
  <si>
    <t xml:space="preserve">CENTRO, COLLANTES                         </t>
  </si>
  <si>
    <t xml:space="preserve">CALLE BOCA NEGRA Y CALLE NINGUNO    </t>
  </si>
  <si>
    <t xml:space="preserve">MANCUERNAS                                                  </t>
  </si>
  <si>
    <t xml:space="preserve">ALDAMA SUR S/N                                         </t>
  </si>
  <si>
    <t>CENTRO MANCUERNAS SANTIAGO PINOTEPA NACION</t>
  </si>
  <si>
    <t>CALLE PRIMERO DE MAYO Y CALLE MORELO</t>
  </si>
  <si>
    <t xml:space="preserve">SANTIAGO TENANGO                                            </t>
  </si>
  <si>
    <t xml:space="preserve">JOSE MARIA MORELOS S/N                                 </t>
  </si>
  <si>
    <t>CALLE GUADALUPE VICTORIA Y CALLE REF</t>
  </si>
  <si>
    <t xml:space="preserve">SANTIAGO YOLOMÉCATL                                         </t>
  </si>
  <si>
    <t xml:space="preserve">SANTIAGO YOLOMECATL                                         </t>
  </si>
  <si>
    <t xml:space="preserve">SEGUNDA                                   </t>
  </si>
  <si>
    <t>ENTRE LA CALLE CENTENARIO Y CALLE 16</t>
  </si>
  <si>
    <t xml:space="preserve">SANTO DOMINGO INGENIO                                       </t>
  </si>
  <si>
    <t xml:space="preserve">LA BLANCA                                                   </t>
  </si>
  <si>
    <t xml:space="preserve">LA BLANCA                                 </t>
  </si>
  <si>
    <t>LA LECHERIA ESTARÁ UBICADA EN LA TIE</t>
  </si>
  <si>
    <t xml:space="preserve">SANTO DOMINGO CHIHUITÁN                                     </t>
  </si>
  <si>
    <t xml:space="preserve">SANTO DOMINGO CHIHUITAN                                     </t>
  </si>
  <si>
    <t xml:space="preserve">SANTO DOMINGO CHIHUITÁN                   </t>
  </si>
  <si>
    <t>EN LA TIENDA DICONSA NÚMERO 99, EN F</t>
  </si>
  <si>
    <t xml:space="preserve">SANTO DOMINGO IXCATLÁN                                      </t>
  </si>
  <si>
    <t xml:space="preserve">SANTO DOMINGO IXCATLAN                                      </t>
  </si>
  <si>
    <t xml:space="preserve">PASEO SANTO DOMINGO S/N                                </t>
  </si>
  <si>
    <t xml:space="preserve">CENTRO, SANTO DOMINGO IXCATLÁN            </t>
  </si>
  <si>
    <t xml:space="preserve">CALLE CHAPULTEPEC Y CALLE MORELOS   </t>
  </si>
  <si>
    <t xml:space="preserve">MORRO DE MAZATAN                                            </t>
  </si>
  <si>
    <t xml:space="preserve">AV. PRESIDENTE JUAREZ S/N                              </t>
  </si>
  <si>
    <t xml:space="preserve">EL MORRO MAZATAN                          </t>
  </si>
  <si>
    <t xml:space="preserve">ENTRE LA CALLE GONZALEZ BOCANEGRA Y </t>
  </si>
  <si>
    <t xml:space="preserve">SANTA CRUZ BAMBA Y GARRAPATERO                              </t>
  </si>
  <si>
    <t xml:space="preserve">SANTA CRUZ BAMBA Y GARRAPATERO            </t>
  </si>
  <si>
    <t>CALLE EMILIANO ZAPATA Y CALLE GUADAL</t>
  </si>
  <si>
    <t xml:space="preserve">SANTO DOMINGO TONALÁ                                        </t>
  </si>
  <si>
    <t xml:space="preserve">SANTO DOMINGO TONALA                                        </t>
  </si>
  <si>
    <t xml:space="preserve">AVENIDA LAZARO CARDENAS S/N                            </t>
  </si>
  <si>
    <t xml:space="preserve">CALLE NIÑO HEROES Y ZARAGOZA        </t>
  </si>
  <si>
    <t xml:space="preserve">SANTO DOMINGO ZANATEPEC                                     </t>
  </si>
  <si>
    <t xml:space="preserve">JUAN MARTINEZ S/N                                      </t>
  </si>
  <si>
    <t>ENTRE LA CALLE ALDAMA Y CALLE MORELO</t>
  </si>
  <si>
    <t xml:space="preserve">YERBA SANTA                                                 </t>
  </si>
  <si>
    <t xml:space="preserve">CARLOS MACIEL S/N                                      </t>
  </si>
  <si>
    <t xml:space="preserve">YERBA SANTA                               </t>
  </si>
  <si>
    <t xml:space="preserve">ALADO DEL DOMO                      </t>
  </si>
  <si>
    <t xml:space="preserve">SANTO TOMÁS OCOTEPEC                                        </t>
  </si>
  <si>
    <t xml:space="preserve">SANTO TOMAS OCOTEPEC                                        </t>
  </si>
  <si>
    <t xml:space="preserve">CENTRO SANTO TOMAS OCOTEPEC               </t>
  </si>
  <si>
    <t>ENTRE CALLE ITURBIDE Y CALLE MARCELI</t>
  </si>
  <si>
    <t xml:space="preserve">SAN VICENTE NUÑÚ                                            </t>
  </si>
  <si>
    <t xml:space="preserve">SAN VICENTE NUNU                                            </t>
  </si>
  <si>
    <t xml:space="preserve">3 ORIENTE S/N                                          </t>
  </si>
  <si>
    <t xml:space="preserve">CALLE 2 SUR Y CALLE NINGUNO         </t>
  </si>
  <si>
    <t xml:space="preserve">TANETZE DE ZARAGOZA                                         </t>
  </si>
  <si>
    <t xml:space="preserve">CENTRO TANETZE DE ZARAGOZA                </t>
  </si>
  <si>
    <t xml:space="preserve">TEOTITLÁN DE FLORES MAGÓN                                   </t>
  </si>
  <si>
    <t xml:space="preserve">TEOTITLAN DE FLORES MAGON                                   </t>
  </si>
  <si>
    <t xml:space="preserve">ESQ. JOSE SILONES S/N                                  </t>
  </si>
  <si>
    <t xml:space="preserve">SIN NOMBRE Y CALLE JUAREZ           </t>
  </si>
  <si>
    <t xml:space="preserve">SAN ANDRES YUTATIO                                          </t>
  </si>
  <si>
    <t xml:space="preserve">SAN ANDRES YUTATÍO                        </t>
  </si>
  <si>
    <t>CALLE REFORMA Y CALLE ALVARO OBREGON</t>
  </si>
  <si>
    <t xml:space="preserve">SAN MARTIN DEL RIO                                          </t>
  </si>
  <si>
    <t xml:space="preserve">SAN MARTIN DEL RIO                        </t>
  </si>
  <si>
    <t>SE UBICARA DENTRO DE LAS INSTALACION</t>
  </si>
  <si>
    <t xml:space="preserve">SANTA MARIA TINDU                                           </t>
  </si>
  <si>
    <t xml:space="preserve">SANTA MARIA TINDU                         </t>
  </si>
  <si>
    <t>FRENTE A LA IGLESIA CATOLICA DE LA P</t>
  </si>
  <si>
    <t xml:space="preserve">GUADALUPE DE CISNEROS                                       </t>
  </si>
  <si>
    <t xml:space="preserve">GUADALUPE DE CISNEROS                     </t>
  </si>
  <si>
    <t>SE UBICA A 30 METROS AL SUR DE LA AG</t>
  </si>
  <si>
    <t xml:space="preserve">TLACOTEPEC PLUMAS                                           </t>
  </si>
  <si>
    <t xml:space="preserve">TLACOTEPEC PLUMAS                         </t>
  </si>
  <si>
    <t>AVENIDA 5 DE MAYO Y AVENIDA 2 DE ABR</t>
  </si>
  <si>
    <t xml:space="preserve">LA TRINIDAD VISTA HERMOSA                                   </t>
  </si>
  <si>
    <t xml:space="preserve">LA TRINIDAD VISTA HERMOSA                 </t>
  </si>
  <si>
    <t>SE UBICA DENTRO DE LAS INSTALACIONES</t>
  </si>
  <si>
    <t xml:space="preserve">UNIÓN HIDALGO                                               </t>
  </si>
  <si>
    <t xml:space="preserve">UNION HIDALGO                                               </t>
  </si>
  <si>
    <t xml:space="preserve">AVENIDA PORFIRIO DIAZ SIN NUMERO                       </t>
  </si>
  <si>
    <t xml:space="preserve">UNION HIDALGO                             </t>
  </si>
  <si>
    <t>CALLE 16 DE SEPTIEMBRE Y CALLE NINGU</t>
  </si>
  <si>
    <t xml:space="preserve">VALERIO TRUJANO                                             </t>
  </si>
  <si>
    <t xml:space="preserve">TOMELLIN                                                    </t>
  </si>
  <si>
    <t xml:space="preserve">AGENCIA TOMELLIN                          </t>
  </si>
  <si>
    <t xml:space="preserve">YAXE                                                        </t>
  </si>
  <si>
    <t xml:space="preserve">GALEANA S/N                                            </t>
  </si>
  <si>
    <t xml:space="preserve">BENITO JUAREZ Y JALISCO             </t>
  </si>
  <si>
    <t xml:space="preserve">MAGDALENA YODOCONO DE PORFIRIO DÍAZ                         </t>
  </si>
  <si>
    <t xml:space="preserve">SANTA CRUZ YODOCONO                                         </t>
  </si>
  <si>
    <t xml:space="preserve">BARRIO                                    </t>
  </si>
  <si>
    <t>ENTRE CALLE NINGUNO Y CALLE NINGUNO,</t>
  </si>
  <si>
    <t xml:space="preserve">YUTANDUCHI DE GUERRERO                                      </t>
  </si>
  <si>
    <t xml:space="preserve">CENTRO, YUTANDUCHI DE GUERRERO            </t>
  </si>
  <si>
    <t xml:space="preserve">CALLE REFORMA Y CALLE PROGRESO      </t>
  </si>
  <si>
    <t xml:space="preserve">SANTA INÉS DE ZARAGOZA                                      </t>
  </si>
  <si>
    <t xml:space="preserve">SANTA INES DE ZARAGOZA                                      </t>
  </si>
  <si>
    <t xml:space="preserve">CALLE REFORMA Y CALLE MORELOS       </t>
  </si>
  <si>
    <t xml:space="preserve">SANTA MARÍA JACATEPEC                                       </t>
  </si>
  <si>
    <t xml:space="preserve">SANTA MARIA JACATEPEC                                       </t>
  </si>
  <si>
    <t xml:space="preserve">EMILIANO ZAPATA NO. 10                                 </t>
  </si>
  <si>
    <t>ENTRE LA CALLE JOSEFA ORTIZ DE DOMIN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</si>
</sst>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74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  <font>
      <b/>
      <sz val="8"/>
      <name val="Arial"/>
      <family val="2"/>
      <charset val="1"/>
    </font>
    <font>
      <b/>
      <sz val="16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sz val="8"/>
      <name val="Britannic Bold"/>
      <family val="2"/>
      <charset val="1"/>
    </font>
    <font>
      <b/>
      <sz val="8"/>
      <name val="Britannic Bold"/>
      <family val="2"/>
      <charset val="1"/>
    </font>
    <font>
      <b/>
      <sz val="8"/>
      <name val="Times New Roman"/>
      <family val="1"/>
      <charset val="1"/>
    </font>
    <font>
      <b/>
      <sz val="8"/>
      <color rgb="FFFF0000"/>
      <name val="Arial"/>
      <family val="2"/>
      <charset val="1"/>
    </font>
    <font>
      <b/>
      <sz val="7"/>
      <name val="Arial"/>
      <family val="2"/>
      <charset val="1"/>
    </font>
    <font>
      <sz val="8"/>
      <name val="MS Sans Serif"/>
      <family val="2"/>
      <charset val="1"/>
    </font>
    <font>
      <sz val="8"/>
      <color rgb="FFFF0000"/>
      <name val="Arial"/>
      <family val="2"/>
      <charset val="1"/>
    </font>
    <font>
      <sz val="8"/>
      <name val="Arial"/>
      <family val="2"/>
    </font>
    <font>
      <sz val="8"/>
      <name val="Arial Rounded MT Bold"/>
      <family val="2"/>
      <charset val="1"/>
    </font>
    <font>
      <b/>
      <sz val="6"/>
      <name val="Arial"/>
      <family val="2"/>
      <charset val="1"/>
    </font>
    <font>
      <b/>
      <sz val="8"/>
      <name val="Arial Rounded MT Bold"/>
      <family val="2"/>
      <charset val="1"/>
    </font>
    <font>
      <sz val="7"/>
      <name val="Arial"/>
      <family val="2"/>
      <charset val="1"/>
    </font>
    <font>
      <sz val="16"/>
      <name val="Arial"/>
      <family val="2"/>
      <charset val="1"/>
    </font>
    <font>
      <b/>
      <sz val="8"/>
      <name val="Arial"/>
      <family val="2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7E4BD"/>
        <bgColor rgb="FFCCCCFF"/>
      </patternFill>
    </fill>
    <fill>
      <patternFill patternType="solid">
        <fgColor rgb="FFFFC000"/>
        <bgColor rgb="FFFF9900"/>
      </patternFill>
    </fill>
    <fill>
      <patternFill patternType="solid">
        <fgColor rgb="FFFF99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1">
    <xf numFmtId="0" fontId="0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0">
    <xf numFmtId="0" fontId="0" fillId="0" borderId="0" xfId="0"/>
    <xf numFmtId="164" fontId="51" fillId="0" borderId="1" xfId="0" applyNumberFormat="1" applyFont="1" applyBorder="1" applyProtection="1">
      <protection locked="0"/>
    </xf>
    <xf numFmtId="164" fontId="51" fillId="0" borderId="1" xfId="0" applyNumberFormat="1" applyFont="1" applyBorder="1" applyAlignment="1" applyProtection="1">
      <alignment horizontal="right"/>
      <protection locked="0"/>
    </xf>
    <xf numFmtId="164" fontId="51" fillId="2" borderId="1" xfId="0" applyNumberFormat="1" applyFont="1" applyFill="1" applyBorder="1" applyProtection="1">
      <protection locked="0"/>
    </xf>
    <xf numFmtId="164" fontId="52" fillId="0" borderId="1" xfId="0" applyNumberFormat="1" applyFont="1" applyBorder="1" applyProtection="1">
      <protection locked="0"/>
    </xf>
    <xf numFmtId="1" fontId="51" fillId="2" borderId="0" xfId="0" applyNumberFormat="1" applyFont="1" applyFill="1"/>
    <xf numFmtId="0" fontId="51" fillId="2" borderId="0" xfId="0" applyFont="1" applyFill="1"/>
    <xf numFmtId="164" fontId="51" fillId="2" borderId="0" xfId="0" applyNumberFormat="1" applyFont="1" applyFill="1"/>
    <xf numFmtId="3" fontId="51" fillId="2" borderId="0" xfId="0" applyNumberFormat="1" applyFont="1" applyFill="1"/>
    <xf numFmtId="3" fontId="53" fillId="2" borderId="0" xfId="0" applyNumberFormat="1" applyFont="1" applyFill="1"/>
    <xf numFmtId="3" fontId="51" fillId="0" borderId="0" xfId="0" applyNumberFormat="1" applyFont="1"/>
    <xf numFmtId="1" fontId="59" fillId="2" borderId="0" xfId="0" applyNumberFormat="1" applyFont="1" applyFill="1"/>
    <xf numFmtId="0" fontId="59" fillId="2" borderId="0" xfId="0" applyFont="1" applyFill="1"/>
    <xf numFmtId="3" fontId="59" fillId="2" borderId="0" xfId="0" applyNumberFormat="1" applyFont="1" applyFill="1"/>
    <xf numFmtId="3" fontId="60" fillId="2" borderId="0" xfId="0" applyNumberFormat="1" applyFont="1" applyFill="1"/>
    <xf numFmtId="164" fontId="51" fillId="2" borderId="3" xfId="0" applyNumberFormat="1" applyFont="1" applyFill="1" applyBorder="1" applyAlignment="1">
      <alignment horizontal="center"/>
    </xf>
    <xf numFmtId="1" fontId="51" fillId="2" borderId="3" xfId="0" applyNumberFormat="1" applyFont="1" applyFill="1" applyBorder="1" applyAlignment="1">
      <alignment horizontal="center"/>
    </xf>
    <xf numFmtId="0" fontId="51" fillId="2" borderId="3" xfId="0" applyFont="1" applyFill="1" applyBorder="1" applyAlignment="1">
      <alignment horizontal="center"/>
    </xf>
    <xf numFmtId="3" fontId="51" fillId="2" borderId="4" xfId="0" applyNumberFormat="1" applyFont="1" applyFill="1" applyBorder="1" applyAlignment="1">
      <alignment horizontal="center"/>
    </xf>
    <xf numFmtId="3" fontId="51" fillId="2" borderId="3" xfId="0" applyNumberFormat="1" applyFont="1" applyFill="1" applyBorder="1" applyAlignment="1">
      <alignment horizontal="center"/>
    </xf>
    <xf numFmtId="3" fontId="51" fillId="2" borderId="5" xfId="0" applyNumberFormat="1" applyFont="1" applyFill="1" applyBorder="1" applyAlignment="1">
      <alignment horizontal="center"/>
    </xf>
    <xf numFmtId="3" fontId="51" fillId="0" borderId="3" xfId="0" applyNumberFormat="1" applyFont="1" applyBorder="1" applyAlignment="1">
      <alignment horizontal="center"/>
    </xf>
    <xf numFmtId="3" fontId="53" fillId="2" borderId="3" xfId="0" applyNumberFormat="1" applyFont="1" applyFill="1" applyBorder="1" applyAlignment="1">
      <alignment horizontal="center"/>
    </xf>
    <xf numFmtId="164" fontId="51" fillId="2" borderId="6" xfId="0" applyNumberFormat="1" applyFont="1" applyFill="1" applyBorder="1" applyAlignment="1">
      <alignment horizontal="center"/>
    </xf>
    <xf numFmtId="1" fontId="51" fillId="2" borderId="6" xfId="0" applyNumberFormat="1" applyFont="1" applyFill="1" applyBorder="1" applyAlignment="1">
      <alignment horizontal="center"/>
    </xf>
    <xf numFmtId="0" fontId="51" fillId="2" borderId="6" xfId="0" applyFont="1" applyFill="1" applyBorder="1" applyAlignment="1">
      <alignment horizontal="center"/>
    </xf>
    <xf numFmtId="3" fontId="51" fillId="2" borderId="6" xfId="0" applyNumberFormat="1" applyFont="1" applyFill="1" applyBorder="1" applyAlignment="1">
      <alignment horizontal="center"/>
    </xf>
    <xf numFmtId="3" fontId="58" fillId="3" borderId="6" xfId="0" applyNumberFormat="1" applyFont="1" applyFill="1" applyBorder="1" applyAlignment="1">
      <alignment horizontal="center"/>
    </xf>
    <xf numFmtId="3" fontId="51" fillId="2" borderId="7" xfId="0" applyNumberFormat="1" applyFont="1" applyFill="1" applyBorder="1" applyAlignment="1">
      <alignment horizontal="center"/>
    </xf>
    <xf numFmtId="3" fontId="51" fillId="3" borderId="6" xfId="0" applyNumberFormat="1" applyFont="1" applyFill="1" applyBorder="1" applyAlignment="1">
      <alignment horizontal="center"/>
    </xf>
    <xf numFmtId="3" fontId="58" fillId="4" borderId="6" xfId="0" applyNumberFormat="1" applyFont="1" applyFill="1" applyBorder="1" applyAlignment="1">
      <alignment horizontal="center"/>
    </xf>
    <xf numFmtId="164" fontId="51" fillId="2" borderId="7" xfId="0" applyNumberFormat="1" applyFont="1" applyFill="1" applyBorder="1" applyAlignment="1">
      <alignment horizontal="center"/>
    </xf>
    <xf numFmtId="1" fontId="51" fillId="2" borderId="7" xfId="0" applyNumberFormat="1" applyFont="1" applyFill="1" applyBorder="1" applyAlignment="1">
      <alignment horizontal="center"/>
    </xf>
    <xf numFmtId="0" fontId="51" fillId="2" borderId="7" xfId="0" applyFont="1" applyFill="1" applyBorder="1" applyAlignment="1">
      <alignment horizontal="center"/>
    </xf>
    <xf numFmtId="3" fontId="51" fillId="2" borderId="8" xfId="0" applyNumberFormat="1" applyFont="1" applyFill="1" applyBorder="1" applyAlignment="1">
      <alignment horizontal="center"/>
    </xf>
    <xf numFmtId="3" fontId="51" fillId="2" borderId="2" xfId="0" applyNumberFormat="1" applyFont="1" applyFill="1" applyBorder="1" applyAlignment="1">
      <alignment horizontal="center"/>
    </xf>
    <xf numFmtId="3" fontId="53" fillId="2" borderId="7" xfId="0" applyNumberFormat="1" applyFont="1" applyFill="1" applyBorder="1" applyAlignment="1">
      <alignment horizontal="center"/>
    </xf>
    <xf numFmtId="3" fontId="53" fillId="0" borderId="7" xfId="0" applyNumberFormat="1" applyFont="1" applyBorder="1" applyAlignment="1">
      <alignment horizontal="center"/>
    </xf>
    <xf numFmtId="3" fontId="51" fillId="3" borderId="7" xfId="0" applyNumberFormat="1" applyFont="1" applyFill="1" applyBorder="1" applyAlignment="1">
      <alignment horizontal="center"/>
    </xf>
    <xf numFmtId="3" fontId="53" fillId="4" borderId="7" xfId="0" applyNumberFormat="1" applyFont="1" applyFill="1" applyBorder="1" applyAlignment="1">
      <alignment horizontal="center"/>
    </xf>
    <xf numFmtId="1" fontId="61" fillId="5" borderId="0" xfId="0" applyNumberFormat="1" applyFont="1" applyFill="1"/>
    <xf numFmtId="0" fontId="51" fillId="5" borderId="0" xfId="0" applyFont="1" applyFill="1"/>
    <xf numFmtId="3" fontId="51" fillId="2" borderId="2" xfId="0" applyNumberFormat="1" applyFont="1" applyFill="1" applyBorder="1"/>
    <xf numFmtId="164" fontId="51" fillId="2" borderId="5" xfId="0" applyNumberFormat="1" applyFont="1" applyFill="1" applyBorder="1" applyProtection="1">
      <protection locked="0"/>
    </xf>
    <xf numFmtId="1" fontId="51" fillId="2" borderId="9" xfId="0" applyNumberFormat="1" applyFont="1" applyFill="1" applyBorder="1" applyProtection="1">
      <protection locked="0"/>
    </xf>
    <xf numFmtId="0" fontId="51" fillId="2" borderId="9" xfId="0" applyFont="1" applyFill="1" applyBorder="1" applyProtection="1">
      <protection locked="0"/>
    </xf>
    <xf numFmtId="3" fontId="51" fillId="2" borderId="0" xfId="0" applyNumberFormat="1" applyFont="1" applyFill="1" applyProtection="1">
      <protection locked="0"/>
    </xf>
    <xf numFmtId="3" fontId="53" fillId="2" borderId="9" xfId="0" applyNumberFormat="1" applyFont="1" applyFill="1" applyBorder="1"/>
    <xf numFmtId="3" fontId="51" fillId="2" borderId="9" xfId="0" applyNumberFormat="1" applyFont="1" applyFill="1" applyBorder="1" applyProtection="1">
      <protection locked="0"/>
    </xf>
    <xf numFmtId="3" fontId="51" fillId="2" borderId="9" xfId="0" applyNumberFormat="1" applyFont="1" applyFill="1" applyBorder="1"/>
    <xf numFmtId="3" fontId="51" fillId="0" borderId="9" xfId="0" applyNumberFormat="1" applyFont="1" applyBorder="1" applyProtection="1">
      <protection locked="0"/>
    </xf>
    <xf numFmtId="3" fontId="51" fillId="2" borderId="10" xfId="0" applyNumberFormat="1" applyFont="1" applyFill="1" applyBorder="1"/>
    <xf numFmtId="1" fontId="51" fillId="0" borderId="0" xfId="0" applyNumberFormat="1" applyFont="1" applyProtection="1">
      <protection locked="0"/>
    </xf>
    <xf numFmtId="0" fontId="51" fillId="0" borderId="0" xfId="0" applyFont="1"/>
    <xf numFmtId="3" fontId="51" fillId="0" borderId="0" xfId="0" applyNumberFormat="1" applyFont="1" applyAlignment="1" applyProtection="1">
      <alignment horizontal="right"/>
      <protection locked="0"/>
    </xf>
    <xf numFmtId="3" fontId="51" fillId="0" borderId="0" xfId="0" applyNumberFormat="1" applyFont="1" applyAlignment="1">
      <alignment horizontal="right"/>
    </xf>
    <xf numFmtId="3" fontId="53" fillId="0" borderId="11" xfId="0" applyNumberFormat="1" applyFont="1" applyBorder="1" applyAlignment="1">
      <alignment horizontal="right"/>
    </xf>
    <xf numFmtId="0" fontId="51" fillId="0" borderId="0" xfId="0" applyFont="1" applyProtection="1">
      <protection locked="0"/>
    </xf>
    <xf numFmtId="164" fontId="52" fillId="0" borderId="12" xfId="0" applyNumberFormat="1" applyFont="1" applyBorder="1" applyProtection="1">
      <protection locked="0"/>
    </xf>
    <xf numFmtId="1" fontId="51" fillId="0" borderId="2" xfId="0" applyNumberFormat="1" applyFont="1" applyBorder="1" applyProtection="1">
      <protection locked="0"/>
    </xf>
    <xf numFmtId="0" fontId="51" fillId="0" borderId="2" xfId="0" applyFont="1" applyBorder="1" applyProtection="1">
      <protection locked="0"/>
    </xf>
    <xf numFmtId="3" fontId="51" fillId="0" borderId="2" xfId="0" applyNumberFormat="1" applyFont="1" applyBorder="1"/>
    <xf numFmtId="3" fontId="51" fillId="0" borderId="2" xfId="0" applyNumberFormat="1" applyFont="1" applyBorder="1" applyAlignment="1" applyProtection="1">
      <alignment horizontal="right"/>
      <protection locked="0"/>
    </xf>
    <xf numFmtId="3" fontId="51" fillId="0" borderId="2" xfId="0" applyNumberFormat="1" applyFont="1" applyBorder="1" applyAlignment="1">
      <alignment horizontal="right"/>
    </xf>
    <xf numFmtId="3" fontId="53" fillId="0" borderId="8" xfId="0" applyNumberFormat="1" applyFont="1" applyBorder="1" applyAlignment="1">
      <alignment horizontal="right"/>
    </xf>
    <xf numFmtId="3" fontId="51" fillId="2" borderId="9" xfId="0" applyNumberFormat="1" applyFont="1" applyFill="1" applyBorder="1" applyAlignment="1" applyProtection="1">
      <alignment horizontal="right"/>
      <protection locked="0"/>
    </xf>
    <xf numFmtId="164" fontId="53" fillId="0" borderId="5" xfId="0" applyNumberFormat="1" applyFont="1" applyBorder="1" applyAlignment="1" applyProtection="1">
      <alignment vertical="top"/>
      <protection locked="0"/>
    </xf>
    <xf numFmtId="1" fontId="53" fillId="0" borderId="9" xfId="0" applyNumberFormat="1" applyFont="1" applyBorder="1" applyProtection="1">
      <protection locked="0"/>
    </xf>
    <xf numFmtId="0" fontId="53" fillId="0" borderId="9" xfId="0" applyFont="1" applyBorder="1" applyProtection="1">
      <protection locked="0"/>
    </xf>
    <xf numFmtId="3" fontId="53" fillId="0" borderId="9" xfId="0" applyNumberFormat="1" applyFont="1" applyBorder="1" applyProtection="1">
      <protection locked="0"/>
    </xf>
    <xf numFmtId="3" fontId="53" fillId="0" borderId="9" xfId="0" applyNumberFormat="1" applyFont="1" applyBorder="1"/>
    <xf numFmtId="3" fontId="62" fillId="0" borderId="13" xfId="0" applyNumberFormat="1" applyFont="1" applyBorder="1" applyProtection="1">
      <protection locked="0"/>
    </xf>
    <xf numFmtId="3" fontId="53" fillId="0" borderId="13" xfId="0" applyNumberFormat="1" applyFont="1" applyBorder="1"/>
    <xf numFmtId="3" fontId="53" fillId="0" borderId="14" xfId="0" applyNumberFormat="1" applyFont="1" applyBorder="1" applyProtection="1">
      <protection locked="0"/>
    </xf>
    <xf numFmtId="3" fontId="53" fillId="0" borderId="14" xfId="0" applyNumberFormat="1" applyFont="1" applyBorder="1"/>
    <xf numFmtId="164" fontId="51" fillId="0" borderId="12" xfId="0" applyNumberFormat="1" applyFont="1" applyBorder="1" applyProtection="1">
      <protection locked="0"/>
    </xf>
    <xf numFmtId="1" fontId="53" fillId="0" borderId="2" xfId="0" applyNumberFormat="1" applyFont="1" applyBorder="1" applyProtection="1">
      <protection locked="0"/>
    </xf>
    <xf numFmtId="0" fontId="53" fillId="0" borderId="2" xfId="0" applyFont="1" applyBorder="1" applyProtection="1">
      <protection locked="0"/>
    </xf>
    <xf numFmtId="3" fontId="53" fillId="0" borderId="2" xfId="0" applyNumberFormat="1" applyFont="1" applyBorder="1" applyProtection="1">
      <protection locked="0"/>
    </xf>
    <xf numFmtId="3" fontId="53" fillId="0" borderId="2" xfId="0" applyNumberFormat="1" applyFont="1" applyBorder="1"/>
    <xf numFmtId="3" fontId="53" fillId="0" borderId="8" xfId="0" applyNumberFormat="1" applyFont="1" applyBorder="1"/>
    <xf numFmtId="3" fontId="53" fillId="0" borderId="0" xfId="0" applyNumberFormat="1" applyFont="1" applyAlignment="1" applyProtection="1">
      <alignment horizontal="left"/>
      <protection locked="0"/>
    </xf>
    <xf numFmtId="3" fontId="53" fillId="0" borderId="0" xfId="0" applyNumberFormat="1" applyFont="1" applyAlignment="1">
      <alignment horizontal="left"/>
    </xf>
    <xf numFmtId="3" fontId="58" fillId="0" borderId="0" xfId="0" applyNumberFormat="1" applyFont="1" applyAlignment="1" applyProtection="1">
      <alignment horizontal="right"/>
      <protection locked="0"/>
    </xf>
    <xf numFmtId="3" fontId="58" fillId="0" borderId="0" xfId="0" applyNumberFormat="1" applyFont="1"/>
    <xf numFmtId="164" fontId="63" fillId="2" borderId="0" xfId="0" applyNumberFormat="1" applyFont="1" applyFill="1" applyAlignment="1" applyProtection="1">
      <alignment horizontal="left"/>
      <protection locked="0"/>
    </xf>
    <xf numFmtId="1" fontId="53" fillId="2" borderId="0" xfId="0" applyNumberFormat="1" applyFont="1" applyFill="1" applyAlignment="1" applyProtection="1">
      <alignment horizontal="left"/>
      <protection locked="0"/>
    </xf>
    <xf numFmtId="0" fontId="53" fillId="2" borderId="0" xfId="0" applyFont="1" applyFill="1" applyAlignment="1" applyProtection="1">
      <alignment horizontal="left"/>
      <protection locked="0"/>
    </xf>
    <xf numFmtId="3" fontId="53" fillId="2" borderId="0" xfId="0" applyNumberFormat="1" applyFont="1" applyFill="1" applyAlignment="1" applyProtection="1">
      <alignment horizontal="left"/>
      <protection locked="0"/>
    </xf>
    <xf numFmtId="3" fontId="53" fillId="2" borderId="0" xfId="0" applyNumberFormat="1" applyFont="1" applyFill="1" applyAlignment="1">
      <alignment horizontal="left"/>
    </xf>
    <xf numFmtId="164" fontId="51" fillId="2" borderId="0" xfId="0" applyNumberFormat="1" applyFont="1" applyFill="1" applyProtection="1">
      <protection locked="0"/>
    </xf>
    <xf numFmtId="1" fontId="61" fillId="5" borderId="0" xfId="0" applyNumberFormat="1" applyFont="1" applyFill="1" applyProtection="1">
      <protection locked="0"/>
    </xf>
    <xf numFmtId="0" fontId="51" fillId="5" borderId="0" xfId="0" applyFont="1" applyFill="1" applyProtection="1">
      <protection locked="0"/>
    </xf>
    <xf numFmtId="3" fontId="51" fillId="2" borderId="0" xfId="0" applyNumberFormat="1" applyFont="1" applyFill="1" applyAlignment="1" applyProtection="1">
      <alignment horizontal="center"/>
      <protection locked="0"/>
    </xf>
    <xf numFmtId="3" fontId="51" fillId="0" borderId="0" xfId="0" applyNumberFormat="1" applyFont="1" applyProtection="1">
      <protection locked="0"/>
    </xf>
    <xf numFmtId="1" fontId="51" fillId="2" borderId="0" xfId="0" applyNumberFormat="1" applyFont="1" applyFill="1" applyProtection="1">
      <protection locked="0"/>
    </xf>
    <xf numFmtId="0" fontId="51" fillId="2" borderId="0" xfId="0" applyFont="1" applyFill="1" applyProtection="1">
      <protection locked="0"/>
    </xf>
    <xf numFmtId="3" fontId="51" fillId="2" borderId="2" xfId="0" applyNumberFormat="1" applyFont="1" applyFill="1" applyBorder="1" applyProtection="1">
      <protection locked="0"/>
    </xf>
    <xf numFmtId="3" fontId="64" fillId="2" borderId="0" xfId="0" applyNumberFormat="1" applyFont="1" applyFill="1" applyProtection="1">
      <protection locked="0"/>
    </xf>
    <xf numFmtId="3" fontId="64" fillId="2" borderId="0" xfId="0" applyNumberFormat="1" applyFont="1" applyFill="1"/>
    <xf numFmtId="3" fontId="51" fillId="2" borderId="9" xfId="0" applyNumberFormat="1" applyFont="1" applyFill="1" applyBorder="1" applyAlignment="1" applyProtection="1">
      <alignment horizontal="center"/>
      <protection locked="0"/>
    </xf>
    <xf numFmtId="164" fontId="51" fillId="2" borderId="12" xfId="0" applyNumberFormat="1" applyFont="1" applyFill="1" applyBorder="1" applyProtection="1">
      <protection locked="0"/>
    </xf>
    <xf numFmtId="1" fontId="51" fillId="2" borderId="2" xfId="0" applyNumberFormat="1" applyFont="1" applyFill="1" applyBorder="1" applyProtection="1">
      <protection locked="0"/>
    </xf>
    <xf numFmtId="0" fontId="51" fillId="2" borderId="2" xfId="0" applyFont="1" applyFill="1" applyBorder="1" applyProtection="1">
      <protection locked="0"/>
    </xf>
    <xf numFmtId="3" fontId="51" fillId="2" borderId="2" xfId="0" applyNumberFormat="1" applyFont="1" applyFill="1" applyBorder="1" applyAlignment="1" applyProtection="1">
      <alignment horizontal="right"/>
      <protection locked="0"/>
    </xf>
    <xf numFmtId="3" fontId="53" fillId="2" borderId="0" xfId="0" applyNumberFormat="1" applyFont="1" applyFill="1" applyAlignment="1">
      <alignment horizontal="right"/>
    </xf>
    <xf numFmtId="3" fontId="51" fillId="2" borderId="0" xfId="0" applyNumberFormat="1" applyFont="1" applyFill="1" applyAlignment="1">
      <alignment horizontal="right"/>
    </xf>
    <xf numFmtId="3" fontId="51" fillId="2" borderId="2" xfId="0" applyNumberFormat="1" applyFont="1" applyFill="1" applyBorder="1" applyAlignment="1">
      <alignment horizontal="right"/>
    </xf>
    <xf numFmtId="3" fontId="53" fillId="2" borderId="11" xfId="0" applyNumberFormat="1" applyFont="1" applyFill="1" applyBorder="1" applyAlignment="1">
      <alignment horizontal="right"/>
    </xf>
    <xf numFmtId="164" fontId="51" fillId="2" borderId="15" xfId="0" applyNumberFormat="1" applyFont="1" applyFill="1" applyBorder="1" applyProtection="1">
      <protection locked="0"/>
    </xf>
    <xf numFmtId="1" fontId="51" fillId="2" borderId="13" xfId="0" applyNumberFormat="1" applyFont="1" applyFill="1" applyBorder="1" applyProtection="1">
      <protection locked="0"/>
    </xf>
    <xf numFmtId="0" fontId="51" fillId="2" borderId="13" xfId="0" applyFont="1" applyFill="1" applyBorder="1" applyProtection="1">
      <protection locked="0"/>
    </xf>
    <xf numFmtId="3" fontId="51" fillId="2" borderId="13" xfId="0" applyNumberFormat="1" applyFont="1" applyFill="1" applyBorder="1" applyAlignment="1" applyProtection="1">
      <alignment horizontal="right"/>
      <protection locked="0"/>
    </xf>
    <xf numFmtId="3" fontId="53" fillId="2" borderId="13" xfId="0" applyNumberFormat="1" applyFont="1" applyFill="1" applyBorder="1" applyAlignment="1">
      <alignment horizontal="right"/>
    </xf>
    <xf numFmtId="3" fontId="53" fillId="0" borderId="13" xfId="0" applyNumberFormat="1" applyFont="1" applyBorder="1" applyProtection="1">
      <protection locked="0"/>
    </xf>
    <xf numFmtId="3" fontId="53" fillId="0" borderId="4" xfId="0" applyNumberFormat="1" applyFont="1" applyBorder="1"/>
    <xf numFmtId="164" fontId="53" fillId="2" borderId="12" xfId="0" applyNumberFormat="1" applyFont="1" applyFill="1" applyBorder="1" applyProtection="1">
      <protection locked="0"/>
    </xf>
    <xf numFmtId="1" fontId="53" fillId="2" borderId="2" xfId="0" applyNumberFormat="1" applyFont="1" applyFill="1" applyBorder="1" applyProtection="1">
      <protection locked="0"/>
    </xf>
    <xf numFmtId="0" fontId="53" fillId="2" borderId="2" xfId="0" applyFont="1" applyFill="1" applyBorder="1" applyProtection="1">
      <protection locked="0"/>
    </xf>
    <xf numFmtId="3" fontId="53" fillId="2" borderId="2" xfId="0" applyNumberFormat="1" applyFont="1" applyFill="1" applyBorder="1" applyProtection="1">
      <protection locked="0"/>
    </xf>
    <xf numFmtId="3" fontId="53" fillId="2" borderId="2" xfId="0" applyNumberFormat="1" applyFont="1" applyFill="1" applyBorder="1"/>
    <xf numFmtId="3" fontId="53" fillId="2" borderId="8" xfId="0" applyNumberFormat="1" applyFont="1" applyFill="1" applyBorder="1"/>
    <xf numFmtId="3" fontId="58" fillId="2" borderId="0" xfId="0" applyNumberFormat="1" applyFont="1" applyFill="1"/>
    <xf numFmtId="164" fontId="53" fillId="2" borderId="0" xfId="0" applyNumberFormat="1" applyFont="1" applyFill="1" applyAlignment="1" applyProtection="1">
      <alignment horizontal="left"/>
      <protection locked="0"/>
    </xf>
    <xf numFmtId="3" fontId="51" fillId="5" borderId="0" xfId="0" applyNumberFormat="1" applyFont="1" applyFill="1" applyProtection="1">
      <protection locked="0"/>
    </xf>
    <xf numFmtId="3" fontId="64" fillId="2" borderId="9" xfId="0" applyNumberFormat="1" applyFont="1" applyFill="1" applyBorder="1" applyProtection="1">
      <protection locked="0"/>
    </xf>
    <xf numFmtId="3" fontId="64" fillId="2" borderId="10" xfId="0" applyNumberFormat="1" applyFont="1" applyFill="1" applyBorder="1"/>
    <xf numFmtId="3" fontId="51" fillId="0" borderId="0" xfId="0" applyNumberFormat="1" applyFont="1" applyAlignment="1" applyProtection="1">
      <alignment horizontal="center"/>
      <protection locked="0"/>
    </xf>
    <xf numFmtId="0" fontId="53" fillId="2" borderId="11" xfId="0" applyFont="1" applyFill="1" applyBorder="1" applyProtection="1">
      <protection locked="0"/>
    </xf>
    <xf numFmtId="3" fontId="53" fillId="2" borderId="11" xfId="0" applyNumberFormat="1" applyFont="1" applyFill="1" applyBorder="1"/>
    <xf numFmtId="0" fontId="53" fillId="2" borderId="8" xfId="0" applyFont="1" applyFill="1" applyBorder="1" applyProtection="1">
      <protection locked="0"/>
    </xf>
    <xf numFmtId="3" fontId="51" fillId="2" borderId="13" xfId="0" applyNumberFormat="1" applyFont="1" applyFill="1" applyBorder="1" applyProtection="1">
      <protection locked="0"/>
    </xf>
    <xf numFmtId="3" fontId="53" fillId="2" borderId="13" xfId="0" applyNumberFormat="1" applyFont="1" applyFill="1" applyBorder="1"/>
    <xf numFmtId="164" fontId="53" fillId="0" borderId="5" xfId="0" applyNumberFormat="1" applyFont="1" applyBorder="1" applyProtection="1">
      <protection locked="0"/>
    </xf>
    <xf numFmtId="0" fontId="53" fillId="2" borderId="9" xfId="0" applyFont="1" applyFill="1" applyBorder="1" applyAlignment="1" applyProtection="1">
      <alignment wrapText="1"/>
      <protection locked="0"/>
    </xf>
    <xf numFmtId="0" fontId="53" fillId="2" borderId="13" xfId="0" applyFont="1" applyFill="1" applyBorder="1" applyAlignment="1" applyProtection="1">
      <alignment wrapText="1"/>
      <protection locked="0"/>
    </xf>
    <xf numFmtId="0" fontId="53" fillId="2" borderId="14" xfId="0" applyFont="1" applyFill="1" applyBorder="1" applyAlignment="1" applyProtection="1">
      <alignment wrapText="1"/>
      <protection locked="0"/>
    </xf>
    <xf numFmtId="3" fontId="53" fillId="2" borderId="4" xfId="0" applyNumberFormat="1" applyFont="1" applyFill="1" applyBorder="1"/>
    <xf numFmtId="164" fontId="51" fillId="2" borderId="0" xfId="0" applyNumberFormat="1" applyFont="1" applyFill="1" applyAlignment="1" applyProtection="1">
      <alignment horizontal="left"/>
      <protection locked="0"/>
    </xf>
    <xf numFmtId="3" fontId="53" fillId="0" borderId="0" xfId="0" applyNumberFormat="1" applyFont="1"/>
    <xf numFmtId="164" fontId="51" fillId="0" borderId="5" xfId="0" applyNumberFormat="1" applyFont="1" applyBorder="1" applyProtection="1">
      <protection locked="0"/>
    </xf>
    <xf numFmtId="1" fontId="51" fillId="0" borderId="9" xfId="0" applyNumberFormat="1" applyFont="1" applyBorder="1" applyProtection="1">
      <protection locked="0"/>
    </xf>
    <xf numFmtId="0" fontId="51" fillId="0" borderId="9" xfId="0" applyFont="1" applyBorder="1" applyProtection="1">
      <protection locked="0"/>
    </xf>
    <xf numFmtId="3" fontId="53" fillId="0" borderId="11" xfId="0" applyNumberFormat="1" applyFont="1" applyBorder="1"/>
    <xf numFmtId="3" fontId="51" fillId="2" borderId="8" xfId="0" applyNumberFormat="1" applyFont="1" applyFill="1" applyBorder="1"/>
    <xf numFmtId="3" fontId="51" fillId="0" borderId="11" xfId="0" applyNumberFormat="1" applyFont="1" applyBorder="1"/>
    <xf numFmtId="3" fontId="51" fillId="2" borderId="2" xfId="0" applyNumberFormat="1" applyFont="1" applyFill="1" applyBorder="1" applyAlignment="1" applyProtection="1">
      <alignment horizontal="center"/>
      <protection locked="0"/>
    </xf>
    <xf numFmtId="0" fontId="53" fillId="5" borderId="0" xfId="0" applyFont="1" applyFill="1" applyProtection="1">
      <protection locked="0"/>
    </xf>
    <xf numFmtId="3" fontId="51" fillId="0" borderId="2" xfId="0" applyNumberFormat="1" applyFont="1" applyBorder="1" applyProtection="1">
      <protection locked="0"/>
    </xf>
    <xf numFmtId="3" fontId="53" fillId="2" borderId="9" xfId="0" applyNumberFormat="1" applyFont="1" applyFill="1" applyBorder="1" applyProtection="1">
      <protection locked="0"/>
    </xf>
    <xf numFmtId="3" fontId="53" fillId="2" borderId="13" xfId="0" applyNumberFormat="1" applyFont="1" applyFill="1" applyBorder="1" applyProtection="1">
      <protection locked="0"/>
    </xf>
    <xf numFmtId="1" fontId="61" fillId="2" borderId="0" xfId="0" applyNumberFormat="1" applyFont="1" applyFill="1" applyProtection="1">
      <protection locked="0"/>
    </xf>
    <xf numFmtId="1" fontId="61" fillId="0" borderId="9" xfId="0" applyNumberFormat="1" applyFont="1" applyBorder="1" applyProtection="1">
      <protection locked="0"/>
    </xf>
    <xf numFmtId="164" fontId="63" fillId="2" borderId="12" xfId="0" applyNumberFormat="1" applyFont="1" applyFill="1" applyBorder="1" applyProtection="1">
      <protection locked="0"/>
    </xf>
    <xf numFmtId="1" fontId="63" fillId="2" borderId="2" xfId="0" applyNumberFormat="1" applyFont="1" applyFill="1" applyBorder="1" applyProtection="1">
      <protection locked="0"/>
    </xf>
    <xf numFmtId="0" fontId="63" fillId="2" borderId="2" xfId="0" applyFont="1" applyFill="1" applyBorder="1" applyProtection="1">
      <protection locked="0"/>
    </xf>
    <xf numFmtId="3" fontId="63" fillId="2" borderId="2" xfId="0" applyNumberFormat="1" applyFont="1" applyFill="1" applyBorder="1" applyProtection="1">
      <protection locked="0"/>
    </xf>
    <xf numFmtId="3" fontId="63" fillId="2" borderId="2" xfId="0" applyNumberFormat="1" applyFont="1" applyFill="1" applyBorder="1"/>
    <xf numFmtId="3" fontId="63" fillId="2" borderId="8" xfId="0" applyNumberFormat="1" applyFont="1" applyFill="1" applyBorder="1"/>
    <xf numFmtId="0" fontId="65" fillId="5" borderId="0" xfId="0" applyFont="1" applyFill="1" applyProtection="1">
      <protection locked="0"/>
    </xf>
    <xf numFmtId="164" fontId="53" fillId="0" borderId="5" xfId="0" applyNumberFormat="1" applyFont="1" applyBorder="1" applyAlignment="1" applyProtection="1">
      <alignment horizontal="left" vertical="top"/>
      <protection locked="0"/>
    </xf>
    <xf numFmtId="0" fontId="53" fillId="0" borderId="9" xfId="0" applyFont="1" applyBorder="1" applyAlignment="1" applyProtection="1">
      <alignment wrapText="1"/>
      <protection locked="0"/>
    </xf>
    <xf numFmtId="0" fontId="53" fillId="0" borderId="13" xfId="0" applyFont="1" applyBorder="1" applyAlignment="1" applyProtection="1">
      <alignment wrapText="1"/>
      <protection locked="0"/>
    </xf>
    <xf numFmtId="0" fontId="62" fillId="0" borderId="13" xfId="0" applyFont="1" applyBorder="1" applyAlignment="1" applyProtection="1">
      <alignment wrapText="1"/>
      <protection locked="0"/>
    </xf>
    <xf numFmtId="0" fontId="62" fillId="0" borderId="14" xfId="0" applyFont="1" applyBorder="1" applyAlignment="1" applyProtection="1">
      <alignment wrapText="1"/>
      <protection locked="0"/>
    </xf>
    <xf numFmtId="164" fontId="53" fillId="2" borderId="5" xfId="0" applyNumberFormat="1" applyFont="1" applyFill="1" applyBorder="1" applyAlignment="1" applyProtection="1">
      <alignment horizontal="left" vertical="center"/>
      <protection locked="0"/>
    </xf>
    <xf numFmtId="164" fontId="51" fillId="2" borderId="9" xfId="0" applyNumberFormat="1" applyFont="1" applyFill="1" applyBorder="1" applyAlignment="1" applyProtection="1">
      <alignment wrapText="1"/>
      <protection locked="0"/>
    </xf>
    <xf numFmtId="164" fontId="51" fillId="2" borderId="13" xfId="0" applyNumberFormat="1" applyFont="1" applyFill="1" applyBorder="1" applyAlignment="1" applyProtection="1">
      <alignment wrapText="1"/>
      <protection locked="0"/>
    </xf>
    <xf numFmtId="164" fontId="51" fillId="2" borderId="14" xfId="0" applyNumberFormat="1" applyFont="1" applyFill="1" applyBorder="1" applyAlignment="1" applyProtection="1">
      <alignment wrapText="1"/>
      <protection locked="0"/>
    </xf>
    <xf numFmtId="164" fontId="53" fillId="2" borderId="5" xfId="0" applyNumberFormat="1" applyFont="1" applyFill="1" applyBorder="1" applyAlignment="1" applyProtection="1">
      <alignment vertical="top"/>
      <protection locked="0"/>
    </xf>
    <xf numFmtId="164" fontId="53" fillId="2" borderId="9" xfId="0" applyNumberFormat="1" applyFont="1" applyFill="1" applyBorder="1" applyAlignment="1" applyProtection="1">
      <alignment vertical="top"/>
      <protection locked="0"/>
    </xf>
    <xf numFmtId="164" fontId="53" fillId="2" borderId="13" xfId="0" applyNumberFormat="1" applyFont="1" applyFill="1" applyBorder="1" applyAlignment="1" applyProtection="1">
      <alignment vertical="top"/>
      <protection locked="0"/>
    </xf>
    <xf numFmtId="164" fontId="53" fillId="2" borderId="14" xfId="0" applyNumberFormat="1" applyFont="1" applyFill="1" applyBorder="1" applyAlignment="1" applyProtection="1">
      <alignment vertical="top"/>
      <protection locked="0"/>
    </xf>
    <xf numFmtId="164" fontId="66" fillId="0" borderId="12" xfId="0" applyNumberFormat="1" applyFont="1" applyBorder="1" applyProtection="1">
      <protection locked="0"/>
    </xf>
    <xf numFmtId="3" fontId="53" fillId="2" borderId="0" xfId="0" applyNumberFormat="1" applyFont="1" applyFill="1" applyProtection="1">
      <protection locked="0"/>
    </xf>
    <xf numFmtId="0" fontId="63" fillId="0" borderId="9" xfId="0" applyFont="1" applyBorder="1" applyProtection="1">
      <protection locked="0"/>
    </xf>
    <xf numFmtId="1" fontId="53" fillId="0" borderId="0" xfId="0" applyNumberFormat="1" applyFont="1" applyProtection="1">
      <protection locked="0"/>
    </xf>
    <xf numFmtId="0" fontId="53" fillId="0" borderId="0" xfId="0" applyFont="1" applyProtection="1">
      <protection locked="0"/>
    </xf>
    <xf numFmtId="3" fontId="53" fillId="0" borderId="0" xfId="0" applyNumberFormat="1" applyFont="1" applyProtection="1">
      <protection locked="0"/>
    </xf>
    <xf numFmtId="1" fontId="51" fillId="0" borderId="0" xfId="0" applyNumberFormat="1" applyFont="1" applyAlignment="1" applyProtection="1">
      <alignment horizontal="right"/>
      <protection locked="0"/>
    </xf>
    <xf numFmtId="0" fontId="51" fillId="0" borderId="0" xfId="0" applyFont="1" applyAlignment="1" applyProtection="1">
      <alignment horizontal="left"/>
      <protection locked="0"/>
    </xf>
    <xf numFmtId="1" fontId="51" fillId="0" borderId="0" xfId="0" applyNumberFormat="1" applyFont="1"/>
    <xf numFmtId="164" fontId="53" fillId="0" borderId="9" xfId="0" applyNumberFormat="1" applyFont="1" applyBorder="1" applyAlignment="1" applyProtection="1">
      <alignment vertical="top"/>
      <protection locked="0"/>
    </xf>
    <xf numFmtId="164" fontId="53" fillId="0" borderId="10" xfId="0" applyNumberFormat="1" applyFont="1" applyBorder="1" applyAlignment="1" applyProtection="1">
      <alignment vertical="top"/>
      <protection locked="0"/>
    </xf>
    <xf numFmtId="164" fontId="53" fillId="0" borderId="14" xfId="0" applyNumberFormat="1" applyFont="1" applyBorder="1" applyAlignment="1" applyProtection="1">
      <alignment vertical="top" wrapText="1"/>
      <protection locked="0"/>
    </xf>
    <xf numFmtId="164" fontId="66" fillId="0" borderId="1" xfId="0" applyNumberFormat="1" applyFont="1" applyBorder="1" applyAlignment="1" applyProtection="1">
      <alignment vertical="top"/>
      <protection locked="0"/>
    </xf>
    <xf numFmtId="164" fontId="53" fillId="0" borderId="0" xfId="0" applyNumberFormat="1" applyFont="1" applyAlignment="1" applyProtection="1">
      <alignment vertical="top"/>
      <protection locked="0"/>
    </xf>
    <xf numFmtId="164" fontId="53" fillId="0" borderId="11" xfId="0" applyNumberFormat="1" applyFont="1" applyBorder="1" applyAlignment="1" applyProtection="1">
      <alignment vertical="top"/>
      <protection locked="0"/>
    </xf>
    <xf numFmtId="0" fontId="0" fillId="0" borderId="2" xfId="0" applyBorder="1"/>
    <xf numFmtId="164" fontId="53" fillId="0" borderId="8" xfId="0" applyNumberFormat="1" applyFont="1" applyBorder="1" applyAlignment="1" applyProtection="1">
      <alignment horizontal="left" vertical="top"/>
      <protection locked="0"/>
    </xf>
    <xf numFmtId="164" fontId="53" fillId="0" borderId="0" xfId="0" applyNumberFormat="1" applyFont="1" applyAlignment="1" applyProtection="1">
      <alignment wrapText="1"/>
      <protection locked="0"/>
    </xf>
    <xf numFmtId="3" fontId="53" fillId="0" borderId="10" xfId="0" applyNumberFormat="1" applyFont="1" applyBorder="1"/>
    <xf numFmtId="0" fontId="63" fillId="0" borderId="0" xfId="0" applyFont="1" applyProtection="1">
      <protection locked="0"/>
    </xf>
    <xf numFmtId="0" fontId="51" fillId="0" borderId="8" xfId="0" applyFont="1" applyBorder="1"/>
    <xf numFmtId="3" fontId="53" fillId="0" borderId="5" xfId="0" applyNumberFormat="1" applyFont="1" applyBorder="1"/>
    <xf numFmtId="3" fontId="53" fillId="0" borderId="9" xfId="0" applyNumberFormat="1" applyFont="1" applyBorder="1" applyAlignment="1">
      <alignment horizontal="left"/>
    </xf>
    <xf numFmtId="3" fontId="58" fillId="0" borderId="9" xfId="0" applyNumberFormat="1" applyFont="1" applyBorder="1" applyAlignment="1" applyProtection="1">
      <alignment horizontal="right"/>
      <protection locked="0"/>
    </xf>
    <xf numFmtId="3" fontId="58" fillId="0" borderId="9" xfId="0" applyNumberFormat="1" applyFont="1" applyBorder="1"/>
    <xf numFmtId="3" fontId="67" fillId="2" borderId="0" xfId="0" applyNumberFormat="1" applyFont="1" applyFill="1" applyProtection="1">
      <protection locked="0"/>
    </xf>
    <xf numFmtId="3" fontId="67" fillId="2" borderId="0" xfId="0" applyNumberFormat="1" applyFont="1" applyFill="1"/>
    <xf numFmtId="3" fontId="67" fillId="2" borderId="10" xfId="0" applyNumberFormat="1" applyFont="1" applyFill="1" applyBorder="1"/>
    <xf numFmtId="164" fontId="53" fillId="0" borderId="13" xfId="0" applyNumberFormat="1" applyFont="1" applyBorder="1" applyAlignment="1" applyProtection="1">
      <alignment vertical="top"/>
      <protection locked="0"/>
    </xf>
    <xf numFmtId="164" fontId="53" fillId="0" borderId="14" xfId="0" applyNumberFormat="1" applyFont="1" applyBorder="1" applyAlignment="1" applyProtection="1">
      <alignment vertical="top"/>
      <protection locked="0"/>
    </xf>
    <xf numFmtId="164" fontId="53" fillId="0" borderId="12" xfId="0" applyNumberFormat="1" applyFont="1" applyBorder="1" applyProtection="1">
      <protection locked="0"/>
    </xf>
    <xf numFmtId="1" fontId="61" fillId="0" borderId="0" xfId="0" applyNumberFormat="1" applyFont="1" applyProtection="1">
      <protection locked="0"/>
    </xf>
    <xf numFmtId="164" fontId="53" fillId="0" borderId="12" xfId="0" applyNumberFormat="1" applyFont="1" applyBorder="1"/>
    <xf numFmtId="1" fontId="53" fillId="0" borderId="2" xfId="0" applyNumberFormat="1" applyFont="1" applyBorder="1"/>
    <xf numFmtId="0" fontId="53" fillId="0" borderId="2" xfId="0" applyFont="1" applyBorder="1"/>
    <xf numFmtId="164" fontId="66" fillId="0" borderId="1" xfId="0" applyNumberFormat="1" applyFont="1" applyBorder="1" applyProtection="1">
      <protection locked="0"/>
    </xf>
    <xf numFmtId="1" fontId="63" fillId="0" borderId="0" xfId="0" applyNumberFormat="1" applyFont="1" applyProtection="1">
      <protection locked="0"/>
    </xf>
    <xf numFmtId="3" fontId="63" fillId="0" borderId="0" xfId="0" applyNumberFormat="1" applyFont="1" applyProtection="1">
      <protection locked="0"/>
    </xf>
    <xf numFmtId="3" fontId="63" fillId="0" borderId="0" xfId="0" applyNumberFormat="1" applyFont="1"/>
    <xf numFmtId="3" fontId="63" fillId="0" borderId="11" xfId="0" applyNumberFormat="1" applyFont="1" applyBorder="1"/>
    <xf numFmtId="1" fontId="63" fillId="0" borderId="2" xfId="0" applyNumberFormat="1" applyFont="1" applyBorder="1" applyProtection="1">
      <protection locked="0"/>
    </xf>
    <xf numFmtId="0" fontId="63" fillId="0" borderId="2" xfId="0" applyFont="1" applyBorder="1" applyProtection="1">
      <protection locked="0"/>
    </xf>
    <xf numFmtId="3" fontId="63" fillId="0" borderId="2" xfId="0" applyNumberFormat="1" applyFont="1" applyBorder="1" applyProtection="1">
      <protection locked="0"/>
    </xf>
    <xf numFmtId="3" fontId="63" fillId="0" borderId="2" xfId="0" applyNumberFormat="1" applyFont="1" applyBorder="1"/>
    <xf numFmtId="3" fontId="63" fillId="0" borderId="8" xfId="0" applyNumberFormat="1" applyFont="1" applyBorder="1"/>
    <xf numFmtId="164" fontId="68" fillId="2" borderId="0" xfId="0" applyNumberFormat="1" applyFont="1" applyFill="1" applyAlignment="1" applyProtection="1">
      <alignment horizontal="left"/>
      <protection locked="0"/>
    </xf>
    <xf numFmtId="164" fontId="53" fillId="2" borderId="5" xfId="0" applyNumberFormat="1" applyFont="1" applyFill="1" applyBorder="1" applyProtection="1">
      <protection locked="0"/>
    </xf>
    <xf numFmtId="1" fontId="53" fillId="2" borderId="9" xfId="0" applyNumberFormat="1" applyFont="1" applyFill="1" applyBorder="1" applyProtection="1">
      <protection locked="0"/>
    </xf>
    <xf numFmtId="0" fontId="53" fillId="2" borderId="9" xfId="0" applyFont="1" applyFill="1" applyBorder="1" applyProtection="1">
      <protection locked="0"/>
    </xf>
    <xf numFmtId="3" fontId="69" fillId="2" borderId="0" xfId="0" applyNumberFormat="1" applyFont="1" applyFill="1"/>
    <xf numFmtId="3" fontId="51" fillId="0" borderId="8" xfId="0" applyNumberFormat="1" applyFont="1" applyBorder="1"/>
    <xf numFmtId="164" fontId="53" fillId="0" borderId="5" xfId="0" applyNumberFormat="1" applyFont="1" applyBorder="1" applyAlignment="1" applyProtection="1">
      <alignment horizontal="left"/>
      <protection locked="0"/>
    </xf>
    <xf numFmtId="1" fontId="0" fillId="0" borderId="9" xfId="0" applyNumberFormat="1" applyBorder="1"/>
    <xf numFmtId="0" fontId="63" fillId="0" borderId="9" xfId="0" applyFont="1" applyBorder="1"/>
    <xf numFmtId="3" fontId="0" fillId="0" borderId="9" xfId="0" applyNumberFormat="1" applyBorder="1"/>
    <xf numFmtId="3" fontId="56" fillId="0" borderId="9" xfId="0" applyNumberFormat="1" applyFont="1" applyBorder="1"/>
    <xf numFmtId="3" fontId="0" fillId="0" borderId="13" xfId="0" applyNumberFormat="1" applyBorder="1"/>
    <xf numFmtId="3" fontId="0" fillId="0" borderId="14" xfId="0" applyNumberFormat="1" applyBorder="1"/>
    <xf numFmtId="3" fontId="53" fillId="2" borderId="5" xfId="0" applyNumberFormat="1" applyFont="1" applyFill="1" applyBorder="1" applyAlignment="1" applyProtection="1">
      <alignment horizontal="left"/>
      <protection locked="0"/>
    </xf>
    <xf numFmtId="3" fontId="0" fillId="2" borderId="9" xfId="0" applyNumberFormat="1" applyFill="1" applyBorder="1"/>
    <xf numFmtId="164" fontId="53" fillId="0" borderId="0" xfId="0" applyNumberFormat="1" applyFont="1" applyAlignment="1" applyProtection="1">
      <alignment horizontal="left"/>
      <protection locked="0"/>
    </xf>
    <xf numFmtId="1" fontId="53" fillId="0" borderId="0" xfId="0" applyNumberFormat="1" applyFont="1" applyAlignment="1" applyProtection="1">
      <alignment horizontal="left"/>
      <protection locked="0"/>
    </xf>
    <xf numFmtId="0" fontId="53" fillId="0" borderId="0" xfId="0" applyFont="1" applyAlignment="1" applyProtection="1">
      <alignment horizontal="left"/>
      <protection locked="0"/>
    </xf>
    <xf numFmtId="3" fontId="51" fillId="0" borderId="2" xfId="0" applyNumberFormat="1" applyFont="1" applyBorder="1" applyAlignment="1" applyProtection="1">
      <alignment horizontal="center"/>
      <protection locked="0"/>
    </xf>
    <xf numFmtId="164" fontId="51" fillId="2" borderId="16" xfId="0" applyNumberFormat="1" applyFont="1" applyFill="1" applyBorder="1"/>
    <xf numFmtId="1" fontId="51" fillId="2" borderId="17" xfId="0" applyNumberFormat="1" applyFont="1" applyFill="1" applyBorder="1"/>
    <xf numFmtId="0" fontId="51" fillId="2" borderId="17" xfId="0" applyFont="1" applyFill="1" applyBorder="1"/>
    <xf numFmtId="3" fontId="51" fillId="2" borderId="17" xfId="0" applyNumberFormat="1" applyFont="1" applyFill="1" applyBorder="1"/>
    <xf numFmtId="3" fontId="53" fillId="2" borderId="17" xfId="0" applyNumberFormat="1" applyFont="1" applyFill="1" applyBorder="1"/>
    <xf numFmtId="3" fontId="51" fillId="2" borderId="18" xfId="0" applyNumberFormat="1" applyFont="1" applyFill="1" applyBorder="1"/>
    <xf numFmtId="3" fontId="51" fillId="0" borderId="0" xfId="0" applyNumberFormat="1" applyFont="1" applyAlignment="1">
      <alignment horizontal="center"/>
    </xf>
    <xf numFmtId="0" fontId="53" fillId="0" borderId="25" xfId="0" applyFont="1" applyBorder="1" applyAlignment="1">
      <alignment vertical="center"/>
    </xf>
    <xf numFmtId="0" fontId="53" fillId="0" borderId="26" xfId="0" applyFont="1" applyBorder="1" applyAlignment="1">
      <alignment vertical="center"/>
    </xf>
    <xf numFmtId="3" fontId="51" fillId="0" borderId="26" xfId="0" applyNumberFormat="1" applyFont="1" applyBorder="1" applyAlignment="1">
      <alignment horizontal="center" vertical="center"/>
    </xf>
    <xf numFmtId="3" fontId="53" fillId="0" borderId="26" xfId="0" applyNumberFormat="1" applyFont="1" applyBorder="1" applyAlignment="1">
      <alignment horizontal="right" vertical="center"/>
    </xf>
    <xf numFmtId="3" fontId="51" fillId="0" borderId="26" xfId="0" applyNumberFormat="1" applyFont="1" applyBorder="1" applyAlignment="1">
      <alignment horizontal="right" vertical="center"/>
    </xf>
    <xf numFmtId="3" fontId="53" fillId="0" borderId="27" xfId="0" applyNumberFormat="1" applyFont="1" applyBorder="1" applyAlignment="1">
      <alignment horizontal="center" vertical="center"/>
    </xf>
    <xf numFmtId="0" fontId="51" fillId="0" borderId="0" xfId="0" applyFont="1" applyAlignment="1">
      <alignment vertical="center"/>
    </xf>
    <xf numFmtId="3" fontId="53" fillId="0" borderId="0" xfId="0" applyNumberFormat="1" applyFont="1" applyAlignment="1">
      <alignment vertical="center"/>
    </xf>
    <xf numFmtId="3" fontId="51" fillId="0" borderId="0" xfId="0" applyNumberFormat="1" applyFont="1" applyAlignment="1">
      <alignment vertical="center"/>
    </xf>
    <xf numFmtId="0" fontId="53" fillId="0" borderId="28" xfId="0" applyFont="1" applyBorder="1"/>
    <xf numFmtId="0" fontId="53" fillId="0" borderId="0" xfId="0" applyFont="1"/>
    <xf numFmtId="3" fontId="51" fillId="0" borderId="29" xfId="0" applyNumberFormat="1" applyFont="1" applyBorder="1" applyAlignment="1">
      <alignment horizontal="center"/>
    </xf>
    <xf numFmtId="0" fontId="51" fillId="0" borderId="28" xfId="0" applyFont="1" applyBorder="1"/>
    <xf numFmtId="3" fontId="51" fillId="2" borderId="0" xfId="0" applyNumberFormat="1" applyFont="1" applyFill="1" applyAlignment="1">
      <alignment horizontal="center"/>
    </xf>
    <xf numFmtId="3" fontId="53" fillId="0" borderId="29" xfId="0" applyNumberFormat="1" applyFont="1" applyBorder="1" applyAlignment="1">
      <alignment horizontal="center"/>
    </xf>
    <xf numFmtId="3" fontId="53" fillId="0" borderId="26" xfId="0" applyNumberFormat="1" applyFont="1" applyBorder="1" applyAlignment="1">
      <alignment horizontal="center" vertical="center"/>
    </xf>
    <xf numFmtId="3" fontId="51" fillId="2" borderId="26" xfId="0" applyNumberFormat="1" applyFont="1" applyFill="1" applyBorder="1" applyAlignment="1">
      <alignment horizontal="center" vertical="center"/>
    </xf>
    <xf numFmtId="3" fontId="53" fillId="2" borderId="0" xfId="0" applyNumberFormat="1" applyFont="1" applyFill="1" applyAlignment="1">
      <alignment vertical="center"/>
    </xf>
    <xf numFmtId="0" fontId="51" fillId="0" borderId="0" xfId="0" applyFont="1" applyAlignment="1">
      <alignment horizontal="left"/>
    </xf>
    <xf numFmtId="0" fontId="58" fillId="0" borderId="25" xfId="0" applyFont="1" applyBorder="1" applyAlignment="1">
      <alignment horizontal="center" vertical="center"/>
    </xf>
    <xf numFmtId="0" fontId="58" fillId="0" borderId="26" xfId="0" applyFont="1" applyBorder="1" applyAlignment="1">
      <alignment vertical="center"/>
    </xf>
    <xf numFmtId="3" fontId="58" fillId="0" borderId="26" xfId="0" applyNumberFormat="1" applyFont="1" applyBorder="1" applyAlignment="1">
      <alignment horizontal="center" vertical="center"/>
    </xf>
    <xf numFmtId="3" fontId="58" fillId="0" borderId="27" xfId="0" applyNumberFormat="1" applyFont="1" applyBorder="1" applyAlignment="1">
      <alignment horizontal="center" vertical="center"/>
    </xf>
    <xf numFmtId="0" fontId="51" fillId="0" borderId="30" xfId="0" applyFont="1" applyBorder="1"/>
    <xf numFmtId="0" fontId="51" fillId="0" borderId="19" xfId="0" applyFont="1" applyBorder="1"/>
    <xf numFmtId="3" fontId="51" fillId="0" borderId="19" xfId="0" applyNumberFormat="1" applyFont="1" applyBorder="1"/>
    <xf numFmtId="3" fontId="51" fillId="0" borderId="31" xfId="0" applyNumberFormat="1" applyFont="1" applyBorder="1"/>
    <xf numFmtId="0" fontId="66" fillId="0" borderId="0" xfId="0" applyFont="1" applyProtection="1">
      <protection locked="0"/>
    </xf>
    <xf numFmtId="164" fontId="66" fillId="2" borderId="12" xfId="0" applyNumberFormat="1" applyFont="1" applyFill="1" applyBorder="1" applyProtection="1">
      <protection locked="0"/>
    </xf>
    <xf numFmtId="3" fontId="72" fillId="2" borderId="0" xfId="0" applyNumberFormat="1" applyFont="1" applyFill="1"/>
    <xf numFmtId="1" fontId="72" fillId="2" borderId="0" xfId="0" applyNumberFormat="1" applyFont="1" applyFill="1"/>
    <xf numFmtId="1" fontId="53" fillId="0" borderId="1" xfId="0" applyNumberFormat="1" applyFont="1" applyBorder="1" applyAlignment="1" applyProtection="1">
      <alignment vertical="top" wrapText="1"/>
      <protection locked="0"/>
    </xf>
    <xf numFmtId="0" fontId="66" fillId="0" borderId="0" xfId="0" applyFont="1" applyAlignment="1" applyProtection="1">
      <alignment horizontal="left"/>
      <protection locked="0"/>
    </xf>
    <xf numFmtId="3" fontId="66" fillId="0" borderId="2" xfId="0" applyNumberFormat="1" applyFont="1" applyBorder="1" applyAlignment="1" applyProtection="1">
      <alignment horizontal="right"/>
      <protection locked="0"/>
    </xf>
    <xf numFmtId="3" fontId="66" fillId="0" borderId="2" xfId="0" applyNumberFormat="1" applyFont="1" applyBorder="1" applyProtection="1">
      <protection locked="0"/>
    </xf>
    <xf numFmtId="3" fontId="72" fillId="2" borderId="9" xfId="0" applyNumberFormat="1" applyFont="1" applyFill="1" applyBorder="1"/>
    <xf numFmtId="164" fontId="51" fillId="0" borderId="0" xfId="0" applyNumberFormat="1" applyFont="1" applyProtection="1">
      <protection locked="0"/>
    </xf>
    <xf numFmtId="1" fontId="51" fillId="0" borderId="0" xfId="0" applyNumberFormat="1" applyFont="1" applyAlignment="1">
      <alignment vertical="center"/>
    </xf>
    <xf numFmtId="4" fontId="51" fillId="0" borderId="0" xfId="0" applyNumberFormat="1" applyFont="1" applyAlignment="1">
      <alignment vertical="center"/>
    </xf>
    <xf numFmtId="3" fontId="53" fillId="0" borderId="10" xfId="0" applyNumberFormat="1" applyFont="1" applyBorder="1" applyProtection="1">
      <protection locked="0"/>
    </xf>
    <xf numFmtId="3" fontId="53" fillId="0" borderId="11" xfId="0" applyNumberFormat="1" applyFont="1" applyBorder="1" applyProtection="1">
      <protection locked="0"/>
    </xf>
    <xf numFmtId="3" fontId="53" fillId="0" borderId="8" xfId="0" applyNumberFormat="1" applyFont="1" applyBorder="1" applyProtection="1">
      <protection locked="0"/>
    </xf>
    <xf numFmtId="1" fontId="53" fillId="2" borderId="0" xfId="0" applyNumberFormat="1" applyFont="1" applyFill="1" applyProtection="1">
      <protection locked="0"/>
    </xf>
    <xf numFmtId="0" fontId="53" fillId="2" borderId="0" xfId="0" applyFont="1" applyFill="1" applyProtection="1">
      <protection locked="0"/>
    </xf>
    <xf numFmtId="164" fontId="53" fillId="2" borderId="2" xfId="0" applyNumberFormat="1" applyFont="1" applyFill="1" applyBorder="1" applyProtection="1">
      <protection locked="0"/>
    </xf>
    <xf numFmtId="164" fontId="66" fillId="2" borderId="1" xfId="0" applyNumberFormat="1" applyFont="1" applyFill="1" applyBorder="1" applyProtection="1">
      <protection locked="0"/>
    </xf>
    <xf numFmtId="164" fontId="66" fillId="2" borderId="0" xfId="0" applyNumberFormat="1" applyFont="1" applyFill="1" applyProtection="1">
      <protection locked="0"/>
    </xf>
    <xf numFmtId="164" fontId="66" fillId="0" borderId="2" xfId="0" applyNumberFormat="1" applyFont="1" applyBorder="1" applyProtection="1">
      <protection locked="0"/>
    </xf>
    <xf numFmtId="164" fontId="51" fillId="0" borderId="2" xfId="0" applyNumberFormat="1" applyFont="1" applyBorder="1" applyProtection="1">
      <protection locked="0"/>
    </xf>
    <xf numFmtId="164" fontId="66" fillId="0" borderId="2" xfId="0" applyNumberFormat="1" applyFont="1" applyBorder="1" applyAlignment="1" applyProtection="1">
      <alignment horizontal="left" vertical="center"/>
      <protection locked="0"/>
    </xf>
    <xf numFmtId="3" fontId="72" fillId="0" borderId="0" xfId="0" applyNumberFormat="1" applyFont="1"/>
    <xf numFmtId="3" fontId="66" fillId="0" borderId="0" xfId="0" applyNumberFormat="1" applyFont="1" applyProtection="1">
      <protection locked="0"/>
    </xf>
    <xf numFmtId="4" fontId="51" fillId="2" borderId="0" xfId="0" applyNumberFormat="1" applyFont="1" applyFill="1"/>
    <xf numFmtId="164" fontId="53" fillId="2" borderId="0" xfId="0" applyNumberFormat="1" applyFont="1" applyFill="1" applyAlignment="1" applyProtection="1">
      <alignment vertical="top"/>
      <protection locked="0"/>
    </xf>
    <xf numFmtId="164" fontId="53" fillId="2" borderId="11" xfId="0" applyNumberFormat="1" applyFont="1" applyFill="1" applyBorder="1" applyAlignment="1" applyProtection="1">
      <alignment vertical="top"/>
      <protection locked="0"/>
    </xf>
    <xf numFmtId="164" fontId="66" fillId="2" borderId="1" xfId="0" applyNumberFormat="1" applyFont="1" applyFill="1" applyBorder="1" applyAlignment="1" applyProtection="1">
      <alignment vertical="top"/>
      <protection locked="0"/>
    </xf>
    <xf numFmtId="3" fontId="67" fillId="0" borderId="0" xfId="0" applyNumberFormat="1" applyFont="1"/>
    <xf numFmtId="3" fontId="51" fillId="0" borderId="9" xfId="0" applyNumberFormat="1" applyFont="1" applyBorder="1" applyAlignment="1" applyProtection="1">
      <alignment horizontal="center"/>
      <protection locked="0"/>
    </xf>
    <xf numFmtId="3" fontId="51" fillId="0" borderId="9" xfId="0" applyNumberFormat="1" applyFont="1" applyBorder="1"/>
    <xf numFmtId="3" fontId="67" fillId="0" borderId="10" xfId="0" applyNumberFormat="1" applyFont="1" applyBorder="1"/>
    <xf numFmtId="164" fontId="51" fillId="0" borderId="15" xfId="0" applyNumberFormat="1" applyFont="1" applyBorder="1" applyProtection="1">
      <protection locked="0"/>
    </xf>
    <xf numFmtId="1" fontId="51" fillId="0" borderId="13" xfId="0" applyNumberFormat="1" applyFont="1" applyBorder="1" applyProtection="1">
      <protection locked="0"/>
    </xf>
    <xf numFmtId="0" fontId="51" fillId="0" borderId="13" xfId="0" applyFont="1" applyBorder="1" applyProtection="1">
      <protection locked="0"/>
    </xf>
    <xf numFmtId="3" fontId="51" fillId="0" borderId="13" xfId="0" applyNumberFormat="1" applyFont="1" applyBorder="1" applyProtection="1">
      <protection locked="0"/>
    </xf>
    <xf numFmtId="164" fontId="51" fillId="0" borderId="8" xfId="0" applyNumberFormat="1" applyFont="1" applyBorder="1" applyProtection="1">
      <protection locked="0"/>
    </xf>
    <xf numFmtId="3" fontId="51" fillId="0" borderId="10" xfId="0" applyNumberFormat="1" applyFont="1" applyBorder="1"/>
    <xf numFmtId="164" fontId="72" fillId="0" borderId="5" xfId="0" applyNumberFormat="1" applyFont="1" applyBorder="1" applyProtection="1">
      <protection locked="0"/>
    </xf>
    <xf numFmtId="164" fontId="51" fillId="6" borderId="1" xfId="0" applyNumberFormat="1" applyFont="1" applyFill="1" applyBorder="1" applyProtection="1">
      <protection locked="0"/>
    </xf>
    <xf numFmtId="1" fontId="51" fillId="6" borderId="0" xfId="0" applyNumberFormat="1" applyFont="1" applyFill="1" applyProtection="1">
      <protection locked="0"/>
    </xf>
    <xf numFmtId="0" fontId="51" fillId="6" borderId="0" xfId="0" applyFont="1" applyFill="1" applyProtection="1">
      <protection locked="0"/>
    </xf>
    <xf numFmtId="0" fontId="54" fillId="2" borderId="0" xfId="0" applyFont="1" applyFill="1" applyAlignment="1">
      <alignment horizontal="center"/>
    </xf>
    <xf numFmtId="0" fontId="55" fillId="2" borderId="0" xfId="0" applyFont="1" applyFill="1" applyAlignment="1">
      <alignment horizontal="center"/>
    </xf>
    <xf numFmtId="0" fontId="56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center"/>
    </xf>
    <xf numFmtId="3" fontId="58" fillId="0" borderId="5" xfId="0" applyNumberFormat="1" applyFont="1" applyBorder="1" applyAlignment="1" applyProtection="1">
      <alignment horizontal="center"/>
      <protection locked="0"/>
    </xf>
    <xf numFmtId="3" fontId="53" fillId="2" borderId="2" xfId="0" applyNumberFormat="1" applyFont="1" applyFill="1" applyBorder="1" applyAlignment="1" applyProtection="1">
      <alignment horizontal="right"/>
      <protection locked="0"/>
    </xf>
    <xf numFmtId="3" fontId="51" fillId="2" borderId="4" xfId="0" applyNumberFormat="1" applyFont="1" applyFill="1" applyBorder="1" applyAlignment="1">
      <alignment horizontal="center"/>
    </xf>
    <xf numFmtId="3" fontId="51" fillId="2" borderId="3" xfId="0" applyNumberFormat="1" applyFont="1" applyFill="1" applyBorder="1" applyAlignment="1">
      <alignment horizontal="center"/>
    </xf>
    <xf numFmtId="3" fontId="51" fillId="2" borderId="7" xfId="0" applyNumberFormat="1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6" fillId="0" borderId="0" xfId="0" applyFont="1" applyAlignment="1" applyProtection="1">
      <alignment horizontal="center"/>
      <protection locked="0"/>
    </xf>
    <xf numFmtId="3" fontId="71" fillId="0" borderId="0" xfId="0" applyNumberFormat="1" applyFont="1" applyAlignment="1">
      <alignment horizontal="center"/>
    </xf>
    <xf numFmtId="0" fontId="70" fillId="0" borderId="19" xfId="0" applyFont="1" applyBorder="1" applyAlignment="1">
      <alignment horizontal="right"/>
    </xf>
    <xf numFmtId="0" fontId="53" fillId="0" borderId="20" xfId="0" applyFont="1" applyBorder="1" applyAlignment="1">
      <alignment horizontal="center" vertical="center"/>
    </xf>
    <xf numFmtId="3" fontId="51" fillId="0" borderId="21" xfId="0" applyNumberFormat="1" applyFont="1" applyBorder="1" applyAlignment="1">
      <alignment horizontal="justify" vertical="center"/>
    </xf>
    <xf numFmtId="3" fontId="51" fillId="0" borderId="22" xfId="0" applyNumberFormat="1" applyFont="1" applyBorder="1" applyAlignment="1">
      <alignment horizontal="center"/>
    </xf>
    <xf numFmtId="3" fontId="51" fillId="0" borderId="21" xfId="0" applyNumberFormat="1" applyFont="1" applyBorder="1" applyAlignment="1">
      <alignment horizontal="center" vertical="top" wrapText="1"/>
    </xf>
    <xf numFmtId="3" fontId="51" fillId="0" borderId="23" xfId="0" applyNumberFormat="1" applyFont="1" applyBorder="1" applyAlignment="1">
      <alignment horizontal="center" vertical="top" wrapText="1"/>
    </xf>
    <xf numFmtId="3" fontId="51" fillId="0" borderId="24" xfId="0" applyNumberFormat="1" applyFont="1" applyBorder="1" applyAlignment="1">
      <alignment horizontal="center" vertical="center"/>
    </xf>
    <xf numFmtId="3" fontId="51" fillId="0" borderId="24" xfId="0" applyNumberFormat="1" applyFont="1" applyBorder="1" applyAlignment="1">
      <alignment horizontal="center" vertical="top" wrapText="1"/>
    </xf>
    <xf numFmtId="0" fontId="73" fillId="7" borderId="4" xfId="50" applyFont="1" applyFill="1" applyBorder="1" applyAlignment="1">
      <alignment horizontal="center"/>
    </xf>
    <xf numFmtId="0" fontId="1" fillId="0" borderId="0" xfId="50"/>
    <xf numFmtId="0" fontId="1" fillId="0" borderId="4" xfId="50" applyBorder="1" applyAlignment="1">
      <alignment horizontal="center" vertical="center"/>
    </xf>
    <xf numFmtId="0" fontId="1" fillId="0" borderId="4" xfId="50" applyBorder="1"/>
    <xf numFmtId="0" fontId="1" fillId="0" borderId="4" xfId="50" applyBorder="1" applyAlignment="1">
      <alignment horizontal="center"/>
    </xf>
    <xf numFmtId="14" fontId="1" fillId="0" borderId="4" xfId="50" applyNumberFormat="1" applyBorder="1"/>
    <xf numFmtId="20" fontId="1" fillId="0" borderId="4" xfId="50" applyNumberFormat="1" applyBorder="1"/>
    <xf numFmtId="0" fontId="1" fillId="8" borderId="4" xfId="50" applyFill="1" applyBorder="1" applyAlignment="1">
      <alignment horizontal="center"/>
    </xf>
    <xf numFmtId="0" fontId="1" fillId="0" borderId="0" xfId="50" applyAlignment="1">
      <alignment horizontal="center"/>
    </xf>
    <xf numFmtId="0" fontId="1" fillId="0" borderId="4" xfId="50" applyNumberFormat="1" applyBorder="1"/>
    <xf numFmtId="0" fontId="73" fillId="0" borderId="4" xfId="50" applyFont="1" applyFill="1" applyBorder="1" applyAlignment="1">
      <alignment horizontal="center"/>
    </xf>
    <xf numFmtId="0" fontId="1" fillId="0" borderId="4" xfId="50" applyFill="1" applyBorder="1" applyAlignment="1">
      <alignment horizontal="center"/>
    </xf>
    <xf numFmtId="0" fontId="1" fillId="0" borderId="0" xfId="50" applyFill="1" applyAlignment="1">
      <alignment horizontal="center"/>
    </xf>
  </cellXfs>
  <cellStyles count="51">
    <cellStyle name="Normal" xfId="0" builtinId="0"/>
    <cellStyle name="Normal 10" xfId="10" xr:uid="{00000000-0005-0000-0000-000001000000}"/>
    <cellStyle name="Normal 11" xfId="11" xr:uid="{00000000-0005-0000-0000-000002000000}"/>
    <cellStyle name="Normal 12" xfId="12" xr:uid="{00000000-0005-0000-0000-000003000000}"/>
    <cellStyle name="Normal 13" xfId="13" xr:uid="{00000000-0005-0000-0000-000004000000}"/>
    <cellStyle name="Normal 14" xfId="14" xr:uid="{00000000-0005-0000-0000-000005000000}"/>
    <cellStyle name="Normal 15" xfId="15" xr:uid="{00000000-0005-0000-0000-000006000000}"/>
    <cellStyle name="Normal 16" xfId="16" xr:uid="{00000000-0005-0000-0000-000007000000}"/>
    <cellStyle name="Normal 17" xfId="17" xr:uid="{00000000-0005-0000-0000-000008000000}"/>
    <cellStyle name="Normal 18" xfId="19" xr:uid="{00000000-0005-0000-0000-000009000000}"/>
    <cellStyle name="Normal 19" xfId="18" xr:uid="{00000000-0005-0000-0000-00000A000000}"/>
    <cellStyle name="Normal 2" xfId="1" xr:uid="{00000000-0005-0000-0000-00000B000000}"/>
    <cellStyle name="Normal 20" xfId="20" xr:uid="{00000000-0005-0000-0000-00000C000000}"/>
    <cellStyle name="Normal 21" xfId="21" xr:uid="{00000000-0005-0000-0000-00000D000000}"/>
    <cellStyle name="Normal 22" xfId="25" xr:uid="{00000000-0005-0000-0000-00000E000000}"/>
    <cellStyle name="Normal 23" xfId="22" xr:uid="{00000000-0005-0000-0000-00000F000000}"/>
    <cellStyle name="Normal 23 2" xfId="23" xr:uid="{00000000-0005-0000-0000-000010000000}"/>
    <cellStyle name="Normal 24" xfId="24" xr:uid="{00000000-0005-0000-0000-000011000000}"/>
    <cellStyle name="Normal 25" xfId="28" xr:uid="{00000000-0005-0000-0000-000012000000}"/>
    <cellStyle name="Normal 26" xfId="26" xr:uid="{00000000-0005-0000-0000-000013000000}"/>
    <cellStyle name="Normal 27" xfId="27" xr:uid="{00000000-0005-0000-0000-000014000000}"/>
    <cellStyle name="Normal 28" xfId="29" xr:uid="{00000000-0005-0000-0000-000015000000}"/>
    <cellStyle name="Normal 29" xfId="30" xr:uid="{00000000-0005-0000-0000-000016000000}"/>
    <cellStyle name="Normal 3" xfId="2" xr:uid="{00000000-0005-0000-0000-000017000000}"/>
    <cellStyle name="Normal 3 2" xfId="3" xr:uid="{00000000-0005-0000-0000-000018000000}"/>
    <cellStyle name="Normal 30" xfId="31" xr:uid="{00000000-0005-0000-0000-000019000000}"/>
    <cellStyle name="Normal 31" xfId="32" xr:uid="{00000000-0005-0000-0000-00001A000000}"/>
    <cellStyle name="Normal 32" xfId="33" xr:uid="{00000000-0005-0000-0000-00001B000000}"/>
    <cellStyle name="Normal 33" xfId="34" xr:uid="{00000000-0005-0000-0000-00001C000000}"/>
    <cellStyle name="Normal 34" xfId="35" xr:uid="{00000000-0005-0000-0000-00001D000000}"/>
    <cellStyle name="Normal 35" xfId="36" xr:uid="{00000000-0005-0000-0000-00001E000000}"/>
    <cellStyle name="Normal 36" xfId="37" xr:uid="{00000000-0005-0000-0000-00001F000000}"/>
    <cellStyle name="Normal 37" xfId="38" xr:uid="{00000000-0005-0000-0000-000020000000}"/>
    <cellStyle name="Normal 38" xfId="39" xr:uid="{00000000-0005-0000-0000-000021000000}"/>
    <cellStyle name="Normal 39" xfId="40" xr:uid="{00000000-0005-0000-0000-000022000000}"/>
    <cellStyle name="Normal 4" xfId="4" xr:uid="{00000000-0005-0000-0000-000023000000}"/>
    <cellStyle name="Normal 40" xfId="41" xr:uid="{00000000-0005-0000-0000-000024000000}"/>
    <cellStyle name="Normal 41" xfId="42" xr:uid="{00000000-0005-0000-0000-000025000000}"/>
    <cellStyle name="Normal 42" xfId="43" xr:uid="{00000000-0005-0000-0000-000026000000}"/>
    <cellStyle name="Normal 43" xfId="44" xr:uid="{00000000-0005-0000-0000-000027000000}"/>
    <cellStyle name="Normal 44" xfId="45" xr:uid="{00000000-0005-0000-0000-000028000000}"/>
    <cellStyle name="Normal 45" xfId="46" xr:uid="{00000000-0005-0000-0000-000029000000}"/>
    <cellStyle name="Normal 46" xfId="47" xr:uid="{53317609-5BD0-41B7-B948-1225A7791443}"/>
    <cellStyle name="Normal 47" xfId="48" xr:uid="{A1D0A89C-28C0-487A-8D83-F21C3C592DA6}"/>
    <cellStyle name="Normal 48" xfId="49" xr:uid="{7B328BA0-0778-4732-A837-4794C91DA0C9}"/>
    <cellStyle name="Normal 49" xfId="50" xr:uid="{2AD5E86B-46B4-43B2-B746-B3295E89BA1A}"/>
    <cellStyle name="Normal 5" xfId="5" xr:uid="{00000000-0005-0000-0000-00002A000000}"/>
    <cellStyle name="Normal 6" xfId="6" xr:uid="{00000000-0005-0000-0000-00002B000000}"/>
    <cellStyle name="Normal 7" xfId="7" xr:uid="{00000000-0005-0000-0000-00002C000000}"/>
    <cellStyle name="Normal 8" xfId="8" xr:uid="{00000000-0005-0000-0000-00002D000000}"/>
    <cellStyle name="Normal 9" xfId="9" xr:uid="{00000000-0005-0000-0000-00002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9E98-EDB7-4152-9226-A85C14478FE3}">
  <dimension ref="A1:AY277"/>
  <sheetViews>
    <sheetView topLeftCell="A253" workbookViewId="0">
      <selection activeCell="J277" sqref="J277"/>
    </sheetView>
  </sheetViews>
  <sheetFormatPr baseColWidth="10" defaultRowHeight="15" x14ac:dyDescent="0.25"/>
  <cols>
    <col min="1" max="1" width="4.85546875" style="338" bestFit="1" customWidth="1"/>
    <col min="2" max="2" width="5.140625" style="338" bestFit="1" customWidth="1"/>
    <col min="3" max="3" width="6.28515625" style="338" bestFit="1" customWidth="1"/>
    <col min="4" max="4" width="6" style="338" bestFit="1" customWidth="1"/>
    <col min="5" max="5" width="5.5703125" style="338" bestFit="1" customWidth="1"/>
    <col min="6" max="6" width="7.42578125" style="338" bestFit="1" customWidth="1"/>
    <col min="7" max="7" width="11.42578125" style="338"/>
    <col min="8" max="8" width="11.85546875" style="338" bestFit="1" customWidth="1"/>
    <col min="9" max="9" width="11.42578125" style="349"/>
    <col min="10" max="11" width="11.42578125" style="345"/>
    <col min="12" max="12" width="14.140625" style="349" bestFit="1" customWidth="1"/>
    <col min="13" max="13" width="11.42578125" style="338"/>
    <col min="14" max="14" width="37.42578125" style="338" customWidth="1"/>
    <col min="15" max="15" width="11.42578125" style="338"/>
    <col min="16" max="16" width="34.85546875" style="338" customWidth="1"/>
    <col min="17" max="17" width="1.42578125" style="338" bestFit="1" customWidth="1"/>
    <col min="18" max="18" width="11.42578125" style="338"/>
    <col min="19" max="19" width="3.140625" style="338" bestFit="1" customWidth="1"/>
    <col min="20" max="20" width="3.5703125" style="338" bestFit="1" customWidth="1"/>
    <col min="21" max="21" width="1.42578125" style="338" bestFit="1" customWidth="1"/>
    <col min="22" max="22" width="11.42578125" style="338"/>
    <col min="23" max="23" width="1.42578125" style="338" bestFit="1" customWidth="1"/>
    <col min="24" max="24" width="33.7109375" style="338" customWidth="1"/>
    <col min="25" max="25" width="1.42578125" style="338" bestFit="1" customWidth="1"/>
    <col min="26" max="26" width="39.5703125" style="338" customWidth="1"/>
    <col min="27" max="27" width="1.42578125" style="338" bestFit="1" customWidth="1"/>
    <col min="28" max="28" width="41.5703125" style="338" bestFit="1" customWidth="1"/>
    <col min="29" max="29" width="1.42578125" style="338" bestFit="1" customWidth="1"/>
    <col min="30" max="30" width="6.7109375" style="338" bestFit="1" customWidth="1"/>
    <col min="31" max="31" width="1.85546875" style="338" customWidth="1"/>
    <col min="32" max="32" width="14.28515625" style="338" bestFit="1" customWidth="1"/>
    <col min="33" max="33" width="1.85546875" style="338" customWidth="1"/>
    <col min="34" max="34" width="11.42578125" style="338"/>
    <col min="35" max="35" width="7.42578125" style="338" bestFit="1" customWidth="1"/>
    <col min="36" max="36" width="1.28515625" style="338" customWidth="1"/>
    <col min="37" max="37" width="22" style="338" bestFit="1" customWidth="1"/>
    <col min="38" max="38" width="2.28515625" style="338" customWidth="1"/>
    <col min="39" max="40" width="11.42578125" style="338"/>
    <col min="41" max="41" width="2" style="338" customWidth="1"/>
    <col min="42" max="42" width="12.85546875" style="338" bestFit="1" customWidth="1"/>
    <col min="43" max="43" width="19.85546875" style="338" bestFit="1" customWidth="1"/>
    <col min="44" max="44" width="11.42578125" style="338"/>
    <col min="45" max="45" width="38.42578125" style="338" customWidth="1"/>
    <col min="46" max="46" width="11.42578125" style="338"/>
    <col min="47" max="47" width="35.85546875" style="338" customWidth="1"/>
    <col min="48" max="49" width="6.7109375" style="338" bestFit="1" customWidth="1"/>
    <col min="50" max="50" width="19.28515625" style="338" bestFit="1" customWidth="1"/>
    <col min="51" max="51" width="19.28515625" style="338" customWidth="1"/>
    <col min="52" max="16384" width="11.42578125" style="338"/>
  </cols>
  <sheetData>
    <row r="1" spans="1:51" x14ac:dyDescent="0.25">
      <c r="A1" s="337" t="s">
        <v>397</v>
      </c>
      <c r="B1" s="337" t="s">
        <v>398</v>
      </c>
      <c r="C1" s="337" t="s">
        <v>399</v>
      </c>
      <c r="D1" s="337" t="s">
        <v>400</v>
      </c>
      <c r="E1" s="337" t="s">
        <v>401</v>
      </c>
      <c r="F1" s="337" t="s">
        <v>402</v>
      </c>
      <c r="G1" s="337" t="s">
        <v>403</v>
      </c>
      <c r="H1" s="337" t="s">
        <v>404</v>
      </c>
      <c r="I1" s="347" t="s">
        <v>405</v>
      </c>
      <c r="J1" s="337" t="s">
        <v>406</v>
      </c>
      <c r="K1" s="337" t="s">
        <v>407</v>
      </c>
      <c r="L1" s="347" t="s">
        <v>408</v>
      </c>
      <c r="M1" s="337" t="s">
        <v>409</v>
      </c>
      <c r="N1" s="337" t="s">
        <v>410</v>
      </c>
      <c r="O1" s="337" t="s">
        <v>411</v>
      </c>
      <c r="P1" s="337" t="s">
        <v>412</v>
      </c>
      <c r="Q1" s="337" t="s">
        <v>413</v>
      </c>
      <c r="R1" s="337" t="s">
        <v>414</v>
      </c>
      <c r="S1" s="337" t="s">
        <v>415</v>
      </c>
      <c r="T1" s="337" t="s">
        <v>416</v>
      </c>
      <c r="U1" s="337" t="s">
        <v>413</v>
      </c>
      <c r="V1" s="337" t="s">
        <v>417</v>
      </c>
      <c r="W1" s="337" t="s">
        <v>413</v>
      </c>
      <c r="X1" s="337" t="s">
        <v>418</v>
      </c>
      <c r="Y1" s="337" t="s">
        <v>413</v>
      </c>
      <c r="Z1" s="337" t="s">
        <v>419</v>
      </c>
      <c r="AA1" s="337" t="s">
        <v>413</v>
      </c>
      <c r="AB1" s="337" t="s">
        <v>420</v>
      </c>
      <c r="AC1" s="337" t="s">
        <v>413</v>
      </c>
      <c r="AD1" s="337" t="s">
        <v>421</v>
      </c>
      <c r="AE1" s="337" t="s">
        <v>422</v>
      </c>
      <c r="AF1" s="337" t="s">
        <v>423</v>
      </c>
      <c r="AG1" s="337" t="s">
        <v>415</v>
      </c>
      <c r="AH1" s="337" t="s">
        <v>424</v>
      </c>
      <c r="AI1" s="337" t="s">
        <v>425</v>
      </c>
      <c r="AJ1" s="337" t="s">
        <v>426</v>
      </c>
      <c r="AK1" s="337" t="s">
        <v>427</v>
      </c>
      <c r="AL1" s="337" t="s">
        <v>428</v>
      </c>
      <c r="AM1" s="337" t="s">
        <v>429</v>
      </c>
      <c r="AN1" s="337" t="s">
        <v>430</v>
      </c>
      <c r="AO1" s="337" t="s">
        <v>431</v>
      </c>
      <c r="AP1" s="337" t="s">
        <v>432</v>
      </c>
      <c r="AQ1" s="337" t="s">
        <v>433</v>
      </c>
      <c r="AR1" s="337" t="s">
        <v>434</v>
      </c>
      <c r="AS1" s="337" t="s">
        <v>435</v>
      </c>
      <c r="AT1" s="337" t="s">
        <v>436</v>
      </c>
      <c r="AU1" s="337" t="s">
        <v>437</v>
      </c>
      <c r="AV1" s="337" t="s">
        <v>438</v>
      </c>
      <c r="AW1" s="337" t="s">
        <v>438</v>
      </c>
      <c r="AX1" s="337" t="s">
        <v>439</v>
      </c>
      <c r="AY1" s="337" t="s">
        <v>440</v>
      </c>
    </row>
    <row r="2" spans="1:51" x14ac:dyDescent="0.25">
      <c r="A2" s="339" t="s">
        <v>441</v>
      </c>
      <c r="B2" s="339" t="s">
        <v>442</v>
      </c>
      <c r="C2" s="339" t="s">
        <v>443</v>
      </c>
      <c r="D2" s="339">
        <v>5</v>
      </c>
      <c r="E2" s="339">
        <v>1</v>
      </c>
      <c r="F2" s="339">
        <v>6.5</v>
      </c>
      <c r="G2" s="340">
        <v>2000210200</v>
      </c>
      <c r="H2" s="346">
        <v>2102</v>
      </c>
      <c r="I2" s="348">
        <v>111</v>
      </c>
      <c r="J2" s="341">
        <v>64</v>
      </c>
      <c r="K2" s="341">
        <v>104</v>
      </c>
      <c r="L2" s="348">
        <f>J2+K2</f>
        <v>168</v>
      </c>
      <c r="M2" s="341">
        <v>2</v>
      </c>
      <c r="N2" s="340" t="s">
        <v>444</v>
      </c>
      <c r="O2" s="340">
        <v>19</v>
      </c>
      <c r="P2" s="340" t="s">
        <v>445</v>
      </c>
      <c r="Q2" s="340" t="s">
        <v>0</v>
      </c>
      <c r="R2" s="340" t="s">
        <v>446</v>
      </c>
      <c r="S2" s="340" t="s">
        <v>447</v>
      </c>
      <c r="T2" s="340">
        <v>2</v>
      </c>
      <c r="U2" s="340" t="s">
        <v>0</v>
      </c>
      <c r="V2" s="340" t="s">
        <v>448</v>
      </c>
      <c r="W2" s="340" t="s">
        <v>0</v>
      </c>
      <c r="X2" s="340" t="s">
        <v>449</v>
      </c>
      <c r="Y2" s="340" t="s">
        <v>0</v>
      </c>
      <c r="Z2" s="340" t="s">
        <v>450</v>
      </c>
      <c r="AA2" s="340" t="s">
        <v>0</v>
      </c>
      <c r="AB2" s="340" t="s">
        <v>451</v>
      </c>
      <c r="AC2" s="340" t="s">
        <v>0</v>
      </c>
      <c r="AD2" s="340">
        <v>68420</v>
      </c>
      <c r="AE2" s="340" t="s">
        <v>452</v>
      </c>
      <c r="AF2" s="340" t="s">
        <v>453</v>
      </c>
      <c r="AG2" s="340" t="s">
        <v>447</v>
      </c>
      <c r="AH2" s="342">
        <v>34690</v>
      </c>
      <c r="AI2" s="340" t="s">
        <v>454</v>
      </c>
      <c r="AJ2" s="340" t="s">
        <v>455</v>
      </c>
      <c r="AK2" s="340" t="s">
        <v>456</v>
      </c>
      <c r="AL2" s="340" t="s">
        <v>457</v>
      </c>
      <c r="AM2" s="340">
        <v>6</v>
      </c>
      <c r="AN2" s="340" t="s">
        <v>458</v>
      </c>
      <c r="AO2" s="340" t="s">
        <v>459</v>
      </c>
      <c r="AP2" s="340">
        <v>3</v>
      </c>
      <c r="AQ2" s="340" t="s">
        <v>460</v>
      </c>
      <c r="AR2" s="340">
        <v>3094</v>
      </c>
      <c r="AS2" s="340" t="s">
        <v>461</v>
      </c>
      <c r="AT2" s="340">
        <v>1</v>
      </c>
      <c r="AU2" s="340" t="s">
        <v>462</v>
      </c>
      <c r="AV2" s="343">
        <v>0.33333333333333331</v>
      </c>
      <c r="AW2" s="343">
        <v>0.5625</v>
      </c>
      <c r="AX2" s="340" t="s">
        <v>463</v>
      </c>
      <c r="AY2" s="340" t="s">
        <v>464</v>
      </c>
    </row>
    <row r="3" spans="1:51" x14ac:dyDescent="0.25">
      <c r="A3" s="339" t="s">
        <v>441</v>
      </c>
      <c r="B3" s="339" t="s">
        <v>468</v>
      </c>
      <c r="C3" s="339" t="s">
        <v>469</v>
      </c>
      <c r="D3" s="339">
        <v>3</v>
      </c>
      <c r="E3" s="339">
        <v>4</v>
      </c>
      <c r="F3" s="339">
        <v>6.5</v>
      </c>
      <c r="G3" s="340">
        <v>2000510100</v>
      </c>
      <c r="H3" s="346">
        <v>5101</v>
      </c>
      <c r="I3" s="348">
        <v>101</v>
      </c>
      <c r="J3" s="341">
        <v>71</v>
      </c>
      <c r="K3" s="341">
        <v>112</v>
      </c>
      <c r="L3" s="348">
        <f t="shared" ref="L3:L20" si="0">J3+K3</f>
        <v>183</v>
      </c>
      <c r="M3" s="341">
        <v>5</v>
      </c>
      <c r="N3" s="340" t="s">
        <v>470</v>
      </c>
      <c r="O3" s="340">
        <v>15</v>
      </c>
      <c r="P3" s="340" t="s">
        <v>471</v>
      </c>
      <c r="Q3" s="340" t="s">
        <v>0</v>
      </c>
      <c r="R3" s="340" t="s">
        <v>446</v>
      </c>
      <c r="S3" s="340" t="s">
        <v>447</v>
      </c>
      <c r="T3" s="340">
        <v>3</v>
      </c>
      <c r="U3" s="340" t="s">
        <v>0</v>
      </c>
      <c r="V3" s="340" t="s">
        <v>472</v>
      </c>
      <c r="W3" s="340" t="s">
        <v>0</v>
      </c>
      <c r="X3" s="340" t="s">
        <v>473</v>
      </c>
      <c r="Y3" s="340" t="s">
        <v>0</v>
      </c>
      <c r="Z3" s="340" t="s">
        <v>450</v>
      </c>
      <c r="AA3" s="340" t="s">
        <v>0</v>
      </c>
      <c r="AB3" s="340" t="s">
        <v>474</v>
      </c>
      <c r="AC3" s="340" t="s">
        <v>0</v>
      </c>
      <c r="AD3" s="340">
        <v>70140</v>
      </c>
      <c r="AE3" s="340" t="s">
        <v>452</v>
      </c>
      <c r="AF3" s="340" t="s">
        <v>453</v>
      </c>
      <c r="AG3" s="340" t="s">
        <v>447</v>
      </c>
      <c r="AH3" s="342">
        <v>37455</v>
      </c>
      <c r="AI3" s="340" t="s">
        <v>454</v>
      </c>
      <c r="AJ3" s="340" t="s">
        <v>455</v>
      </c>
      <c r="AK3" s="340" t="s">
        <v>456</v>
      </c>
      <c r="AL3" s="340" t="s">
        <v>457</v>
      </c>
      <c r="AM3" s="340">
        <v>6</v>
      </c>
      <c r="AN3" s="340" t="s">
        <v>458</v>
      </c>
      <c r="AO3" s="340" t="s">
        <v>459</v>
      </c>
      <c r="AP3" s="340">
        <v>3</v>
      </c>
      <c r="AQ3" s="340" t="s">
        <v>460</v>
      </c>
      <c r="AR3" s="340">
        <v>3108</v>
      </c>
      <c r="AS3" s="340" t="s">
        <v>475</v>
      </c>
      <c r="AT3" s="340">
        <v>1</v>
      </c>
      <c r="AU3" s="340" t="s">
        <v>462</v>
      </c>
      <c r="AV3" s="343">
        <v>0.375</v>
      </c>
      <c r="AW3" s="343">
        <v>0.58333333333333337</v>
      </c>
      <c r="AX3" s="340" t="s">
        <v>463</v>
      </c>
      <c r="AY3" s="340" t="s">
        <v>464</v>
      </c>
    </row>
    <row r="4" spans="1:51" x14ac:dyDescent="0.25">
      <c r="A4" s="339" t="s">
        <v>441</v>
      </c>
      <c r="B4" s="339" t="s">
        <v>442</v>
      </c>
      <c r="C4" s="339" t="s">
        <v>443</v>
      </c>
      <c r="D4" s="339">
        <v>3</v>
      </c>
      <c r="E4" s="339">
        <v>4</v>
      </c>
      <c r="F4" s="339">
        <v>6.5</v>
      </c>
      <c r="G4" s="340">
        <v>2000510200</v>
      </c>
      <c r="H4" s="346">
        <v>5102</v>
      </c>
      <c r="I4" s="348">
        <v>82</v>
      </c>
      <c r="J4" s="341">
        <v>80</v>
      </c>
      <c r="K4" s="341">
        <v>50</v>
      </c>
      <c r="L4" s="348">
        <f t="shared" si="0"/>
        <v>130</v>
      </c>
      <c r="M4" s="341">
        <v>5</v>
      </c>
      <c r="N4" s="340" t="s">
        <v>470</v>
      </c>
      <c r="O4" s="340">
        <v>7</v>
      </c>
      <c r="P4" s="340" t="s">
        <v>476</v>
      </c>
      <c r="Q4" s="340" t="s">
        <v>0</v>
      </c>
      <c r="R4" s="340" t="s">
        <v>446</v>
      </c>
      <c r="S4" s="340" t="s">
        <v>447</v>
      </c>
      <c r="T4" s="340">
        <v>2</v>
      </c>
      <c r="U4" s="340" t="s">
        <v>0</v>
      </c>
      <c r="V4" s="340" t="s">
        <v>448</v>
      </c>
      <c r="W4" s="340" t="s">
        <v>0</v>
      </c>
      <c r="X4" s="340" t="s">
        <v>477</v>
      </c>
      <c r="Y4" s="340" t="s">
        <v>0</v>
      </c>
      <c r="Z4" s="340" t="s">
        <v>478</v>
      </c>
      <c r="AA4" s="340" t="s">
        <v>0</v>
      </c>
      <c r="AB4" s="340" t="s">
        <v>479</v>
      </c>
      <c r="AC4" s="340" t="s">
        <v>0</v>
      </c>
      <c r="AD4" s="340">
        <v>70145</v>
      </c>
      <c r="AE4" s="340" t="s">
        <v>452</v>
      </c>
      <c r="AF4" s="340" t="s">
        <v>453</v>
      </c>
      <c r="AG4" s="340" t="s">
        <v>447</v>
      </c>
      <c r="AH4" s="342">
        <v>45043</v>
      </c>
      <c r="AI4" s="340" t="s">
        <v>454</v>
      </c>
      <c r="AJ4" s="340" t="s">
        <v>455</v>
      </c>
      <c r="AK4" s="340" t="s">
        <v>456</v>
      </c>
      <c r="AL4" s="340" t="s">
        <v>457</v>
      </c>
      <c r="AM4" s="340">
        <v>6</v>
      </c>
      <c r="AN4" s="340" t="s">
        <v>458</v>
      </c>
      <c r="AO4" s="340" t="s">
        <v>459</v>
      </c>
      <c r="AP4" s="340">
        <v>3</v>
      </c>
      <c r="AQ4" s="340" t="s">
        <v>460</v>
      </c>
      <c r="AR4" s="340">
        <v>3108</v>
      </c>
      <c r="AS4" s="340" t="s">
        <v>475</v>
      </c>
      <c r="AT4" s="340">
        <v>1</v>
      </c>
      <c r="AU4" s="340" t="s">
        <v>462</v>
      </c>
      <c r="AV4" s="343">
        <v>0.375</v>
      </c>
      <c r="AW4" s="343">
        <v>0.58333333333333337</v>
      </c>
      <c r="AX4" s="340" t="s">
        <v>463</v>
      </c>
      <c r="AY4" s="340" t="s">
        <v>464</v>
      </c>
    </row>
    <row r="5" spans="1:51" x14ac:dyDescent="0.25">
      <c r="A5" s="339" t="s">
        <v>441</v>
      </c>
      <c r="B5" s="339" t="s">
        <v>442</v>
      </c>
      <c r="C5" s="339" t="s">
        <v>443</v>
      </c>
      <c r="D5" s="339">
        <v>3</v>
      </c>
      <c r="E5" s="339">
        <v>3</v>
      </c>
      <c r="F5" s="339">
        <v>6.5</v>
      </c>
      <c r="G5" s="340">
        <v>2000510300</v>
      </c>
      <c r="H5" s="346">
        <v>5103</v>
      </c>
      <c r="I5" s="348">
        <v>339</v>
      </c>
      <c r="J5" s="341">
        <v>147</v>
      </c>
      <c r="K5" s="341">
        <v>328</v>
      </c>
      <c r="L5" s="348">
        <f t="shared" si="0"/>
        <v>475</v>
      </c>
      <c r="M5" s="341">
        <v>5</v>
      </c>
      <c r="N5" s="340" t="s">
        <v>470</v>
      </c>
      <c r="O5" s="340">
        <v>1</v>
      </c>
      <c r="P5" s="340" t="s">
        <v>480</v>
      </c>
      <c r="Q5" s="340" t="s">
        <v>0</v>
      </c>
      <c r="R5" s="340" t="s">
        <v>446</v>
      </c>
      <c r="S5" s="340" t="s">
        <v>447</v>
      </c>
      <c r="T5" s="340">
        <v>3</v>
      </c>
      <c r="U5" s="340" t="s">
        <v>0</v>
      </c>
      <c r="V5" s="340" t="s">
        <v>472</v>
      </c>
      <c r="W5" s="340" t="s">
        <v>0</v>
      </c>
      <c r="X5" s="340" t="s">
        <v>481</v>
      </c>
      <c r="Y5" s="340" t="s">
        <v>0</v>
      </c>
      <c r="Z5" s="340" t="s">
        <v>482</v>
      </c>
      <c r="AA5" s="340" t="s">
        <v>0</v>
      </c>
      <c r="AB5" s="340" t="s">
        <v>483</v>
      </c>
      <c r="AC5" s="340" t="s">
        <v>0</v>
      </c>
      <c r="AD5" s="340">
        <v>70140</v>
      </c>
      <c r="AE5" s="340" t="s">
        <v>452</v>
      </c>
      <c r="AF5" s="340" t="s">
        <v>453</v>
      </c>
      <c r="AG5" s="340" t="s">
        <v>447</v>
      </c>
      <c r="AH5" s="342">
        <v>45624</v>
      </c>
      <c r="AI5" s="340" t="s">
        <v>454</v>
      </c>
      <c r="AJ5" s="340" t="s">
        <v>455</v>
      </c>
      <c r="AK5" s="340" t="s">
        <v>456</v>
      </c>
      <c r="AL5" s="340" t="s">
        <v>457</v>
      </c>
      <c r="AM5" s="340">
        <v>6</v>
      </c>
      <c r="AN5" s="340" t="s">
        <v>458</v>
      </c>
      <c r="AO5" s="340" t="s">
        <v>459</v>
      </c>
      <c r="AP5" s="340">
        <v>3</v>
      </c>
      <c r="AQ5" s="340" t="s">
        <v>460</v>
      </c>
      <c r="AR5" s="340">
        <v>3148</v>
      </c>
      <c r="AS5" s="340" t="s">
        <v>484</v>
      </c>
      <c r="AT5" s="340">
        <v>208781</v>
      </c>
      <c r="AU5" s="340" t="s">
        <v>485</v>
      </c>
      <c r="AV5" s="343">
        <v>0.375</v>
      </c>
      <c r="AW5" s="343">
        <v>0.58333333333333337</v>
      </c>
      <c r="AX5" s="340" t="s">
        <v>463</v>
      </c>
      <c r="AY5" s="340" t="s">
        <v>464</v>
      </c>
    </row>
    <row r="6" spans="1:51" x14ac:dyDescent="0.25">
      <c r="A6" s="339" t="s">
        <v>441</v>
      </c>
      <c r="B6" s="339" t="s">
        <v>442</v>
      </c>
      <c r="C6" s="339" t="s">
        <v>443</v>
      </c>
      <c r="D6" s="339">
        <v>5</v>
      </c>
      <c r="E6" s="339">
        <v>2</v>
      </c>
      <c r="F6" s="339">
        <v>6.5</v>
      </c>
      <c r="G6" s="340">
        <v>2000910200</v>
      </c>
      <c r="H6" s="346">
        <v>9102</v>
      </c>
      <c r="I6" s="348">
        <v>91</v>
      </c>
      <c r="J6" s="341">
        <v>107</v>
      </c>
      <c r="K6" s="341">
        <v>68</v>
      </c>
      <c r="L6" s="348">
        <f t="shared" si="0"/>
        <v>175</v>
      </c>
      <c r="M6" s="341">
        <v>9</v>
      </c>
      <c r="N6" s="340" t="s">
        <v>486</v>
      </c>
      <c r="O6" s="340">
        <v>1</v>
      </c>
      <c r="P6" s="340" t="s">
        <v>486</v>
      </c>
      <c r="Q6" s="340" t="s">
        <v>0</v>
      </c>
      <c r="R6" s="340" t="s">
        <v>446</v>
      </c>
      <c r="S6" s="340" t="s">
        <v>447</v>
      </c>
      <c r="T6" s="340">
        <v>2</v>
      </c>
      <c r="U6" s="340" t="s">
        <v>0</v>
      </c>
      <c r="V6" s="340" t="s">
        <v>448</v>
      </c>
      <c r="W6" s="340" t="s">
        <v>0</v>
      </c>
      <c r="X6" s="340" t="s">
        <v>487</v>
      </c>
      <c r="Y6" s="340" t="s">
        <v>0</v>
      </c>
      <c r="Z6" s="340" t="s">
        <v>488</v>
      </c>
      <c r="AA6" s="340" t="s">
        <v>0</v>
      </c>
      <c r="AB6" s="340" t="s">
        <v>489</v>
      </c>
      <c r="AC6" s="340" t="s">
        <v>0</v>
      </c>
      <c r="AD6" s="340">
        <v>68435</v>
      </c>
      <c r="AE6" s="340" t="s">
        <v>452</v>
      </c>
      <c r="AF6" s="340" t="s">
        <v>453</v>
      </c>
      <c r="AG6" s="340" t="s">
        <v>447</v>
      </c>
      <c r="AH6" s="342">
        <v>44799</v>
      </c>
      <c r="AI6" s="340" t="s">
        <v>454</v>
      </c>
      <c r="AJ6" s="340" t="s">
        <v>455</v>
      </c>
      <c r="AK6" s="340" t="s">
        <v>456</v>
      </c>
      <c r="AL6" s="340" t="s">
        <v>457</v>
      </c>
      <c r="AM6" s="340">
        <v>6</v>
      </c>
      <c r="AN6" s="340" t="s">
        <v>458</v>
      </c>
      <c r="AO6" s="340" t="s">
        <v>459</v>
      </c>
      <c r="AP6" s="340">
        <v>3</v>
      </c>
      <c r="AQ6" s="340" t="s">
        <v>460</v>
      </c>
      <c r="AR6" s="340">
        <v>3059</v>
      </c>
      <c r="AS6" s="340" t="s">
        <v>490</v>
      </c>
      <c r="AT6" s="340">
        <v>1</v>
      </c>
      <c r="AU6" s="340" t="s">
        <v>462</v>
      </c>
      <c r="AV6" s="343">
        <v>0.375</v>
      </c>
      <c r="AW6" s="343">
        <v>0.58333333333333337</v>
      </c>
      <c r="AX6" s="340" t="s">
        <v>463</v>
      </c>
      <c r="AY6" s="340" t="s">
        <v>464</v>
      </c>
    </row>
    <row r="7" spans="1:51" x14ac:dyDescent="0.25">
      <c r="A7" s="339" t="s">
        <v>441</v>
      </c>
      <c r="B7" s="339" t="s">
        <v>442</v>
      </c>
      <c r="C7" s="339" t="s">
        <v>443</v>
      </c>
      <c r="D7" s="339">
        <v>5</v>
      </c>
      <c r="E7" s="339">
        <v>2</v>
      </c>
      <c r="F7" s="339">
        <v>6.5</v>
      </c>
      <c r="G7" s="340">
        <v>2000910300</v>
      </c>
      <c r="H7" s="346">
        <v>9103</v>
      </c>
      <c r="I7" s="348">
        <v>51</v>
      </c>
      <c r="J7" s="341">
        <v>29</v>
      </c>
      <c r="K7" s="341">
        <v>57</v>
      </c>
      <c r="L7" s="348">
        <f t="shared" si="0"/>
        <v>86</v>
      </c>
      <c r="M7" s="341">
        <v>9</v>
      </c>
      <c r="N7" s="340" t="s">
        <v>486</v>
      </c>
      <c r="O7" s="340">
        <v>13</v>
      </c>
      <c r="P7" s="340" t="s">
        <v>491</v>
      </c>
      <c r="Q7" s="340" t="s">
        <v>0</v>
      </c>
      <c r="R7" s="340" t="s">
        <v>446</v>
      </c>
      <c r="S7" s="340" t="s">
        <v>447</v>
      </c>
      <c r="T7" s="340">
        <v>2</v>
      </c>
      <c r="U7" s="340" t="s">
        <v>0</v>
      </c>
      <c r="V7" s="340" t="s">
        <v>448</v>
      </c>
      <c r="W7" s="340" t="s">
        <v>0</v>
      </c>
      <c r="X7" s="340" t="s">
        <v>492</v>
      </c>
      <c r="Y7" s="340" t="s">
        <v>0</v>
      </c>
      <c r="Z7" s="340" t="s">
        <v>493</v>
      </c>
      <c r="AA7" s="340" t="s">
        <v>0</v>
      </c>
      <c r="AB7" s="340" t="s">
        <v>494</v>
      </c>
      <c r="AC7" s="340" t="s">
        <v>0</v>
      </c>
      <c r="AD7" s="340">
        <v>68438</v>
      </c>
      <c r="AE7" s="340" t="s">
        <v>452</v>
      </c>
      <c r="AF7" s="340" t="s">
        <v>453</v>
      </c>
      <c r="AG7" s="340" t="s">
        <v>447</v>
      </c>
      <c r="AH7" s="342">
        <v>45863</v>
      </c>
      <c r="AI7" s="340" t="s">
        <v>454</v>
      </c>
      <c r="AJ7" s="340" t="s">
        <v>455</v>
      </c>
      <c r="AK7" s="340" t="s">
        <v>456</v>
      </c>
      <c r="AL7" s="340" t="s">
        <v>457</v>
      </c>
      <c r="AM7" s="340">
        <v>6</v>
      </c>
      <c r="AN7" s="340" t="s">
        <v>458</v>
      </c>
      <c r="AO7" s="340" t="s">
        <v>459</v>
      </c>
      <c r="AP7" s="340">
        <v>3</v>
      </c>
      <c r="AQ7" s="340" t="s">
        <v>460</v>
      </c>
      <c r="AR7" s="340">
        <v>3059</v>
      </c>
      <c r="AS7" s="340" t="s">
        <v>490</v>
      </c>
      <c r="AT7" s="340">
        <v>208653</v>
      </c>
      <c r="AU7" s="340" t="s">
        <v>495</v>
      </c>
      <c r="AV7" s="343">
        <v>0.375</v>
      </c>
      <c r="AW7" s="343">
        <v>0.58333333333333337</v>
      </c>
      <c r="AX7" s="340" t="s">
        <v>463</v>
      </c>
      <c r="AY7" s="340" t="s">
        <v>464</v>
      </c>
    </row>
    <row r="8" spans="1:51" x14ac:dyDescent="0.25">
      <c r="A8" s="339" t="s">
        <v>441</v>
      </c>
      <c r="B8" s="339" t="s">
        <v>442</v>
      </c>
      <c r="C8" s="339" t="s">
        <v>443</v>
      </c>
      <c r="D8" s="339">
        <v>3</v>
      </c>
      <c r="E8" s="339">
        <v>4</v>
      </c>
      <c r="F8" s="339">
        <v>6.5</v>
      </c>
      <c r="G8" s="340">
        <v>2001010400</v>
      </c>
      <c r="H8" s="346">
        <v>10104</v>
      </c>
      <c r="I8" s="348">
        <v>36</v>
      </c>
      <c r="J8" s="341">
        <v>16</v>
      </c>
      <c r="K8" s="341">
        <v>45</v>
      </c>
      <c r="L8" s="348">
        <f t="shared" si="0"/>
        <v>61</v>
      </c>
      <c r="M8" s="341">
        <v>10</v>
      </c>
      <c r="N8" s="340" t="s">
        <v>496</v>
      </c>
      <c r="O8" s="340">
        <v>13</v>
      </c>
      <c r="P8" s="340" t="s">
        <v>497</v>
      </c>
      <c r="Q8" s="340" t="s">
        <v>0</v>
      </c>
      <c r="R8" s="340" t="s">
        <v>446</v>
      </c>
      <c r="S8" s="340" t="s">
        <v>447</v>
      </c>
      <c r="T8" s="340">
        <v>4</v>
      </c>
      <c r="U8" s="340" t="s">
        <v>0</v>
      </c>
      <c r="V8" s="340" t="s">
        <v>498</v>
      </c>
      <c r="W8" s="340" t="s">
        <v>0</v>
      </c>
      <c r="X8" s="340" t="s">
        <v>499</v>
      </c>
      <c r="Y8" s="340" t="s">
        <v>0</v>
      </c>
      <c r="Z8" s="340" t="s">
        <v>500</v>
      </c>
      <c r="AA8" s="340" t="s">
        <v>0</v>
      </c>
      <c r="AB8" s="340" t="s">
        <v>501</v>
      </c>
      <c r="AC8" s="340" t="s">
        <v>0</v>
      </c>
      <c r="AD8" s="340">
        <v>70382</v>
      </c>
      <c r="AE8" s="340" t="s">
        <v>452</v>
      </c>
      <c r="AF8" s="340" t="s">
        <v>453</v>
      </c>
      <c r="AG8" s="340" t="s">
        <v>447</v>
      </c>
      <c r="AH8" s="342">
        <v>44825</v>
      </c>
      <c r="AI8" s="340" t="s">
        <v>454</v>
      </c>
      <c r="AJ8" s="340" t="s">
        <v>455</v>
      </c>
      <c r="AK8" s="340" t="s">
        <v>456</v>
      </c>
      <c r="AL8" s="340" t="s">
        <v>457</v>
      </c>
      <c r="AM8" s="340">
        <v>6</v>
      </c>
      <c r="AN8" s="340" t="s">
        <v>458</v>
      </c>
      <c r="AO8" s="340" t="s">
        <v>459</v>
      </c>
      <c r="AP8" s="340">
        <v>3</v>
      </c>
      <c r="AQ8" s="340" t="s">
        <v>460</v>
      </c>
      <c r="AR8" s="340">
        <v>3108</v>
      </c>
      <c r="AS8" s="340" t="s">
        <v>475</v>
      </c>
      <c r="AT8" s="340">
        <v>1</v>
      </c>
      <c r="AU8" s="340" t="s">
        <v>462</v>
      </c>
      <c r="AV8" s="343">
        <v>0.375</v>
      </c>
      <c r="AW8" s="343">
        <v>0.58333333333333337</v>
      </c>
      <c r="AX8" s="340" t="s">
        <v>463</v>
      </c>
      <c r="AY8" s="340" t="s">
        <v>464</v>
      </c>
    </row>
    <row r="9" spans="1:51" x14ac:dyDescent="0.25">
      <c r="A9" s="339" t="s">
        <v>441</v>
      </c>
      <c r="B9" s="339" t="s">
        <v>442</v>
      </c>
      <c r="C9" s="339" t="s">
        <v>443</v>
      </c>
      <c r="D9" s="339">
        <v>3</v>
      </c>
      <c r="E9" s="339">
        <v>4</v>
      </c>
      <c r="F9" s="339">
        <v>6.5</v>
      </c>
      <c r="G9" s="340">
        <v>2001010500</v>
      </c>
      <c r="H9" s="346">
        <v>10105</v>
      </c>
      <c r="I9" s="348">
        <v>87</v>
      </c>
      <c r="J9" s="341">
        <v>47</v>
      </c>
      <c r="K9" s="341">
        <v>84</v>
      </c>
      <c r="L9" s="348">
        <f t="shared" si="0"/>
        <v>131</v>
      </c>
      <c r="M9" s="341">
        <v>10</v>
      </c>
      <c r="N9" s="340" t="s">
        <v>496</v>
      </c>
      <c r="O9" s="340">
        <v>3</v>
      </c>
      <c r="P9" s="340" t="s">
        <v>502</v>
      </c>
      <c r="Q9" s="340" t="s">
        <v>0</v>
      </c>
      <c r="R9" s="340" t="s">
        <v>446</v>
      </c>
      <c r="S9" s="340" t="s">
        <v>447</v>
      </c>
      <c r="T9" s="340">
        <v>2</v>
      </c>
      <c r="U9" s="340" t="s">
        <v>0</v>
      </c>
      <c r="V9" s="340" t="s">
        <v>448</v>
      </c>
      <c r="W9" s="340" t="s">
        <v>0</v>
      </c>
      <c r="X9" s="340" t="s">
        <v>503</v>
      </c>
      <c r="Y9" s="340" t="s">
        <v>0</v>
      </c>
      <c r="Z9" s="340" t="s">
        <v>504</v>
      </c>
      <c r="AA9" s="340" t="s">
        <v>0</v>
      </c>
      <c r="AB9" s="340" t="s">
        <v>505</v>
      </c>
      <c r="AC9" s="340" t="s">
        <v>0</v>
      </c>
      <c r="AD9" s="340">
        <v>70391</v>
      </c>
      <c r="AE9" s="340" t="s">
        <v>452</v>
      </c>
      <c r="AF9" s="340" t="s">
        <v>453</v>
      </c>
      <c r="AG9" s="340" t="s">
        <v>447</v>
      </c>
      <c r="AH9" s="342">
        <v>45377</v>
      </c>
      <c r="AI9" s="340" t="s">
        <v>454</v>
      </c>
      <c r="AJ9" s="340" t="s">
        <v>455</v>
      </c>
      <c r="AK9" s="340" t="s">
        <v>456</v>
      </c>
      <c r="AL9" s="340" t="s">
        <v>457</v>
      </c>
      <c r="AM9" s="340">
        <v>6</v>
      </c>
      <c r="AN9" s="340" t="s">
        <v>458</v>
      </c>
      <c r="AO9" s="340" t="s">
        <v>459</v>
      </c>
      <c r="AP9" s="340">
        <v>3</v>
      </c>
      <c r="AQ9" s="340" t="s">
        <v>460</v>
      </c>
      <c r="AR9" s="340">
        <v>3108</v>
      </c>
      <c r="AS9" s="340" t="s">
        <v>475</v>
      </c>
      <c r="AT9" s="340">
        <v>208935</v>
      </c>
      <c r="AU9" s="340" t="s">
        <v>506</v>
      </c>
      <c r="AV9" s="343">
        <v>0.375</v>
      </c>
      <c r="AW9" s="343">
        <v>0.58333333333333337</v>
      </c>
      <c r="AX9" s="340" t="s">
        <v>463</v>
      </c>
      <c r="AY9" s="340" t="s">
        <v>464</v>
      </c>
    </row>
    <row r="10" spans="1:51" x14ac:dyDescent="0.25">
      <c r="A10" s="339" t="s">
        <v>441</v>
      </c>
      <c r="B10" s="339" t="s">
        <v>442</v>
      </c>
      <c r="C10" s="339" t="s">
        <v>443</v>
      </c>
      <c r="D10" s="339">
        <v>4</v>
      </c>
      <c r="E10" s="339">
        <v>8</v>
      </c>
      <c r="F10" s="339">
        <v>6.5</v>
      </c>
      <c r="G10" s="340">
        <v>2002210100</v>
      </c>
      <c r="H10" s="346">
        <v>22101</v>
      </c>
      <c r="I10" s="348">
        <v>67</v>
      </c>
      <c r="J10" s="341">
        <v>20</v>
      </c>
      <c r="K10" s="341">
        <v>65</v>
      </c>
      <c r="L10" s="348">
        <f t="shared" si="0"/>
        <v>85</v>
      </c>
      <c r="M10" s="341">
        <v>22</v>
      </c>
      <c r="N10" s="340" t="s">
        <v>520</v>
      </c>
      <c r="O10" s="340">
        <v>1</v>
      </c>
      <c r="P10" s="340" t="s">
        <v>520</v>
      </c>
      <c r="Q10" s="340" t="s">
        <v>0</v>
      </c>
      <c r="R10" s="340" t="s">
        <v>446</v>
      </c>
      <c r="S10" s="340" t="s">
        <v>447</v>
      </c>
      <c r="T10" s="340">
        <v>3</v>
      </c>
      <c r="U10" s="340" t="s">
        <v>0</v>
      </c>
      <c r="V10" s="340" t="s">
        <v>472</v>
      </c>
      <c r="W10" s="340" t="s">
        <v>0</v>
      </c>
      <c r="X10" s="340" t="s">
        <v>521</v>
      </c>
      <c r="Y10" s="340" t="s">
        <v>0</v>
      </c>
      <c r="Z10" s="340" t="s">
        <v>522</v>
      </c>
      <c r="AA10" s="340" t="s">
        <v>0</v>
      </c>
      <c r="AB10" s="340" t="s">
        <v>523</v>
      </c>
      <c r="AC10" s="340" t="s">
        <v>0</v>
      </c>
      <c r="AD10" s="340">
        <v>69020</v>
      </c>
      <c r="AE10" s="340" t="s">
        <v>452</v>
      </c>
      <c r="AF10" s="340" t="s">
        <v>453</v>
      </c>
      <c r="AG10" s="340" t="s">
        <v>447</v>
      </c>
      <c r="AH10" s="342">
        <v>44105</v>
      </c>
      <c r="AI10" s="340" t="s">
        <v>454</v>
      </c>
      <c r="AJ10" s="340" t="s">
        <v>455</v>
      </c>
      <c r="AK10" s="340" t="s">
        <v>456</v>
      </c>
      <c r="AL10" s="340" t="s">
        <v>457</v>
      </c>
      <c r="AM10" s="340">
        <v>6</v>
      </c>
      <c r="AN10" s="340" t="s">
        <v>458</v>
      </c>
      <c r="AO10" s="340" t="s">
        <v>459</v>
      </c>
      <c r="AP10" s="340">
        <v>3</v>
      </c>
      <c r="AQ10" s="340" t="s">
        <v>460</v>
      </c>
      <c r="AR10" s="340">
        <v>3128</v>
      </c>
      <c r="AS10" s="340" t="s">
        <v>524</v>
      </c>
      <c r="AT10" s="340">
        <v>1</v>
      </c>
      <c r="AU10" s="340" t="s">
        <v>462</v>
      </c>
      <c r="AV10" s="343">
        <v>0.375</v>
      </c>
      <c r="AW10" s="343">
        <v>0.58333333333333337</v>
      </c>
      <c r="AX10" s="340" t="s">
        <v>463</v>
      </c>
      <c r="AY10" s="340" t="s">
        <v>464</v>
      </c>
    </row>
    <row r="11" spans="1:51" x14ac:dyDescent="0.25">
      <c r="A11" s="339" t="s">
        <v>441</v>
      </c>
      <c r="B11" s="339" t="s">
        <v>442</v>
      </c>
      <c r="C11" s="339" t="s">
        <v>443</v>
      </c>
      <c r="D11" s="339">
        <v>7</v>
      </c>
      <c r="E11" s="339">
        <v>3</v>
      </c>
      <c r="F11" s="339">
        <v>6.5</v>
      </c>
      <c r="G11" s="340">
        <v>2002810600</v>
      </c>
      <c r="H11" s="346">
        <v>28106</v>
      </c>
      <c r="I11" s="348">
        <v>33</v>
      </c>
      <c r="J11" s="341">
        <v>23</v>
      </c>
      <c r="K11" s="341">
        <v>25</v>
      </c>
      <c r="L11" s="348">
        <f t="shared" si="0"/>
        <v>48</v>
      </c>
      <c r="M11" s="341">
        <v>28</v>
      </c>
      <c r="N11" s="340" t="s">
        <v>525</v>
      </c>
      <c r="O11" s="340">
        <v>7</v>
      </c>
      <c r="P11" s="340" t="s">
        <v>526</v>
      </c>
      <c r="Q11" s="340" t="s">
        <v>0</v>
      </c>
      <c r="R11" s="340" t="s">
        <v>446</v>
      </c>
      <c r="S11" s="340" t="s">
        <v>447</v>
      </c>
      <c r="T11" s="340">
        <v>2</v>
      </c>
      <c r="U11" s="340" t="s">
        <v>0</v>
      </c>
      <c r="V11" s="340" t="s">
        <v>448</v>
      </c>
      <c r="W11" s="340" t="s">
        <v>0</v>
      </c>
      <c r="X11" s="340" t="s">
        <v>527</v>
      </c>
      <c r="Y11" s="340" t="s">
        <v>0</v>
      </c>
      <c r="Z11" s="340" t="s">
        <v>528</v>
      </c>
      <c r="AA11" s="340" t="s">
        <v>0</v>
      </c>
      <c r="AB11" s="340" t="s">
        <v>466</v>
      </c>
      <c r="AC11" s="340" t="s">
        <v>0</v>
      </c>
      <c r="AD11" s="340">
        <v>71502</v>
      </c>
      <c r="AE11" s="340" t="s">
        <v>452</v>
      </c>
      <c r="AF11" s="340" t="s">
        <v>453</v>
      </c>
      <c r="AG11" s="340" t="s">
        <v>447</v>
      </c>
      <c r="AH11" s="342">
        <v>43987</v>
      </c>
      <c r="AI11" s="340" t="s">
        <v>454</v>
      </c>
      <c r="AJ11" s="340" t="s">
        <v>455</v>
      </c>
      <c r="AK11" s="340" t="s">
        <v>456</v>
      </c>
      <c r="AL11" s="340" t="s">
        <v>457</v>
      </c>
      <c r="AM11" s="340">
        <v>6</v>
      </c>
      <c r="AN11" s="340" t="s">
        <v>458</v>
      </c>
      <c r="AO11" s="340" t="s">
        <v>459</v>
      </c>
      <c r="AP11" s="340">
        <v>3</v>
      </c>
      <c r="AQ11" s="340" t="s">
        <v>460</v>
      </c>
      <c r="AR11" s="340">
        <v>4517</v>
      </c>
      <c r="AS11" s="340" t="s">
        <v>513</v>
      </c>
      <c r="AT11" s="340">
        <v>1</v>
      </c>
      <c r="AU11" s="340" t="s">
        <v>462</v>
      </c>
      <c r="AV11" s="343">
        <v>0.375</v>
      </c>
      <c r="AW11" s="343">
        <v>0.54166666666666663</v>
      </c>
      <c r="AX11" s="340" t="s">
        <v>463</v>
      </c>
      <c r="AY11" s="340" t="s">
        <v>464</v>
      </c>
    </row>
    <row r="12" spans="1:51" x14ac:dyDescent="0.25">
      <c r="A12" s="339" t="s">
        <v>441</v>
      </c>
      <c r="B12" s="339" t="s">
        <v>442</v>
      </c>
      <c r="C12" s="339" t="s">
        <v>443</v>
      </c>
      <c r="D12" s="339">
        <v>6</v>
      </c>
      <c r="E12" s="339">
        <v>2</v>
      </c>
      <c r="F12" s="339">
        <v>6.5</v>
      </c>
      <c r="G12" s="340">
        <v>2003110400</v>
      </c>
      <c r="H12" s="346">
        <v>31104</v>
      </c>
      <c r="I12" s="348">
        <v>50</v>
      </c>
      <c r="J12" s="341">
        <v>38</v>
      </c>
      <c r="K12" s="341">
        <v>31</v>
      </c>
      <c r="L12" s="348">
        <f t="shared" si="0"/>
        <v>69</v>
      </c>
      <c r="M12" s="341">
        <v>31</v>
      </c>
      <c r="N12" s="340" t="s">
        <v>530</v>
      </c>
      <c r="O12" s="340">
        <v>1</v>
      </c>
      <c r="P12" s="340" t="s">
        <v>531</v>
      </c>
      <c r="Q12" s="340" t="s">
        <v>0</v>
      </c>
      <c r="R12" s="340" t="s">
        <v>446</v>
      </c>
      <c r="S12" s="340" t="s">
        <v>447</v>
      </c>
      <c r="T12" s="340">
        <v>2</v>
      </c>
      <c r="U12" s="340" t="s">
        <v>0</v>
      </c>
      <c r="V12" s="340" t="s">
        <v>448</v>
      </c>
      <c r="W12" s="340" t="s">
        <v>0</v>
      </c>
      <c r="X12" s="340" t="s">
        <v>532</v>
      </c>
      <c r="Y12" s="340" t="s">
        <v>0</v>
      </c>
      <c r="Z12" s="340" t="s">
        <v>533</v>
      </c>
      <c r="AA12" s="340" t="s">
        <v>0</v>
      </c>
      <c r="AB12" s="340" t="s">
        <v>534</v>
      </c>
      <c r="AC12" s="340" t="s">
        <v>0</v>
      </c>
      <c r="AD12" s="340">
        <v>70280</v>
      </c>
      <c r="AE12" s="340" t="s">
        <v>452</v>
      </c>
      <c r="AF12" s="340" t="s">
        <v>453</v>
      </c>
      <c r="AG12" s="340" t="s">
        <v>447</v>
      </c>
      <c r="AH12" s="342">
        <v>43815</v>
      </c>
      <c r="AI12" s="340" t="s">
        <v>454</v>
      </c>
      <c r="AJ12" s="340" t="s">
        <v>455</v>
      </c>
      <c r="AK12" s="340" t="s">
        <v>456</v>
      </c>
      <c r="AL12" s="340" t="s">
        <v>457</v>
      </c>
      <c r="AM12" s="340">
        <v>6</v>
      </c>
      <c r="AN12" s="340" t="s">
        <v>458</v>
      </c>
      <c r="AO12" s="340" t="s">
        <v>459</v>
      </c>
      <c r="AP12" s="340">
        <v>3</v>
      </c>
      <c r="AQ12" s="340" t="s">
        <v>460</v>
      </c>
      <c r="AR12" s="340">
        <v>3039</v>
      </c>
      <c r="AS12" s="340" t="s">
        <v>467</v>
      </c>
      <c r="AT12" s="340">
        <v>1</v>
      </c>
      <c r="AU12" s="340" t="s">
        <v>462</v>
      </c>
      <c r="AV12" s="343">
        <v>0.375</v>
      </c>
      <c r="AW12" s="343">
        <v>0.54166666666666663</v>
      </c>
      <c r="AX12" s="340" t="s">
        <v>463</v>
      </c>
      <c r="AY12" s="340" t="s">
        <v>464</v>
      </c>
    </row>
    <row r="13" spans="1:51" x14ac:dyDescent="0.25">
      <c r="A13" s="339" t="s">
        <v>441</v>
      </c>
      <c r="B13" s="339" t="s">
        <v>442</v>
      </c>
      <c r="C13" s="339" t="s">
        <v>469</v>
      </c>
      <c r="D13" s="339">
        <v>4</v>
      </c>
      <c r="E13" s="339">
        <v>7</v>
      </c>
      <c r="F13" s="339">
        <v>6.5</v>
      </c>
      <c r="G13" s="340">
        <v>2003911400</v>
      </c>
      <c r="H13" s="346">
        <v>39114</v>
      </c>
      <c r="I13" s="348">
        <v>75</v>
      </c>
      <c r="J13" s="341">
        <v>41</v>
      </c>
      <c r="K13" s="341">
        <v>57</v>
      </c>
      <c r="L13" s="348">
        <f t="shared" si="0"/>
        <v>98</v>
      </c>
      <c r="M13" s="341">
        <v>39</v>
      </c>
      <c r="N13" s="340" t="s">
        <v>540</v>
      </c>
      <c r="O13" s="340">
        <v>15</v>
      </c>
      <c r="P13" s="340" t="s">
        <v>541</v>
      </c>
      <c r="Q13" s="340" t="s">
        <v>0</v>
      </c>
      <c r="R13" s="340" t="s">
        <v>446</v>
      </c>
      <c r="S13" s="340" t="s">
        <v>447</v>
      </c>
      <c r="T13" s="340">
        <v>2</v>
      </c>
      <c r="U13" s="340" t="s">
        <v>0</v>
      </c>
      <c r="V13" s="340" t="s">
        <v>448</v>
      </c>
      <c r="W13" s="340" t="s">
        <v>0</v>
      </c>
      <c r="X13" s="340" t="s">
        <v>542</v>
      </c>
      <c r="Y13" s="340" t="s">
        <v>0</v>
      </c>
      <c r="Z13" s="340" t="s">
        <v>543</v>
      </c>
      <c r="AA13" s="340" t="s">
        <v>0</v>
      </c>
      <c r="AB13" s="340" t="s">
        <v>544</v>
      </c>
      <c r="AC13" s="340" t="s">
        <v>0</v>
      </c>
      <c r="AD13" s="340">
        <v>69009</v>
      </c>
      <c r="AE13" s="340" t="s">
        <v>452</v>
      </c>
      <c r="AF13" s="340" t="s">
        <v>453</v>
      </c>
      <c r="AG13" s="340" t="s">
        <v>447</v>
      </c>
      <c r="AH13" s="342">
        <v>44004</v>
      </c>
      <c r="AI13" s="340" t="s">
        <v>454</v>
      </c>
      <c r="AJ13" s="340" t="s">
        <v>455</v>
      </c>
      <c r="AK13" s="340" t="s">
        <v>456</v>
      </c>
      <c r="AL13" s="340" t="s">
        <v>457</v>
      </c>
      <c r="AM13" s="340">
        <v>6</v>
      </c>
      <c r="AN13" s="340" t="s">
        <v>458</v>
      </c>
      <c r="AO13" s="340" t="s">
        <v>459</v>
      </c>
      <c r="AP13" s="340">
        <v>3</v>
      </c>
      <c r="AQ13" s="340" t="s">
        <v>460</v>
      </c>
      <c r="AR13" s="340">
        <v>3146</v>
      </c>
      <c r="AS13" s="340" t="s">
        <v>545</v>
      </c>
      <c r="AT13" s="340">
        <v>1</v>
      </c>
      <c r="AU13" s="340" t="s">
        <v>462</v>
      </c>
      <c r="AV13" s="343">
        <v>0.375</v>
      </c>
      <c r="AW13" s="343">
        <v>0.54166666666666663</v>
      </c>
      <c r="AX13" s="340" t="s">
        <v>463</v>
      </c>
      <c r="AY13" s="340" t="s">
        <v>464</v>
      </c>
    </row>
    <row r="14" spans="1:51" x14ac:dyDescent="0.25">
      <c r="A14" s="339" t="s">
        <v>441</v>
      </c>
      <c r="B14" s="339" t="s">
        <v>442</v>
      </c>
      <c r="C14" s="339" t="s">
        <v>443</v>
      </c>
      <c r="D14" s="339">
        <v>4</v>
      </c>
      <c r="E14" s="339">
        <v>8</v>
      </c>
      <c r="F14" s="339">
        <v>6.5</v>
      </c>
      <c r="G14" s="340">
        <v>2003911500</v>
      </c>
      <c r="H14" s="346">
        <v>39115</v>
      </c>
      <c r="I14" s="348">
        <v>76</v>
      </c>
      <c r="J14" s="341">
        <v>51</v>
      </c>
      <c r="K14" s="341">
        <v>50</v>
      </c>
      <c r="L14" s="348">
        <f t="shared" si="0"/>
        <v>101</v>
      </c>
      <c r="M14" s="341">
        <v>39</v>
      </c>
      <c r="N14" s="340" t="s">
        <v>540</v>
      </c>
      <c r="O14" s="340">
        <v>59</v>
      </c>
      <c r="P14" s="340" t="s">
        <v>546</v>
      </c>
      <c r="Q14" s="340" t="s">
        <v>0</v>
      </c>
      <c r="R14" s="340" t="s">
        <v>446</v>
      </c>
      <c r="S14" s="340" t="s">
        <v>447</v>
      </c>
      <c r="T14" s="340">
        <v>2</v>
      </c>
      <c r="U14" s="340" t="s">
        <v>0</v>
      </c>
      <c r="V14" s="340" t="s">
        <v>448</v>
      </c>
      <c r="W14" s="340" t="s">
        <v>0</v>
      </c>
      <c r="X14" s="340" t="s">
        <v>547</v>
      </c>
      <c r="Y14" s="340" t="s">
        <v>0</v>
      </c>
      <c r="Z14" s="340" t="s">
        <v>548</v>
      </c>
      <c r="AA14" s="340" t="s">
        <v>0</v>
      </c>
      <c r="AB14" s="340" t="s">
        <v>549</v>
      </c>
      <c r="AC14" s="340" t="s">
        <v>0</v>
      </c>
      <c r="AD14" s="340">
        <v>69000</v>
      </c>
      <c r="AE14" s="340" t="s">
        <v>452</v>
      </c>
      <c r="AF14" s="340" t="s">
        <v>453</v>
      </c>
      <c r="AG14" s="340" t="s">
        <v>447</v>
      </c>
      <c r="AH14" s="342">
        <v>44572</v>
      </c>
      <c r="AI14" s="340" t="s">
        <v>454</v>
      </c>
      <c r="AJ14" s="340" t="s">
        <v>455</v>
      </c>
      <c r="AK14" s="340" t="s">
        <v>456</v>
      </c>
      <c r="AL14" s="340" t="s">
        <v>457</v>
      </c>
      <c r="AM14" s="340">
        <v>6</v>
      </c>
      <c r="AN14" s="340" t="s">
        <v>458</v>
      </c>
      <c r="AO14" s="340" t="s">
        <v>459</v>
      </c>
      <c r="AP14" s="340">
        <v>3</v>
      </c>
      <c r="AQ14" s="340" t="s">
        <v>460</v>
      </c>
      <c r="AR14" s="340">
        <v>3128</v>
      </c>
      <c r="AS14" s="340" t="s">
        <v>524</v>
      </c>
      <c r="AT14" s="340">
        <v>1</v>
      </c>
      <c r="AU14" s="340" t="s">
        <v>462</v>
      </c>
      <c r="AV14" s="343">
        <v>0.375</v>
      </c>
      <c r="AW14" s="343">
        <v>0.58333333333333337</v>
      </c>
      <c r="AX14" s="340" t="s">
        <v>463</v>
      </c>
      <c r="AY14" s="340" t="s">
        <v>464</v>
      </c>
    </row>
    <row r="15" spans="1:51" x14ac:dyDescent="0.25">
      <c r="A15" s="339" t="s">
        <v>441</v>
      </c>
      <c r="B15" s="339" t="s">
        <v>442</v>
      </c>
      <c r="C15" s="339" t="s">
        <v>469</v>
      </c>
      <c r="D15" s="339">
        <v>1</v>
      </c>
      <c r="E15" s="339">
        <v>3</v>
      </c>
      <c r="F15" s="339">
        <v>6.5</v>
      </c>
      <c r="G15" s="340">
        <v>2004110500</v>
      </c>
      <c r="H15" s="346">
        <v>41105</v>
      </c>
      <c r="I15" s="348">
        <v>92</v>
      </c>
      <c r="J15" s="341">
        <v>41</v>
      </c>
      <c r="K15" s="341">
        <v>77</v>
      </c>
      <c r="L15" s="348">
        <f t="shared" si="0"/>
        <v>118</v>
      </c>
      <c r="M15" s="341">
        <v>41</v>
      </c>
      <c r="N15" s="340" t="s">
        <v>552</v>
      </c>
      <c r="O15" s="340">
        <v>17</v>
      </c>
      <c r="P15" s="340" t="s">
        <v>553</v>
      </c>
      <c r="Q15" s="340" t="s">
        <v>0</v>
      </c>
      <c r="R15" s="340" t="s">
        <v>446</v>
      </c>
      <c r="S15" s="340" t="s">
        <v>447</v>
      </c>
      <c r="T15" s="340">
        <v>4</v>
      </c>
      <c r="U15" s="340" t="s">
        <v>0</v>
      </c>
      <c r="V15" s="340" t="s">
        <v>498</v>
      </c>
      <c r="W15" s="340" t="s">
        <v>0</v>
      </c>
      <c r="X15" s="340" t="s">
        <v>510</v>
      </c>
      <c r="Y15" s="340" t="s">
        <v>0</v>
      </c>
      <c r="Z15" s="340" t="s">
        <v>554</v>
      </c>
      <c r="AA15" s="340" t="s">
        <v>0</v>
      </c>
      <c r="AB15" s="340" t="s">
        <v>555</v>
      </c>
      <c r="AC15" s="340" t="s">
        <v>0</v>
      </c>
      <c r="AD15" s="340">
        <v>68500</v>
      </c>
      <c r="AE15" s="340" t="s">
        <v>452</v>
      </c>
      <c r="AF15" s="340" t="s">
        <v>453</v>
      </c>
      <c r="AG15" s="340" t="s">
        <v>447</v>
      </c>
      <c r="AH15" s="342">
        <v>37733</v>
      </c>
      <c r="AI15" s="340" t="s">
        <v>454</v>
      </c>
      <c r="AJ15" s="340" t="s">
        <v>455</v>
      </c>
      <c r="AK15" s="340" t="s">
        <v>456</v>
      </c>
      <c r="AL15" s="340" t="s">
        <v>457</v>
      </c>
      <c r="AM15" s="340">
        <v>6</v>
      </c>
      <c r="AN15" s="340" t="s">
        <v>458</v>
      </c>
      <c r="AO15" s="340" t="s">
        <v>459</v>
      </c>
      <c r="AP15" s="340">
        <v>3</v>
      </c>
      <c r="AQ15" s="340" t="s">
        <v>460</v>
      </c>
      <c r="AR15" s="340">
        <v>3154</v>
      </c>
      <c r="AS15" s="340" t="s">
        <v>529</v>
      </c>
      <c r="AT15" s="340">
        <v>1</v>
      </c>
      <c r="AU15" s="340" t="s">
        <v>462</v>
      </c>
      <c r="AV15" s="343">
        <v>0.375</v>
      </c>
      <c r="AW15" s="343">
        <v>0.58333333333333337</v>
      </c>
      <c r="AX15" s="340" t="s">
        <v>463</v>
      </c>
      <c r="AY15" s="340" t="s">
        <v>464</v>
      </c>
    </row>
    <row r="16" spans="1:51" x14ac:dyDescent="0.25">
      <c r="A16" s="339" t="s">
        <v>441</v>
      </c>
      <c r="B16" s="339" t="s">
        <v>442</v>
      </c>
      <c r="C16" s="339" t="s">
        <v>469</v>
      </c>
      <c r="D16" s="339">
        <v>1</v>
      </c>
      <c r="E16" s="339">
        <v>4</v>
      </c>
      <c r="F16" s="339">
        <v>6.5</v>
      </c>
      <c r="G16" s="340">
        <v>2004110600</v>
      </c>
      <c r="H16" s="346">
        <v>41106</v>
      </c>
      <c r="I16" s="348">
        <v>83</v>
      </c>
      <c r="J16" s="341">
        <v>49</v>
      </c>
      <c r="K16" s="341">
        <v>75</v>
      </c>
      <c r="L16" s="348">
        <f t="shared" si="0"/>
        <v>124</v>
      </c>
      <c r="M16" s="341">
        <v>41</v>
      </c>
      <c r="N16" s="340" t="s">
        <v>552</v>
      </c>
      <c r="O16" s="340">
        <v>11</v>
      </c>
      <c r="P16" s="340" t="s">
        <v>556</v>
      </c>
      <c r="Q16" s="340" t="s">
        <v>0</v>
      </c>
      <c r="R16" s="340" t="s">
        <v>446</v>
      </c>
      <c r="S16" s="340" t="s">
        <v>447</v>
      </c>
      <c r="T16" s="340">
        <v>1</v>
      </c>
      <c r="U16" s="340" t="s">
        <v>0</v>
      </c>
      <c r="V16" s="340" t="s">
        <v>511</v>
      </c>
      <c r="W16" s="340" t="s">
        <v>0</v>
      </c>
      <c r="X16" s="340" t="s">
        <v>557</v>
      </c>
      <c r="Y16" s="340" t="s">
        <v>0</v>
      </c>
      <c r="Z16" s="340" t="s">
        <v>450</v>
      </c>
      <c r="AA16" s="340" t="s">
        <v>0</v>
      </c>
      <c r="AB16" s="340" t="s">
        <v>558</v>
      </c>
      <c r="AC16" s="340" t="s">
        <v>0</v>
      </c>
      <c r="AD16" s="340">
        <v>68502</v>
      </c>
      <c r="AE16" s="340" t="s">
        <v>452</v>
      </c>
      <c r="AF16" s="340" t="s">
        <v>453</v>
      </c>
      <c r="AG16" s="340" t="s">
        <v>447</v>
      </c>
      <c r="AH16" s="342">
        <v>37799</v>
      </c>
      <c r="AI16" s="340" t="s">
        <v>454</v>
      </c>
      <c r="AJ16" s="340" t="s">
        <v>455</v>
      </c>
      <c r="AK16" s="340" t="s">
        <v>456</v>
      </c>
      <c r="AL16" s="340" t="s">
        <v>457</v>
      </c>
      <c r="AM16" s="340">
        <v>6</v>
      </c>
      <c r="AN16" s="340" t="s">
        <v>458</v>
      </c>
      <c r="AO16" s="340" t="s">
        <v>459</v>
      </c>
      <c r="AP16" s="340">
        <v>3</v>
      </c>
      <c r="AQ16" s="340" t="s">
        <v>460</v>
      </c>
      <c r="AR16" s="340">
        <v>3678</v>
      </c>
      <c r="AS16" s="340" t="s">
        <v>551</v>
      </c>
      <c r="AT16" s="340">
        <v>1</v>
      </c>
      <c r="AU16" s="340" t="s">
        <v>462</v>
      </c>
      <c r="AV16" s="343">
        <v>0.375</v>
      </c>
      <c r="AW16" s="343">
        <v>0.58333333333333337</v>
      </c>
      <c r="AX16" s="340" t="s">
        <v>463</v>
      </c>
      <c r="AY16" s="340" t="s">
        <v>464</v>
      </c>
    </row>
    <row r="17" spans="1:51" x14ac:dyDescent="0.25">
      <c r="A17" s="339" t="s">
        <v>441</v>
      </c>
      <c r="B17" s="339" t="s">
        <v>442</v>
      </c>
      <c r="C17" s="339" t="s">
        <v>443</v>
      </c>
      <c r="D17" s="339">
        <v>1</v>
      </c>
      <c r="E17" s="339">
        <v>3</v>
      </c>
      <c r="F17" s="339">
        <v>6.5</v>
      </c>
      <c r="G17" s="340">
        <v>2004110900</v>
      </c>
      <c r="H17" s="346">
        <v>41109</v>
      </c>
      <c r="I17" s="348">
        <v>38</v>
      </c>
      <c r="J17" s="341">
        <v>20</v>
      </c>
      <c r="K17" s="341">
        <v>20</v>
      </c>
      <c r="L17" s="348">
        <f t="shared" si="0"/>
        <v>40</v>
      </c>
      <c r="M17" s="341">
        <v>41</v>
      </c>
      <c r="N17" s="340" t="s">
        <v>552</v>
      </c>
      <c r="O17" s="340">
        <v>6</v>
      </c>
      <c r="P17" s="340" t="s">
        <v>559</v>
      </c>
      <c r="Q17" s="340" t="s">
        <v>0</v>
      </c>
      <c r="R17" s="340" t="s">
        <v>446</v>
      </c>
      <c r="S17" s="340" t="s">
        <v>447</v>
      </c>
      <c r="T17" s="340">
        <v>1</v>
      </c>
      <c r="U17" s="340" t="s">
        <v>0</v>
      </c>
      <c r="V17" s="340" t="s">
        <v>511</v>
      </c>
      <c r="W17" s="340" t="s">
        <v>0</v>
      </c>
      <c r="X17" s="340" t="s">
        <v>465</v>
      </c>
      <c r="Y17" s="340" t="s">
        <v>0</v>
      </c>
      <c r="Z17" s="340" t="s">
        <v>560</v>
      </c>
      <c r="AA17" s="340" t="s">
        <v>0</v>
      </c>
      <c r="AB17" s="340" t="s">
        <v>466</v>
      </c>
      <c r="AC17" s="340" t="s">
        <v>0</v>
      </c>
      <c r="AD17" s="340">
        <v>68508</v>
      </c>
      <c r="AE17" s="340" t="s">
        <v>452</v>
      </c>
      <c r="AF17" s="340" t="s">
        <v>453</v>
      </c>
      <c r="AG17" s="340" t="s">
        <v>447</v>
      </c>
      <c r="AH17" s="342">
        <v>44545</v>
      </c>
      <c r="AI17" s="340" t="s">
        <v>454</v>
      </c>
      <c r="AJ17" s="340" t="s">
        <v>455</v>
      </c>
      <c r="AK17" s="340" t="s">
        <v>456</v>
      </c>
      <c r="AL17" s="340" t="s">
        <v>457</v>
      </c>
      <c r="AM17" s="340">
        <v>6</v>
      </c>
      <c r="AN17" s="340" t="s">
        <v>458</v>
      </c>
      <c r="AO17" s="340" t="s">
        <v>459</v>
      </c>
      <c r="AP17" s="340">
        <v>3</v>
      </c>
      <c r="AQ17" s="340" t="s">
        <v>460</v>
      </c>
      <c r="AR17" s="340">
        <v>3154</v>
      </c>
      <c r="AS17" s="340" t="s">
        <v>529</v>
      </c>
      <c r="AT17" s="340">
        <v>1</v>
      </c>
      <c r="AU17" s="340" t="s">
        <v>462</v>
      </c>
      <c r="AV17" s="343">
        <v>0.375</v>
      </c>
      <c r="AW17" s="343">
        <v>0.58333333333333337</v>
      </c>
      <c r="AX17" s="340" t="s">
        <v>463</v>
      </c>
      <c r="AY17" s="340" t="s">
        <v>464</v>
      </c>
    </row>
    <row r="18" spans="1:51" x14ac:dyDescent="0.25">
      <c r="A18" s="339" t="s">
        <v>441</v>
      </c>
      <c r="B18" s="339" t="s">
        <v>442</v>
      </c>
      <c r="C18" s="339" t="s">
        <v>443</v>
      </c>
      <c r="D18" s="339">
        <v>1</v>
      </c>
      <c r="E18" s="339">
        <v>4</v>
      </c>
      <c r="F18" s="339">
        <v>6.5</v>
      </c>
      <c r="G18" s="340">
        <v>2004111000</v>
      </c>
      <c r="H18" s="346">
        <v>41110</v>
      </c>
      <c r="I18" s="348">
        <v>90</v>
      </c>
      <c r="J18" s="341">
        <v>76</v>
      </c>
      <c r="K18" s="341">
        <v>53</v>
      </c>
      <c r="L18" s="348">
        <f t="shared" si="0"/>
        <v>129</v>
      </c>
      <c r="M18" s="341">
        <v>41</v>
      </c>
      <c r="N18" s="340" t="s">
        <v>552</v>
      </c>
      <c r="O18" s="340">
        <v>57</v>
      </c>
      <c r="P18" s="340" t="s">
        <v>561</v>
      </c>
      <c r="Q18" s="340" t="s">
        <v>0</v>
      </c>
      <c r="R18" s="340" t="s">
        <v>446</v>
      </c>
      <c r="S18" s="340" t="s">
        <v>447</v>
      </c>
      <c r="T18" s="340">
        <v>2</v>
      </c>
      <c r="U18" s="340" t="s">
        <v>0</v>
      </c>
      <c r="V18" s="340" t="s">
        <v>448</v>
      </c>
      <c r="W18" s="340" t="s">
        <v>0</v>
      </c>
      <c r="X18" s="340" t="s">
        <v>562</v>
      </c>
      <c r="Y18" s="340" t="s">
        <v>0</v>
      </c>
      <c r="Z18" s="340" t="s">
        <v>563</v>
      </c>
      <c r="AA18" s="340" t="s">
        <v>0</v>
      </c>
      <c r="AB18" s="340" t="s">
        <v>564</v>
      </c>
      <c r="AC18" s="340" t="s">
        <v>0</v>
      </c>
      <c r="AD18" s="340">
        <v>68501</v>
      </c>
      <c r="AE18" s="340" t="s">
        <v>452</v>
      </c>
      <c r="AF18" s="340" t="s">
        <v>453</v>
      </c>
      <c r="AG18" s="340" t="s">
        <v>447</v>
      </c>
      <c r="AH18" s="342">
        <v>44545</v>
      </c>
      <c r="AI18" s="340" t="s">
        <v>454</v>
      </c>
      <c r="AJ18" s="340" t="s">
        <v>455</v>
      </c>
      <c r="AK18" s="340" t="s">
        <v>456</v>
      </c>
      <c r="AL18" s="340" t="s">
        <v>457</v>
      </c>
      <c r="AM18" s="340">
        <v>6</v>
      </c>
      <c r="AN18" s="340" t="s">
        <v>458</v>
      </c>
      <c r="AO18" s="340" t="s">
        <v>459</v>
      </c>
      <c r="AP18" s="340">
        <v>3</v>
      </c>
      <c r="AQ18" s="340" t="s">
        <v>460</v>
      </c>
      <c r="AR18" s="340">
        <v>3678</v>
      </c>
      <c r="AS18" s="340" t="s">
        <v>551</v>
      </c>
      <c r="AT18" s="340">
        <v>1</v>
      </c>
      <c r="AU18" s="340" t="s">
        <v>462</v>
      </c>
      <c r="AV18" s="343">
        <v>0.375</v>
      </c>
      <c r="AW18" s="343">
        <v>0.58333333333333337</v>
      </c>
      <c r="AX18" s="340" t="s">
        <v>463</v>
      </c>
      <c r="AY18" s="340" t="s">
        <v>464</v>
      </c>
    </row>
    <row r="19" spans="1:51" x14ac:dyDescent="0.25">
      <c r="A19" s="339" t="s">
        <v>441</v>
      </c>
      <c r="B19" s="339" t="s">
        <v>442</v>
      </c>
      <c r="C19" s="339" t="s">
        <v>443</v>
      </c>
      <c r="D19" s="339">
        <v>1</v>
      </c>
      <c r="E19" s="339">
        <v>4</v>
      </c>
      <c r="F19" s="339">
        <v>6.5</v>
      </c>
      <c r="G19" s="340">
        <v>2004111100</v>
      </c>
      <c r="H19" s="346">
        <v>41111</v>
      </c>
      <c r="I19" s="348">
        <v>109</v>
      </c>
      <c r="J19" s="341">
        <v>63</v>
      </c>
      <c r="K19" s="341">
        <v>74</v>
      </c>
      <c r="L19" s="348">
        <f t="shared" si="0"/>
        <v>137</v>
      </c>
      <c r="M19" s="341">
        <v>41</v>
      </c>
      <c r="N19" s="340" t="s">
        <v>552</v>
      </c>
      <c r="O19" s="340">
        <v>13</v>
      </c>
      <c r="P19" s="340" t="s">
        <v>565</v>
      </c>
      <c r="Q19" s="340" t="s">
        <v>0</v>
      </c>
      <c r="R19" s="340" t="s">
        <v>446</v>
      </c>
      <c r="S19" s="340" t="s">
        <v>447</v>
      </c>
      <c r="T19" s="340">
        <v>2</v>
      </c>
      <c r="U19" s="340" t="s">
        <v>0</v>
      </c>
      <c r="V19" s="340" t="s">
        <v>448</v>
      </c>
      <c r="W19" s="340" t="s">
        <v>0</v>
      </c>
      <c r="X19" s="340" t="s">
        <v>566</v>
      </c>
      <c r="Y19" s="340" t="s">
        <v>0</v>
      </c>
      <c r="Z19" s="340" t="s">
        <v>567</v>
      </c>
      <c r="AA19" s="340" t="s">
        <v>0</v>
      </c>
      <c r="AB19" s="340" t="s">
        <v>568</v>
      </c>
      <c r="AC19" s="340" t="s">
        <v>0</v>
      </c>
      <c r="AD19" s="340">
        <v>68503</v>
      </c>
      <c r="AE19" s="340" t="s">
        <v>452</v>
      </c>
      <c r="AF19" s="340" t="s">
        <v>453</v>
      </c>
      <c r="AG19" s="340" t="s">
        <v>447</v>
      </c>
      <c r="AH19" s="342">
        <v>44788</v>
      </c>
      <c r="AI19" s="340" t="s">
        <v>454</v>
      </c>
      <c r="AJ19" s="340" t="s">
        <v>455</v>
      </c>
      <c r="AK19" s="340" t="s">
        <v>456</v>
      </c>
      <c r="AL19" s="340" t="s">
        <v>457</v>
      </c>
      <c r="AM19" s="340">
        <v>6</v>
      </c>
      <c r="AN19" s="340" t="s">
        <v>458</v>
      </c>
      <c r="AO19" s="340" t="s">
        <v>459</v>
      </c>
      <c r="AP19" s="340">
        <v>3</v>
      </c>
      <c r="AQ19" s="340" t="s">
        <v>460</v>
      </c>
      <c r="AR19" s="340">
        <v>3678</v>
      </c>
      <c r="AS19" s="340" t="s">
        <v>551</v>
      </c>
      <c r="AT19" s="340">
        <v>1</v>
      </c>
      <c r="AU19" s="340" t="s">
        <v>462</v>
      </c>
      <c r="AV19" s="343">
        <v>0.375</v>
      </c>
      <c r="AW19" s="343">
        <v>0.58333333333333337</v>
      </c>
      <c r="AX19" s="340" t="s">
        <v>463</v>
      </c>
      <c r="AY19" s="340" t="s">
        <v>464</v>
      </c>
    </row>
    <row r="20" spans="1:51" x14ac:dyDescent="0.25">
      <c r="A20" s="339" t="s">
        <v>441</v>
      </c>
      <c r="B20" s="339" t="s">
        <v>442</v>
      </c>
      <c r="C20" s="339" t="s">
        <v>443</v>
      </c>
      <c r="D20" s="339">
        <v>1</v>
      </c>
      <c r="E20" s="339">
        <v>3</v>
      </c>
      <c r="F20" s="339">
        <v>6.5</v>
      </c>
      <c r="G20" s="340">
        <v>2004111200</v>
      </c>
      <c r="H20" s="346">
        <v>41112</v>
      </c>
      <c r="I20" s="348">
        <v>68</v>
      </c>
      <c r="J20" s="341">
        <v>30</v>
      </c>
      <c r="K20" s="341">
        <v>52</v>
      </c>
      <c r="L20" s="348">
        <f t="shared" si="0"/>
        <v>82</v>
      </c>
      <c r="M20" s="341">
        <v>41</v>
      </c>
      <c r="N20" s="340" t="s">
        <v>552</v>
      </c>
      <c r="O20" s="340">
        <v>9</v>
      </c>
      <c r="P20" s="340" t="s">
        <v>569</v>
      </c>
      <c r="Q20" s="340" t="s">
        <v>0</v>
      </c>
      <c r="R20" s="340" t="s">
        <v>446</v>
      </c>
      <c r="S20" s="340" t="s">
        <v>447</v>
      </c>
      <c r="T20" s="340">
        <v>2</v>
      </c>
      <c r="U20" s="340" t="s">
        <v>0</v>
      </c>
      <c r="V20" s="340" t="s">
        <v>448</v>
      </c>
      <c r="W20" s="340" t="s">
        <v>0</v>
      </c>
      <c r="X20" s="340" t="s">
        <v>515</v>
      </c>
      <c r="Y20" s="340" t="s">
        <v>0</v>
      </c>
      <c r="Z20" s="340" t="s">
        <v>570</v>
      </c>
      <c r="AA20" s="340" t="s">
        <v>0</v>
      </c>
      <c r="AB20" s="340" t="s">
        <v>571</v>
      </c>
      <c r="AC20" s="340" t="s">
        <v>0</v>
      </c>
      <c r="AD20" s="340">
        <v>68508</v>
      </c>
      <c r="AE20" s="340" t="s">
        <v>452</v>
      </c>
      <c r="AF20" s="340" t="s">
        <v>453</v>
      </c>
      <c r="AG20" s="340" t="s">
        <v>447</v>
      </c>
      <c r="AH20" s="342">
        <v>46035</v>
      </c>
      <c r="AI20" s="340" t="s">
        <v>454</v>
      </c>
      <c r="AJ20" s="340" t="s">
        <v>455</v>
      </c>
      <c r="AK20" s="340" t="s">
        <v>456</v>
      </c>
      <c r="AL20" s="340" t="s">
        <v>457</v>
      </c>
      <c r="AM20" s="340">
        <v>6</v>
      </c>
      <c r="AN20" s="340" t="s">
        <v>458</v>
      </c>
      <c r="AO20" s="340" t="s">
        <v>459</v>
      </c>
      <c r="AP20" s="340">
        <v>3</v>
      </c>
      <c r="AQ20" s="340" t="s">
        <v>460</v>
      </c>
      <c r="AR20" s="340">
        <v>3154</v>
      </c>
      <c r="AS20" s="340" t="s">
        <v>529</v>
      </c>
      <c r="AT20" s="340">
        <v>209027</v>
      </c>
      <c r="AU20" s="340" t="s">
        <v>572</v>
      </c>
      <c r="AV20" s="343">
        <v>0.375</v>
      </c>
      <c r="AW20" s="343">
        <v>0.58333333333333337</v>
      </c>
      <c r="AX20" s="340" t="s">
        <v>463</v>
      </c>
      <c r="AY20" s="340" t="s">
        <v>464</v>
      </c>
    </row>
    <row r="21" spans="1:51" x14ac:dyDescent="0.25">
      <c r="A21" s="339" t="s">
        <v>441</v>
      </c>
      <c r="B21" s="339" t="s">
        <v>442</v>
      </c>
      <c r="C21" s="339" t="s">
        <v>443</v>
      </c>
      <c r="D21" s="339">
        <v>6</v>
      </c>
      <c r="E21" s="339">
        <v>1</v>
      </c>
      <c r="F21" s="339">
        <v>6.5</v>
      </c>
      <c r="G21" s="340">
        <v>2004210100</v>
      </c>
      <c r="H21" s="346">
        <v>42101</v>
      </c>
      <c r="I21" s="348">
        <v>137</v>
      </c>
      <c r="J21" s="341">
        <v>93</v>
      </c>
      <c r="K21" s="341">
        <v>108</v>
      </c>
      <c r="L21" s="348">
        <f t="shared" ref="L21:L42" si="1">J21+K21</f>
        <v>201</v>
      </c>
      <c r="M21" s="341">
        <v>42</v>
      </c>
      <c r="N21" s="340" t="s">
        <v>573</v>
      </c>
      <c r="O21" s="340">
        <v>1</v>
      </c>
      <c r="P21" s="340" t="s">
        <v>574</v>
      </c>
      <c r="Q21" s="340" t="s">
        <v>0</v>
      </c>
      <c r="R21" s="340" t="s">
        <v>446</v>
      </c>
      <c r="S21" s="340" t="s">
        <v>447</v>
      </c>
      <c r="T21" s="340">
        <v>4</v>
      </c>
      <c r="U21" s="340" t="s">
        <v>0</v>
      </c>
      <c r="V21" s="340" t="s">
        <v>498</v>
      </c>
      <c r="W21" s="340" t="s">
        <v>0</v>
      </c>
      <c r="X21" s="340" t="s">
        <v>575</v>
      </c>
      <c r="Y21" s="340" t="s">
        <v>0</v>
      </c>
      <c r="Z21" s="340" t="s">
        <v>576</v>
      </c>
      <c r="AA21" s="340" t="s">
        <v>0</v>
      </c>
      <c r="AB21" s="340" t="s">
        <v>577</v>
      </c>
      <c r="AC21" s="340" t="s">
        <v>0</v>
      </c>
      <c r="AD21" s="340">
        <v>68725</v>
      </c>
      <c r="AE21" s="340" t="s">
        <v>452</v>
      </c>
      <c r="AF21" s="340" t="s">
        <v>453</v>
      </c>
      <c r="AG21" s="340" t="s">
        <v>447</v>
      </c>
      <c r="AH21" s="342">
        <v>43815</v>
      </c>
      <c r="AI21" s="340" t="s">
        <v>454</v>
      </c>
      <c r="AJ21" s="340" t="s">
        <v>455</v>
      </c>
      <c r="AK21" s="340" t="s">
        <v>456</v>
      </c>
      <c r="AL21" s="340" t="s">
        <v>457</v>
      </c>
      <c r="AM21" s="340">
        <v>6</v>
      </c>
      <c r="AN21" s="340" t="s">
        <v>458</v>
      </c>
      <c r="AO21" s="340" t="s">
        <v>459</v>
      </c>
      <c r="AP21" s="340">
        <v>3</v>
      </c>
      <c r="AQ21" s="340" t="s">
        <v>460</v>
      </c>
      <c r="AR21" s="340">
        <v>3032</v>
      </c>
      <c r="AS21" s="340" t="s">
        <v>578</v>
      </c>
      <c r="AT21" s="340">
        <v>1</v>
      </c>
      <c r="AU21" s="340" t="s">
        <v>462</v>
      </c>
      <c r="AV21" s="343">
        <v>0.375</v>
      </c>
      <c r="AW21" s="343">
        <v>0.5</v>
      </c>
      <c r="AX21" s="340" t="s">
        <v>463</v>
      </c>
      <c r="AY21" s="340" t="s">
        <v>464</v>
      </c>
    </row>
    <row r="22" spans="1:51" x14ac:dyDescent="0.25">
      <c r="A22" s="339" t="s">
        <v>441</v>
      </c>
      <c r="B22" s="339" t="s">
        <v>442</v>
      </c>
      <c r="C22" s="339" t="s">
        <v>443</v>
      </c>
      <c r="D22" s="339">
        <v>6</v>
      </c>
      <c r="E22" s="339">
        <v>1</v>
      </c>
      <c r="F22" s="339">
        <v>6.5</v>
      </c>
      <c r="G22" s="340">
        <v>2004210200</v>
      </c>
      <c r="H22" s="346">
        <v>42102</v>
      </c>
      <c r="I22" s="348">
        <v>82</v>
      </c>
      <c r="J22" s="341">
        <v>61</v>
      </c>
      <c r="K22" s="341">
        <v>42</v>
      </c>
      <c r="L22" s="348">
        <f t="shared" si="1"/>
        <v>103</v>
      </c>
      <c r="M22" s="341">
        <v>42</v>
      </c>
      <c r="N22" s="340" t="s">
        <v>573</v>
      </c>
      <c r="O22" s="340">
        <v>7</v>
      </c>
      <c r="P22" s="340" t="s">
        <v>579</v>
      </c>
      <c r="Q22" s="340" t="s">
        <v>0</v>
      </c>
      <c r="R22" s="340" t="s">
        <v>446</v>
      </c>
      <c r="S22" s="340" t="s">
        <v>447</v>
      </c>
      <c r="T22" s="340">
        <v>1</v>
      </c>
      <c r="U22" s="340" t="s">
        <v>0</v>
      </c>
      <c r="V22" s="340" t="s">
        <v>511</v>
      </c>
      <c r="W22" s="340" t="s">
        <v>0</v>
      </c>
      <c r="X22" s="340" t="s">
        <v>465</v>
      </c>
      <c r="Y22" s="340" t="s">
        <v>0</v>
      </c>
      <c r="Z22" s="340" t="s">
        <v>580</v>
      </c>
      <c r="AA22" s="340" t="s">
        <v>0</v>
      </c>
      <c r="AB22" s="340" t="s">
        <v>581</v>
      </c>
      <c r="AC22" s="340" t="s">
        <v>0</v>
      </c>
      <c r="AD22" s="340">
        <v>68727</v>
      </c>
      <c r="AE22" s="340" t="s">
        <v>452</v>
      </c>
      <c r="AF22" s="340" t="s">
        <v>453</v>
      </c>
      <c r="AG22" s="340" t="s">
        <v>447</v>
      </c>
      <c r="AH22" s="342">
        <v>45959</v>
      </c>
      <c r="AI22" s="340" t="s">
        <v>454</v>
      </c>
      <c r="AJ22" s="340" t="s">
        <v>455</v>
      </c>
      <c r="AK22" s="340" t="s">
        <v>456</v>
      </c>
      <c r="AL22" s="340" t="s">
        <v>457</v>
      </c>
      <c r="AM22" s="340">
        <v>6</v>
      </c>
      <c r="AN22" s="340" t="s">
        <v>458</v>
      </c>
      <c r="AO22" s="340" t="s">
        <v>459</v>
      </c>
      <c r="AP22" s="340">
        <v>3</v>
      </c>
      <c r="AQ22" s="340" t="s">
        <v>460</v>
      </c>
      <c r="AR22" s="340">
        <v>3032</v>
      </c>
      <c r="AS22" s="340" t="s">
        <v>578</v>
      </c>
      <c r="AT22" s="340">
        <v>209181</v>
      </c>
      <c r="AU22" s="340" t="s">
        <v>582</v>
      </c>
      <c r="AV22" s="343">
        <v>0.375</v>
      </c>
      <c r="AW22" s="343">
        <v>0.58333333333333337</v>
      </c>
      <c r="AX22" s="340" t="s">
        <v>463</v>
      </c>
      <c r="AY22" s="340" t="s">
        <v>464</v>
      </c>
    </row>
    <row r="23" spans="1:51" x14ac:dyDescent="0.25">
      <c r="A23" s="339" t="s">
        <v>441</v>
      </c>
      <c r="B23" s="339" t="s">
        <v>442</v>
      </c>
      <c r="C23" s="339" t="s">
        <v>443</v>
      </c>
      <c r="D23" s="339">
        <v>3</v>
      </c>
      <c r="E23" s="339">
        <v>5</v>
      </c>
      <c r="F23" s="339">
        <v>6.5</v>
      </c>
      <c r="G23" s="340">
        <v>2004311100</v>
      </c>
      <c r="H23" s="346">
        <v>43111</v>
      </c>
      <c r="I23" s="348">
        <v>40</v>
      </c>
      <c r="J23" s="341">
        <v>16</v>
      </c>
      <c r="K23" s="341">
        <v>37</v>
      </c>
      <c r="L23" s="348">
        <f t="shared" si="1"/>
        <v>53</v>
      </c>
      <c r="M23" s="341">
        <v>43</v>
      </c>
      <c r="N23" s="340" t="s">
        <v>583</v>
      </c>
      <c r="O23" s="340">
        <v>5</v>
      </c>
      <c r="P23" s="340" t="s">
        <v>584</v>
      </c>
      <c r="Q23" s="340" t="s">
        <v>0</v>
      </c>
      <c r="R23" s="340" t="s">
        <v>446</v>
      </c>
      <c r="S23" s="340" t="s">
        <v>447</v>
      </c>
      <c r="T23" s="340">
        <v>3</v>
      </c>
      <c r="U23" s="340" t="s">
        <v>0</v>
      </c>
      <c r="V23" s="340" t="s">
        <v>472</v>
      </c>
      <c r="W23" s="340" t="s">
        <v>0</v>
      </c>
      <c r="X23" s="340" t="s">
        <v>585</v>
      </c>
      <c r="Y23" s="340" t="s">
        <v>0</v>
      </c>
      <c r="Z23" s="340" t="s">
        <v>586</v>
      </c>
      <c r="AA23" s="340" t="s">
        <v>0</v>
      </c>
      <c r="AB23" s="340" t="s">
        <v>587</v>
      </c>
      <c r="AC23" s="340" t="s">
        <v>0</v>
      </c>
      <c r="AD23" s="340">
        <v>70104</v>
      </c>
      <c r="AE23" s="340" t="s">
        <v>452</v>
      </c>
      <c r="AF23" s="340" t="s">
        <v>453</v>
      </c>
      <c r="AG23" s="340" t="s">
        <v>447</v>
      </c>
      <c r="AH23" s="342">
        <v>44909</v>
      </c>
      <c r="AI23" s="340" t="s">
        <v>454</v>
      </c>
      <c r="AJ23" s="340" t="s">
        <v>455</v>
      </c>
      <c r="AK23" s="340" t="s">
        <v>456</v>
      </c>
      <c r="AL23" s="340" t="s">
        <v>457</v>
      </c>
      <c r="AM23" s="340">
        <v>6</v>
      </c>
      <c r="AN23" s="340" t="s">
        <v>458</v>
      </c>
      <c r="AO23" s="340" t="s">
        <v>459</v>
      </c>
      <c r="AP23" s="340">
        <v>3</v>
      </c>
      <c r="AQ23" s="340" t="s">
        <v>460</v>
      </c>
      <c r="AR23" s="340">
        <v>3152</v>
      </c>
      <c r="AS23" s="340" t="s">
        <v>588</v>
      </c>
      <c r="AT23" s="340">
        <v>1</v>
      </c>
      <c r="AU23" s="340" t="s">
        <v>462</v>
      </c>
      <c r="AV23" s="343">
        <v>0.375</v>
      </c>
      <c r="AW23" s="343">
        <v>0.58333333333333337</v>
      </c>
      <c r="AX23" s="340" t="s">
        <v>463</v>
      </c>
      <c r="AY23" s="340" t="s">
        <v>464</v>
      </c>
    </row>
    <row r="24" spans="1:51" x14ac:dyDescent="0.25">
      <c r="A24" s="339" t="s">
        <v>441</v>
      </c>
      <c r="B24" s="339" t="s">
        <v>442</v>
      </c>
      <c r="C24" s="339" t="s">
        <v>469</v>
      </c>
      <c r="D24" s="339">
        <v>3</v>
      </c>
      <c r="E24" s="339">
        <v>1</v>
      </c>
      <c r="F24" s="339">
        <v>6.5</v>
      </c>
      <c r="G24" s="340">
        <v>2005210100</v>
      </c>
      <c r="H24" s="346">
        <v>52101</v>
      </c>
      <c r="I24" s="348">
        <v>223</v>
      </c>
      <c r="J24" s="341">
        <v>99</v>
      </c>
      <c r="K24" s="341">
        <v>200</v>
      </c>
      <c r="L24" s="348">
        <f t="shared" si="1"/>
        <v>299</v>
      </c>
      <c r="M24" s="341">
        <v>52</v>
      </c>
      <c r="N24" s="340" t="s">
        <v>592</v>
      </c>
      <c r="O24" s="340">
        <v>1</v>
      </c>
      <c r="P24" s="340" t="s">
        <v>593</v>
      </c>
      <c r="Q24" s="340" t="s">
        <v>0</v>
      </c>
      <c r="R24" s="340" t="s">
        <v>446</v>
      </c>
      <c r="S24" s="340" t="s">
        <v>447</v>
      </c>
      <c r="T24" s="340">
        <v>3</v>
      </c>
      <c r="U24" s="340" t="s">
        <v>0</v>
      </c>
      <c r="V24" s="340" t="s">
        <v>472</v>
      </c>
      <c r="W24" s="340" t="s">
        <v>0</v>
      </c>
      <c r="X24" s="340" t="s">
        <v>594</v>
      </c>
      <c r="Y24" s="340" t="s">
        <v>0</v>
      </c>
      <c r="Z24" s="340" t="s">
        <v>450</v>
      </c>
      <c r="AA24" s="340" t="s">
        <v>0</v>
      </c>
      <c r="AB24" s="340" t="s">
        <v>595</v>
      </c>
      <c r="AC24" s="340" t="s">
        <v>0</v>
      </c>
      <c r="AD24" s="340">
        <v>70740</v>
      </c>
      <c r="AE24" s="340" t="s">
        <v>452</v>
      </c>
      <c r="AF24" s="340" t="s">
        <v>453</v>
      </c>
      <c r="AG24" s="340" t="s">
        <v>447</v>
      </c>
      <c r="AH24" s="342">
        <v>36839</v>
      </c>
      <c r="AI24" s="340" t="s">
        <v>454</v>
      </c>
      <c r="AJ24" s="340" t="s">
        <v>455</v>
      </c>
      <c r="AK24" s="340" t="s">
        <v>456</v>
      </c>
      <c r="AL24" s="340" t="s">
        <v>457</v>
      </c>
      <c r="AM24" s="340">
        <v>6</v>
      </c>
      <c r="AN24" s="340" t="s">
        <v>458</v>
      </c>
      <c r="AO24" s="340" t="s">
        <v>459</v>
      </c>
      <c r="AP24" s="340">
        <v>3</v>
      </c>
      <c r="AQ24" s="340" t="s">
        <v>460</v>
      </c>
      <c r="AR24" s="340">
        <v>3198</v>
      </c>
      <c r="AS24" s="340" t="s">
        <v>596</v>
      </c>
      <c r="AT24" s="340">
        <v>1</v>
      </c>
      <c r="AU24" s="340" t="s">
        <v>462</v>
      </c>
      <c r="AV24" s="343">
        <v>0.375</v>
      </c>
      <c r="AW24" s="343">
        <v>0.54166666666666663</v>
      </c>
      <c r="AX24" s="340" t="s">
        <v>463</v>
      </c>
      <c r="AY24" s="340" t="s">
        <v>464</v>
      </c>
    </row>
    <row r="25" spans="1:51" x14ac:dyDescent="0.25">
      <c r="A25" s="339" t="s">
        <v>441</v>
      </c>
      <c r="B25" s="339" t="s">
        <v>442</v>
      </c>
      <c r="C25" s="339" t="s">
        <v>443</v>
      </c>
      <c r="D25" s="339">
        <v>3</v>
      </c>
      <c r="E25" s="339">
        <v>1</v>
      </c>
      <c r="F25" s="339">
        <v>6.5</v>
      </c>
      <c r="G25" s="340">
        <v>2005210400</v>
      </c>
      <c r="H25" s="346">
        <v>52104</v>
      </c>
      <c r="I25" s="348">
        <v>31</v>
      </c>
      <c r="J25" s="341">
        <v>18</v>
      </c>
      <c r="K25" s="341">
        <v>27</v>
      </c>
      <c r="L25" s="348">
        <f t="shared" si="1"/>
        <v>45</v>
      </c>
      <c r="M25" s="341">
        <v>52</v>
      </c>
      <c r="N25" s="340" t="s">
        <v>592</v>
      </c>
      <c r="O25" s="340">
        <v>12</v>
      </c>
      <c r="P25" s="340" t="s">
        <v>597</v>
      </c>
      <c r="Q25" s="340" t="s">
        <v>0</v>
      </c>
      <c r="R25" s="340" t="s">
        <v>446</v>
      </c>
      <c r="S25" s="340" t="s">
        <v>447</v>
      </c>
      <c r="T25" s="340">
        <v>2</v>
      </c>
      <c r="U25" s="340" t="s">
        <v>0</v>
      </c>
      <c r="V25" s="340" t="s">
        <v>448</v>
      </c>
      <c r="W25" s="340" t="s">
        <v>0</v>
      </c>
      <c r="X25" s="340" t="s">
        <v>598</v>
      </c>
      <c r="Y25" s="340" t="s">
        <v>0</v>
      </c>
      <c r="Z25" s="340" t="s">
        <v>599</v>
      </c>
      <c r="AA25" s="340" t="s">
        <v>0</v>
      </c>
      <c r="AB25" s="340" t="s">
        <v>466</v>
      </c>
      <c r="AC25" s="340" t="s">
        <v>0</v>
      </c>
      <c r="AD25" s="340">
        <v>70740</v>
      </c>
      <c r="AE25" s="340" t="s">
        <v>452</v>
      </c>
      <c r="AF25" s="340" t="s">
        <v>453</v>
      </c>
      <c r="AG25" s="340" t="s">
        <v>447</v>
      </c>
      <c r="AH25" s="342">
        <v>43951</v>
      </c>
      <c r="AI25" s="340" t="s">
        <v>454</v>
      </c>
      <c r="AJ25" s="340" t="s">
        <v>455</v>
      </c>
      <c r="AK25" s="340" t="s">
        <v>456</v>
      </c>
      <c r="AL25" s="340" t="s">
        <v>457</v>
      </c>
      <c r="AM25" s="340">
        <v>6</v>
      </c>
      <c r="AN25" s="340" t="s">
        <v>458</v>
      </c>
      <c r="AO25" s="340" t="s">
        <v>459</v>
      </c>
      <c r="AP25" s="340">
        <v>3</v>
      </c>
      <c r="AQ25" s="340" t="s">
        <v>460</v>
      </c>
      <c r="AR25" s="340">
        <v>3198</v>
      </c>
      <c r="AS25" s="340" t="s">
        <v>596</v>
      </c>
      <c r="AT25" s="340">
        <v>1</v>
      </c>
      <c r="AU25" s="340" t="s">
        <v>462</v>
      </c>
      <c r="AV25" s="343">
        <v>0.375</v>
      </c>
      <c r="AW25" s="343">
        <v>0.54166666666666663</v>
      </c>
      <c r="AX25" s="340" t="s">
        <v>463</v>
      </c>
      <c r="AY25" s="340" t="s">
        <v>464</v>
      </c>
    </row>
    <row r="26" spans="1:51" x14ac:dyDescent="0.25">
      <c r="A26" s="339" t="s">
        <v>441</v>
      </c>
      <c r="B26" s="339" t="s">
        <v>442</v>
      </c>
      <c r="C26" s="339" t="s">
        <v>443</v>
      </c>
      <c r="D26" s="339">
        <v>3</v>
      </c>
      <c r="E26" s="339">
        <v>3</v>
      </c>
      <c r="F26" s="339">
        <v>6.5</v>
      </c>
      <c r="G26" s="340">
        <v>2005310200</v>
      </c>
      <c r="H26" s="346">
        <v>53102</v>
      </c>
      <c r="I26" s="348">
        <v>25</v>
      </c>
      <c r="J26" s="341">
        <v>13</v>
      </c>
      <c r="K26" s="341">
        <v>30</v>
      </c>
      <c r="L26" s="348">
        <f t="shared" si="1"/>
        <v>43</v>
      </c>
      <c r="M26" s="341">
        <v>53</v>
      </c>
      <c r="N26" s="340" t="s">
        <v>600</v>
      </c>
      <c r="O26" s="340">
        <v>1</v>
      </c>
      <c r="P26" s="340" t="s">
        <v>600</v>
      </c>
      <c r="Q26" s="340" t="s">
        <v>0</v>
      </c>
      <c r="R26" s="340" t="s">
        <v>446</v>
      </c>
      <c r="S26" s="340" t="s">
        <v>447</v>
      </c>
      <c r="T26" s="340">
        <v>2</v>
      </c>
      <c r="U26" s="340" t="s">
        <v>0</v>
      </c>
      <c r="V26" s="340" t="s">
        <v>448</v>
      </c>
      <c r="W26" s="340" t="s">
        <v>0</v>
      </c>
      <c r="X26" s="340" t="s">
        <v>601</v>
      </c>
      <c r="Y26" s="340" t="s">
        <v>0</v>
      </c>
      <c r="Z26" s="340" t="s">
        <v>602</v>
      </c>
      <c r="AA26" s="340" t="s">
        <v>0</v>
      </c>
      <c r="AB26" s="340" t="s">
        <v>603</v>
      </c>
      <c r="AC26" s="340" t="s">
        <v>0</v>
      </c>
      <c r="AD26" s="340">
        <v>70746</v>
      </c>
      <c r="AE26" s="340" t="s">
        <v>452</v>
      </c>
      <c r="AF26" s="340" t="s">
        <v>453</v>
      </c>
      <c r="AG26" s="340" t="s">
        <v>447</v>
      </c>
      <c r="AH26" s="342">
        <v>44952</v>
      </c>
      <c r="AI26" s="340" t="s">
        <v>454</v>
      </c>
      <c r="AJ26" s="340" t="s">
        <v>455</v>
      </c>
      <c r="AK26" s="340" t="s">
        <v>456</v>
      </c>
      <c r="AL26" s="340" t="s">
        <v>457</v>
      </c>
      <c r="AM26" s="340">
        <v>6</v>
      </c>
      <c r="AN26" s="340" t="s">
        <v>458</v>
      </c>
      <c r="AO26" s="340" t="s">
        <v>459</v>
      </c>
      <c r="AP26" s="340">
        <v>3</v>
      </c>
      <c r="AQ26" s="340" t="s">
        <v>460</v>
      </c>
      <c r="AR26" s="340">
        <v>3148</v>
      </c>
      <c r="AS26" s="340" t="s">
        <v>484</v>
      </c>
      <c r="AT26" s="340">
        <v>1</v>
      </c>
      <c r="AU26" s="340" t="s">
        <v>462</v>
      </c>
      <c r="AV26" s="343">
        <v>0.375</v>
      </c>
      <c r="AW26" s="343">
        <v>0.58333333333333337</v>
      </c>
      <c r="AX26" s="340" t="s">
        <v>463</v>
      </c>
      <c r="AY26" s="340" t="s">
        <v>464</v>
      </c>
    </row>
    <row r="27" spans="1:51" x14ac:dyDescent="0.25">
      <c r="A27" s="339" t="s">
        <v>441</v>
      </c>
      <c r="B27" s="339" t="s">
        <v>442</v>
      </c>
      <c r="C27" s="339" t="s">
        <v>469</v>
      </c>
      <c r="D27" s="339">
        <v>4</v>
      </c>
      <c r="E27" s="339">
        <v>9</v>
      </c>
      <c r="F27" s="339">
        <v>6.5</v>
      </c>
      <c r="G27" s="340">
        <v>2005510100</v>
      </c>
      <c r="H27" s="346">
        <v>55101</v>
      </c>
      <c r="I27" s="348">
        <v>140</v>
      </c>
      <c r="J27" s="341">
        <v>74</v>
      </c>
      <c r="K27" s="341">
        <v>133</v>
      </c>
      <c r="L27" s="348">
        <f t="shared" si="1"/>
        <v>207</v>
      </c>
      <c r="M27" s="341">
        <v>55</v>
      </c>
      <c r="N27" s="340" t="s">
        <v>604</v>
      </c>
      <c r="O27" s="340">
        <v>1</v>
      </c>
      <c r="P27" s="340" t="s">
        <v>605</v>
      </c>
      <c r="Q27" s="340" t="s">
        <v>0</v>
      </c>
      <c r="R27" s="340" t="s">
        <v>446</v>
      </c>
      <c r="S27" s="340" t="s">
        <v>447</v>
      </c>
      <c r="T27" s="340">
        <v>3</v>
      </c>
      <c r="U27" s="340" t="s">
        <v>0</v>
      </c>
      <c r="V27" s="340" t="s">
        <v>472</v>
      </c>
      <c r="W27" s="340" t="s">
        <v>0</v>
      </c>
      <c r="X27" s="340" t="s">
        <v>606</v>
      </c>
      <c r="Y27" s="340" t="s">
        <v>0</v>
      </c>
      <c r="Z27" s="340" t="s">
        <v>450</v>
      </c>
      <c r="AA27" s="340" t="s">
        <v>0</v>
      </c>
      <c r="AB27" s="340" t="s">
        <v>607</v>
      </c>
      <c r="AC27" s="340" t="s">
        <v>0</v>
      </c>
      <c r="AD27" s="340">
        <v>69250</v>
      </c>
      <c r="AE27" s="340" t="s">
        <v>452</v>
      </c>
      <c r="AF27" s="340" t="s">
        <v>453</v>
      </c>
      <c r="AG27" s="340" t="s">
        <v>447</v>
      </c>
      <c r="AH27" s="342">
        <v>40416</v>
      </c>
      <c r="AI27" s="340" t="s">
        <v>454</v>
      </c>
      <c r="AJ27" s="340" t="s">
        <v>455</v>
      </c>
      <c r="AK27" s="340" t="s">
        <v>456</v>
      </c>
      <c r="AL27" s="340" t="s">
        <v>457</v>
      </c>
      <c r="AM27" s="340">
        <v>6</v>
      </c>
      <c r="AN27" s="340" t="s">
        <v>458</v>
      </c>
      <c r="AO27" s="340" t="s">
        <v>459</v>
      </c>
      <c r="AP27" s="340">
        <v>3</v>
      </c>
      <c r="AQ27" s="340" t="s">
        <v>460</v>
      </c>
      <c r="AR27" s="340">
        <v>3142</v>
      </c>
      <c r="AS27" s="340" t="s">
        <v>507</v>
      </c>
      <c r="AT27" s="340">
        <v>1</v>
      </c>
      <c r="AU27" s="340" t="s">
        <v>462</v>
      </c>
      <c r="AV27" s="340" t="s">
        <v>447</v>
      </c>
      <c r="AW27" s="340" t="s">
        <v>447</v>
      </c>
      <c r="AX27" s="340" t="s">
        <v>463</v>
      </c>
      <c r="AY27" s="340" t="s">
        <v>464</v>
      </c>
    </row>
    <row r="28" spans="1:51" x14ac:dyDescent="0.25">
      <c r="A28" s="339" t="s">
        <v>441</v>
      </c>
      <c r="B28" s="339" t="s">
        <v>442</v>
      </c>
      <c r="C28" s="339" t="s">
        <v>443</v>
      </c>
      <c r="D28" s="339">
        <v>4</v>
      </c>
      <c r="E28" s="339">
        <v>9</v>
      </c>
      <c r="F28" s="339">
        <v>6.5</v>
      </c>
      <c r="G28" s="340">
        <v>2005510200</v>
      </c>
      <c r="H28" s="346">
        <v>55102</v>
      </c>
      <c r="I28" s="348">
        <v>51</v>
      </c>
      <c r="J28" s="341">
        <v>36</v>
      </c>
      <c r="K28" s="341">
        <v>43</v>
      </c>
      <c r="L28" s="348">
        <f t="shared" si="1"/>
        <v>79</v>
      </c>
      <c r="M28" s="341">
        <v>55</v>
      </c>
      <c r="N28" s="340" t="s">
        <v>604</v>
      </c>
      <c r="O28" s="340">
        <v>6</v>
      </c>
      <c r="P28" s="340" t="s">
        <v>608</v>
      </c>
      <c r="Q28" s="340" t="s">
        <v>0</v>
      </c>
      <c r="R28" s="340" t="s">
        <v>446</v>
      </c>
      <c r="S28" s="340" t="s">
        <v>447</v>
      </c>
      <c r="T28" s="340">
        <v>2</v>
      </c>
      <c r="U28" s="340" t="s">
        <v>0</v>
      </c>
      <c r="V28" s="340" t="s">
        <v>448</v>
      </c>
      <c r="W28" s="340" t="s">
        <v>0</v>
      </c>
      <c r="X28" s="340" t="s">
        <v>499</v>
      </c>
      <c r="Y28" s="340" t="s">
        <v>0</v>
      </c>
      <c r="Z28" s="340" t="s">
        <v>609</v>
      </c>
      <c r="AA28" s="340" t="s">
        <v>0</v>
      </c>
      <c r="AB28" s="340" t="s">
        <v>610</v>
      </c>
      <c r="AC28" s="340" t="s">
        <v>0</v>
      </c>
      <c r="AD28" s="340">
        <v>69254</v>
      </c>
      <c r="AE28" s="340" t="s">
        <v>452</v>
      </c>
      <c r="AF28" s="340" t="s">
        <v>453</v>
      </c>
      <c r="AG28" s="340" t="s">
        <v>447</v>
      </c>
      <c r="AH28" s="342">
        <v>45337</v>
      </c>
      <c r="AI28" s="340" t="s">
        <v>454</v>
      </c>
      <c r="AJ28" s="340" t="s">
        <v>455</v>
      </c>
      <c r="AK28" s="340" t="s">
        <v>456</v>
      </c>
      <c r="AL28" s="340" t="s">
        <v>457</v>
      </c>
      <c r="AM28" s="340">
        <v>6</v>
      </c>
      <c r="AN28" s="340" t="s">
        <v>458</v>
      </c>
      <c r="AO28" s="340" t="s">
        <v>459</v>
      </c>
      <c r="AP28" s="340">
        <v>3</v>
      </c>
      <c r="AQ28" s="340" t="s">
        <v>460</v>
      </c>
      <c r="AR28" s="340">
        <v>3142</v>
      </c>
      <c r="AS28" s="340" t="s">
        <v>507</v>
      </c>
      <c r="AT28" s="340">
        <v>96152</v>
      </c>
      <c r="AU28" s="340" t="s">
        <v>611</v>
      </c>
      <c r="AV28" s="343">
        <v>0.375</v>
      </c>
      <c r="AW28" s="343">
        <v>0.58333333333333337</v>
      </c>
      <c r="AX28" s="340" t="s">
        <v>463</v>
      </c>
      <c r="AY28" s="340" t="s">
        <v>464</v>
      </c>
    </row>
    <row r="29" spans="1:51" x14ac:dyDescent="0.25">
      <c r="A29" s="339" t="s">
        <v>441</v>
      </c>
      <c r="B29" s="339" t="s">
        <v>442</v>
      </c>
      <c r="C29" s="339" t="s">
        <v>469</v>
      </c>
      <c r="D29" s="339">
        <v>3</v>
      </c>
      <c r="E29" s="339">
        <v>4</v>
      </c>
      <c r="F29" s="339">
        <v>6.5</v>
      </c>
      <c r="G29" s="340">
        <v>2005710200</v>
      </c>
      <c r="H29" s="346">
        <v>57102</v>
      </c>
      <c r="I29" s="348">
        <v>150</v>
      </c>
      <c r="J29" s="341">
        <v>81</v>
      </c>
      <c r="K29" s="341">
        <v>109</v>
      </c>
      <c r="L29" s="348">
        <f t="shared" si="1"/>
        <v>190</v>
      </c>
      <c r="M29" s="341">
        <v>57</v>
      </c>
      <c r="N29" s="340" t="s">
        <v>612</v>
      </c>
      <c r="O29" s="340">
        <v>18</v>
      </c>
      <c r="P29" s="340" t="s">
        <v>613</v>
      </c>
      <c r="Q29" s="340" t="s">
        <v>0</v>
      </c>
      <c r="R29" s="340" t="s">
        <v>446</v>
      </c>
      <c r="S29" s="340" t="s">
        <v>447</v>
      </c>
      <c r="T29" s="340">
        <v>2</v>
      </c>
      <c r="U29" s="340" t="s">
        <v>0</v>
      </c>
      <c r="V29" s="340" t="s">
        <v>448</v>
      </c>
      <c r="W29" s="340" t="s">
        <v>0</v>
      </c>
      <c r="X29" s="340" t="s">
        <v>614</v>
      </c>
      <c r="Y29" s="340" t="s">
        <v>0</v>
      </c>
      <c r="Z29" s="340" t="s">
        <v>450</v>
      </c>
      <c r="AA29" s="340" t="s">
        <v>0</v>
      </c>
      <c r="AB29" s="340" t="s">
        <v>615</v>
      </c>
      <c r="AC29" s="340" t="s">
        <v>0</v>
      </c>
      <c r="AD29" s="340">
        <v>70312</v>
      </c>
      <c r="AE29" s="340" t="s">
        <v>452</v>
      </c>
      <c r="AF29" s="340" t="s">
        <v>453</v>
      </c>
      <c r="AG29" s="340" t="s">
        <v>447</v>
      </c>
      <c r="AH29" s="342">
        <v>35885</v>
      </c>
      <c r="AI29" s="340" t="s">
        <v>454</v>
      </c>
      <c r="AJ29" s="340" t="s">
        <v>455</v>
      </c>
      <c r="AK29" s="340" t="s">
        <v>456</v>
      </c>
      <c r="AL29" s="340" t="s">
        <v>457</v>
      </c>
      <c r="AM29" s="340">
        <v>6</v>
      </c>
      <c r="AN29" s="340" t="s">
        <v>458</v>
      </c>
      <c r="AO29" s="340" t="s">
        <v>459</v>
      </c>
      <c r="AP29" s="340">
        <v>3</v>
      </c>
      <c r="AQ29" s="340" t="s">
        <v>460</v>
      </c>
      <c r="AR29" s="340">
        <v>3108</v>
      </c>
      <c r="AS29" s="340" t="s">
        <v>475</v>
      </c>
      <c r="AT29" s="340">
        <v>1</v>
      </c>
      <c r="AU29" s="340" t="s">
        <v>462</v>
      </c>
      <c r="AV29" s="343">
        <v>0.33333333333333331</v>
      </c>
      <c r="AW29" s="343">
        <v>0.58333333333333337</v>
      </c>
      <c r="AX29" s="340" t="s">
        <v>463</v>
      </c>
      <c r="AY29" s="340" t="s">
        <v>464</v>
      </c>
    </row>
    <row r="30" spans="1:51" x14ac:dyDescent="0.25">
      <c r="A30" s="339" t="s">
        <v>441</v>
      </c>
      <c r="B30" s="339" t="s">
        <v>442</v>
      </c>
      <c r="C30" s="339" t="s">
        <v>443</v>
      </c>
      <c r="D30" s="339">
        <v>3</v>
      </c>
      <c r="E30" s="339">
        <v>4</v>
      </c>
      <c r="F30" s="339">
        <v>6.5</v>
      </c>
      <c r="G30" s="340">
        <v>2005711200</v>
      </c>
      <c r="H30" s="346">
        <v>57112</v>
      </c>
      <c r="I30" s="348">
        <v>32</v>
      </c>
      <c r="J30" s="341">
        <v>36</v>
      </c>
      <c r="K30" s="341">
        <v>36</v>
      </c>
      <c r="L30" s="348">
        <f t="shared" si="1"/>
        <v>72</v>
      </c>
      <c r="M30" s="341">
        <v>57</v>
      </c>
      <c r="N30" s="340" t="s">
        <v>612</v>
      </c>
      <c r="O30" s="340">
        <v>21</v>
      </c>
      <c r="P30" s="340" t="s">
        <v>616</v>
      </c>
      <c r="Q30" s="340" t="s">
        <v>0</v>
      </c>
      <c r="R30" s="340" t="s">
        <v>446</v>
      </c>
      <c r="S30" s="340" t="s">
        <v>447</v>
      </c>
      <c r="T30" s="340">
        <v>2</v>
      </c>
      <c r="U30" s="340" t="s">
        <v>0</v>
      </c>
      <c r="V30" s="340" t="s">
        <v>448</v>
      </c>
      <c r="W30" s="340" t="s">
        <v>0</v>
      </c>
      <c r="X30" s="340" t="s">
        <v>499</v>
      </c>
      <c r="Y30" s="340" t="s">
        <v>0</v>
      </c>
      <c r="Z30" s="340" t="s">
        <v>617</v>
      </c>
      <c r="AA30" s="340" t="s">
        <v>0</v>
      </c>
      <c r="AB30" s="340" t="s">
        <v>618</v>
      </c>
      <c r="AC30" s="340" t="s">
        <v>0</v>
      </c>
      <c r="AD30" s="340">
        <v>70300</v>
      </c>
      <c r="AE30" s="340" t="s">
        <v>452</v>
      </c>
      <c r="AF30" s="340" t="s">
        <v>453</v>
      </c>
      <c r="AG30" s="340" t="s">
        <v>447</v>
      </c>
      <c r="AH30" s="342">
        <v>44614</v>
      </c>
      <c r="AI30" s="340" t="s">
        <v>454</v>
      </c>
      <c r="AJ30" s="340" t="s">
        <v>455</v>
      </c>
      <c r="AK30" s="340" t="s">
        <v>456</v>
      </c>
      <c r="AL30" s="340" t="s">
        <v>457</v>
      </c>
      <c r="AM30" s="340">
        <v>6</v>
      </c>
      <c r="AN30" s="340" t="s">
        <v>458</v>
      </c>
      <c r="AO30" s="340" t="s">
        <v>459</v>
      </c>
      <c r="AP30" s="340">
        <v>3</v>
      </c>
      <c r="AQ30" s="340" t="s">
        <v>460</v>
      </c>
      <c r="AR30" s="340">
        <v>3108</v>
      </c>
      <c r="AS30" s="340" t="s">
        <v>475</v>
      </c>
      <c r="AT30" s="340">
        <v>1</v>
      </c>
      <c r="AU30" s="340" t="s">
        <v>462</v>
      </c>
      <c r="AV30" s="343">
        <v>0.375</v>
      </c>
      <c r="AW30" s="343">
        <v>0.58333333333333337</v>
      </c>
      <c r="AX30" s="340" t="s">
        <v>463</v>
      </c>
      <c r="AY30" s="340" t="s">
        <v>464</v>
      </c>
    </row>
    <row r="31" spans="1:51" x14ac:dyDescent="0.25">
      <c r="A31" s="339" t="s">
        <v>441</v>
      </c>
      <c r="B31" s="339" t="s">
        <v>442</v>
      </c>
      <c r="C31" s="339" t="s">
        <v>443</v>
      </c>
      <c r="D31" s="339">
        <v>3</v>
      </c>
      <c r="E31" s="339">
        <v>4</v>
      </c>
      <c r="F31" s="339">
        <v>6.5</v>
      </c>
      <c r="G31" s="340">
        <v>2005711300</v>
      </c>
      <c r="H31" s="346">
        <v>57113</v>
      </c>
      <c r="I31" s="348">
        <v>90</v>
      </c>
      <c r="J31" s="341">
        <v>61</v>
      </c>
      <c r="K31" s="341">
        <v>61</v>
      </c>
      <c r="L31" s="348">
        <f t="shared" si="1"/>
        <v>122</v>
      </c>
      <c r="M31" s="341">
        <v>57</v>
      </c>
      <c r="N31" s="340" t="s">
        <v>612</v>
      </c>
      <c r="O31" s="340">
        <v>207</v>
      </c>
      <c r="P31" s="340" t="s">
        <v>346</v>
      </c>
      <c r="Q31" s="340" t="s">
        <v>0</v>
      </c>
      <c r="R31" s="340" t="s">
        <v>446</v>
      </c>
      <c r="S31" s="340" t="s">
        <v>447</v>
      </c>
      <c r="T31" s="340">
        <v>4</v>
      </c>
      <c r="U31" s="340" t="s">
        <v>0</v>
      </c>
      <c r="V31" s="340" t="s">
        <v>498</v>
      </c>
      <c r="W31" s="340" t="s">
        <v>0</v>
      </c>
      <c r="X31" s="340" t="s">
        <v>619</v>
      </c>
      <c r="Y31" s="340" t="s">
        <v>0</v>
      </c>
      <c r="Z31" s="340" t="s">
        <v>620</v>
      </c>
      <c r="AA31" s="340" t="s">
        <v>0</v>
      </c>
      <c r="AB31" s="340" t="s">
        <v>621</v>
      </c>
      <c r="AC31" s="340" t="s">
        <v>0</v>
      </c>
      <c r="AD31" s="340">
        <v>70317</v>
      </c>
      <c r="AE31" s="340" t="s">
        <v>452</v>
      </c>
      <c r="AF31" s="340" t="s">
        <v>453</v>
      </c>
      <c r="AG31" s="340" t="s">
        <v>447</v>
      </c>
      <c r="AH31" s="342">
        <v>45404</v>
      </c>
      <c r="AI31" s="340" t="s">
        <v>454</v>
      </c>
      <c r="AJ31" s="340" t="s">
        <v>455</v>
      </c>
      <c r="AK31" s="340" t="s">
        <v>456</v>
      </c>
      <c r="AL31" s="340" t="s">
        <v>457</v>
      </c>
      <c r="AM31" s="340">
        <v>6</v>
      </c>
      <c r="AN31" s="340" t="s">
        <v>458</v>
      </c>
      <c r="AO31" s="340" t="s">
        <v>459</v>
      </c>
      <c r="AP31" s="340">
        <v>3</v>
      </c>
      <c r="AQ31" s="340" t="s">
        <v>460</v>
      </c>
      <c r="AR31" s="340">
        <v>3108</v>
      </c>
      <c r="AS31" s="340" t="s">
        <v>475</v>
      </c>
      <c r="AT31" s="340">
        <v>208831</v>
      </c>
      <c r="AU31" s="340" t="s">
        <v>622</v>
      </c>
      <c r="AV31" s="343">
        <v>0.375</v>
      </c>
      <c r="AW31" s="343">
        <v>0.58333333333333337</v>
      </c>
      <c r="AX31" s="340" t="s">
        <v>463</v>
      </c>
      <c r="AY31" s="340" t="s">
        <v>464</v>
      </c>
    </row>
    <row r="32" spans="1:51" x14ac:dyDescent="0.25">
      <c r="A32" s="339" t="s">
        <v>441</v>
      </c>
      <c r="B32" s="339" t="s">
        <v>442</v>
      </c>
      <c r="C32" s="339" t="s">
        <v>443</v>
      </c>
      <c r="D32" s="339">
        <v>7</v>
      </c>
      <c r="E32" s="339">
        <v>3</v>
      </c>
      <c r="F32" s="339">
        <v>6.5</v>
      </c>
      <c r="G32" s="340">
        <v>2005910600</v>
      </c>
      <c r="H32" s="346">
        <v>59106</v>
      </c>
      <c r="I32" s="348">
        <v>29</v>
      </c>
      <c r="J32" s="341">
        <v>21</v>
      </c>
      <c r="K32" s="341">
        <v>12</v>
      </c>
      <c r="L32" s="348">
        <f t="shared" si="1"/>
        <v>33</v>
      </c>
      <c r="M32" s="341">
        <v>59</v>
      </c>
      <c r="N32" s="340" t="s">
        <v>628</v>
      </c>
      <c r="O32" s="340">
        <v>6</v>
      </c>
      <c r="P32" s="340" t="s">
        <v>629</v>
      </c>
      <c r="Q32" s="340" t="s">
        <v>0</v>
      </c>
      <c r="R32" s="340" t="s">
        <v>446</v>
      </c>
      <c r="S32" s="340" t="s">
        <v>447</v>
      </c>
      <c r="T32" s="340">
        <v>2</v>
      </c>
      <c r="U32" s="340" t="s">
        <v>0</v>
      </c>
      <c r="V32" s="340" t="s">
        <v>448</v>
      </c>
      <c r="W32" s="340" t="s">
        <v>0</v>
      </c>
      <c r="X32" s="340" t="s">
        <v>630</v>
      </c>
      <c r="Y32" s="340" t="s">
        <v>0</v>
      </c>
      <c r="Z32" s="340" t="s">
        <v>631</v>
      </c>
      <c r="AA32" s="340" t="s">
        <v>0</v>
      </c>
      <c r="AB32" s="340" t="s">
        <v>632</v>
      </c>
      <c r="AC32" s="340" t="s">
        <v>0</v>
      </c>
      <c r="AD32" s="340">
        <v>70800</v>
      </c>
      <c r="AE32" s="340" t="s">
        <v>452</v>
      </c>
      <c r="AF32" s="340" t="s">
        <v>453</v>
      </c>
      <c r="AG32" s="340" t="s">
        <v>447</v>
      </c>
      <c r="AH32" s="342">
        <v>43018</v>
      </c>
      <c r="AI32" s="340" t="s">
        <v>454</v>
      </c>
      <c r="AJ32" s="340" t="s">
        <v>455</v>
      </c>
      <c r="AK32" s="340" t="s">
        <v>456</v>
      </c>
      <c r="AL32" s="340" t="s">
        <v>457</v>
      </c>
      <c r="AM32" s="340">
        <v>6</v>
      </c>
      <c r="AN32" s="340" t="s">
        <v>458</v>
      </c>
      <c r="AO32" s="340" t="s">
        <v>459</v>
      </c>
      <c r="AP32" s="340">
        <v>3</v>
      </c>
      <c r="AQ32" s="340" t="s">
        <v>460</v>
      </c>
      <c r="AR32" s="340">
        <v>4517</v>
      </c>
      <c r="AS32" s="340" t="s">
        <v>513</v>
      </c>
      <c r="AT32" s="340">
        <v>1</v>
      </c>
      <c r="AU32" s="340" t="s">
        <v>462</v>
      </c>
      <c r="AV32" s="343">
        <v>0.375</v>
      </c>
      <c r="AW32" s="343">
        <v>0.5</v>
      </c>
      <c r="AX32" s="340" t="s">
        <v>463</v>
      </c>
      <c r="AY32" s="340" t="s">
        <v>464</v>
      </c>
    </row>
    <row r="33" spans="1:51" x14ac:dyDescent="0.25">
      <c r="A33" s="339" t="s">
        <v>441</v>
      </c>
      <c r="B33" s="339" t="s">
        <v>442</v>
      </c>
      <c r="C33" s="339" t="s">
        <v>443</v>
      </c>
      <c r="D33" s="339">
        <v>7</v>
      </c>
      <c r="E33" s="339">
        <v>1</v>
      </c>
      <c r="F33" s="339">
        <v>6.5</v>
      </c>
      <c r="G33" s="340">
        <v>2005910800</v>
      </c>
      <c r="H33" s="346">
        <v>59108</v>
      </c>
      <c r="I33" s="348">
        <v>35</v>
      </c>
      <c r="J33" s="341">
        <v>24</v>
      </c>
      <c r="K33" s="341">
        <v>15</v>
      </c>
      <c r="L33" s="348">
        <f t="shared" si="1"/>
        <v>39</v>
      </c>
      <c r="M33" s="341">
        <v>59</v>
      </c>
      <c r="N33" s="340" t="s">
        <v>628</v>
      </c>
      <c r="O33" s="340">
        <v>18</v>
      </c>
      <c r="P33" s="340" t="s">
        <v>633</v>
      </c>
      <c r="Q33" s="340" t="s">
        <v>0</v>
      </c>
      <c r="R33" s="340" t="s">
        <v>446</v>
      </c>
      <c r="S33" s="340" t="s">
        <v>447</v>
      </c>
      <c r="T33" s="340">
        <v>2</v>
      </c>
      <c r="U33" s="340" t="s">
        <v>0</v>
      </c>
      <c r="V33" s="340" t="s">
        <v>448</v>
      </c>
      <c r="W33" s="340" t="s">
        <v>0</v>
      </c>
      <c r="X33" s="340" t="s">
        <v>508</v>
      </c>
      <c r="Y33" s="340" t="s">
        <v>0</v>
      </c>
      <c r="Z33" s="340" t="s">
        <v>634</v>
      </c>
      <c r="AA33" s="340" t="s">
        <v>0</v>
      </c>
      <c r="AB33" s="340" t="s">
        <v>635</v>
      </c>
      <c r="AC33" s="340" t="s">
        <v>0</v>
      </c>
      <c r="AD33" s="340">
        <v>70803</v>
      </c>
      <c r="AE33" s="340" t="s">
        <v>452</v>
      </c>
      <c r="AF33" s="340" t="s">
        <v>453</v>
      </c>
      <c r="AG33" s="340" t="s">
        <v>447</v>
      </c>
      <c r="AH33" s="342">
        <v>43893</v>
      </c>
      <c r="AI33" s="340" t="s">
        <v>454</v>
      </c>
      <c r="AJ33" s="340" t="s">
        <v>455</v>
      </c>
      <c r="AK33" s="340" t="s">
        <v>456</v>
      </c>
      <c r="AL33" s="340" t="s">
        <v>457</v>
      </c>
      <c r="AM33" s="340">
        <v>6</v>
      </c>
      <c r="AN33" s="340" t="s">
        <v>458</v>
      </c>
      <c r="AO33" s="340" t="s">
        <v>459</v>
      </c>
      <c r="AP33" s="340">
        <v>3</v>
      </c>
      <c r="AQ33" s="340" t="s">
        <v>460</v>
      </c>
      <c r="AR33" s="340">
        <v>3047</v>
      </c>
      <c r="AS33" s="340" t="s">
        <v>636</v>
      </c>
      <c r="AT33" s="340">
        <v>1</v>
      </c>
      <c r="AU33" s="340" t="s">
        <v>462</v>
      </c>
      <c r="AV33" s="343">
        <v>0.375</v>
      </c>
      <c r="AW33" s="343">
        <v>0.5</v>
      </c>
      <c r="AX33" s="340" t="s">
        <v>463</v>
      </c>
      <c r="AY33" s="340" t="s">
        <v>464</v>
      </c>
    </row>
    <row r="34" spans="1:51" x14ac:dyDescent="0.25">
      <c r="A34" s="339" t="s">
        <v>441</v>
      </c>
      <c r="B34" s="339" t="s">
        <v>442</v>
      </c>
      <c r="C34" s="339" t="s">
        <v>443</v>
      </c>
      <c r="D34" s="339">
        <v>7</v>
      </c>
      <c r="E34" s="339">
        <v>2</v>
      </c>
      <c r="F34" s="339">
        <v>6.5</v>
      </c>
      <c r="G34" s="340">
        <v>2005910900</v>
      </c>
      <c r="H34" s="346">
        <v>59109</v>
      </c>
      <c r="I34" s="348">
        <v>48</v>
      </c>
      <c r="J34" s="341">
        <v>29</v>
      </c>
      <c r="K34" s="341">
        <v>36</v>
      </c>
      <c r="L34" s="348">
        <f t="shared" si="1"/>
        <v>65</v>
      </c>
      <c r="M34" s="341">
        <v>59</v>
      </c>
      <c r="N34" s="340" t="s">
        <v>628</v>
      </c>
      <c r="O34" s="340">
        <v>4</v>
      </c>
      <c r="P34" s="340" t="s">
        <v>637</v>
      </c>
      <c r="Q34" s="340" t="s">
        <v>0</v>
      </c>
      <c r="R34" s="340" t="s">
        <v>446</v>
      </c>
      <c r="S34" s="340" t="s">
        <v>447</v>
      </c>
      <c r="T34" s="340">
        <v>2</v>
      </c>
      <c r="U34" s="340" t="s">
        <v>0</v>
      </c>
      <c r="V34" s="340" t="s">
        <v>448</v>
      </c>
      <c r="W34" s="340" t="s">
        <v>0</v>
      </c>
      <c r="X34" s="340" t="s">
        <v>465</v>
      </c>
      <c r="Y34" s="340" t="s">
        <v>0</v>
      </c>
      <c r="Z34" s="340" t="s">
        <v>638</v>
      </c>
      <c r="AA34" s="340" t="s">
        <v>0</v>
      </c>
      <c r="AB34" s="340" t="s">
        <v>466</v>
      </c>
      <c r="AC34" s="340" t="s">
        <v>0</v>
      </c>
      <c r="AD34" s="340">
        <v>70800</v>
      </c>
      <c r="AE34" s="340" t="s">
        <v>452</v>
      </c>
      <c r="AF34" s="340" t="s">
        <v>453</v>
      </c>
      <c r="AG34" s="340" t="s">
        <v>447</v>
      </c>
      <c r="AH34" s="342">
        <v>43965</v>
      </c>
      <c r="AI34" s="340" t="s">
        <v>454</v>
      </c>
      <c r="AJ34" s="340" t="s">
        <v>455</v>
      </c>
      <c r="AK34" s="340" t="s">
        <v>456</v>
      </c>
      <c r="AL34" s="340" t="s">
        <v>457</v>
      </c>
      <c r="AM34" s="340">
        <v>6</v>
      </c>
      <c r="AN34" s="340" t="s">
        <v>458</v>
      </c>
      <c r="AO34" s="340" t="s">
        <v>459</v>
      </c>
      <c r="AP34" s="340">
        <v>3</v>
      </c>
      <c r="AQ34" s="340" t="s">
        <v>460</v>
      </c>
      <c r="AR34" s="340">
        <v>3031</v>
      </c>
      <c r="AS34" s="340" t="s">
        <v>639</v>
      </c>
      <c r="AT34" s="340">
        <v>1</v>
      </c>
      <c r="AU34" s="340" t="s">
        <v>462</v>
      </c>
      <c r="AV34" s="343">
        <v>0.33333333333333331</v>
      </c>
      <c r="AW34" s="343">
        <v>0.58333333333333337</v>
      </c>
      <c r="AX34" s="340" t="s">
        <v>463</v>
      </c>
      <c r="AY34" s="340" t="s">
        <v>464</v>
      </c>
    </row>
    <row r="35" spans="1:51" x14ac:dyDescent="0.25">
      <c r="A35" s="339" t="s">
        <v>441</v>
      </c>
      <c r="B35" s="339" t="s">
        <v>442</v>
      </c>
      <c r="C35" s="339" t="s">
        <v>443</v>
      </c>
      <c r="D35" s="339">
        <v>7</v>
      </c>
      <c r="E35" s="339">
        <v>1</v>
      </c>
      <c r="F35" s="339">
        <v>6.5</v>
      </c>
      <c r="G35" s="340">
        <v>2005911100</v>
      </c>
      <c r="H35" s="346">
        <v>59111</v>
      </c>
      <c r="I35" s="348">
        <v>70</v>
      </c>
      <c r="J35" s="341">
        <v>70</v>
      </c>
      <c r="K35" s="341">
        <v>47</v>
      </c>
      <c r="L35" s="348">
        <f t="shared" si="1"/>
        <v>117</v>
      </c>
      <c r="M35" s="341">
        <v>59</v>
      </c>
      <c r="N35" s="340" t="s">
        <v>628</v>
      </c>
      <c r="O35" s="340">
        <v>71</v>
      </c>
      <c r="P35" s="340" t="s">
        <v>640</v>
      </c>
      <c r="Q35" s="340" t="s">
        <v>0</v>
      </c>
      <c r="R35" s="340" t="s">
        <v>446</v>
      </c>
      <c r="S35" s="340" t="s">
        <v>447</v>
      </c>
      <c r="T35" s="340">
        <v>2</v>
      </c>
      <c r="U35" s="340" t="s">
        <v>0</v>
      </c>
      <c r="V35" s="340" t="s">
        <v>448</v>
      </c>
      <c r="W35" s="340" t="s">
        <v>0</v>
      </c>
      <c r="X35" s="340" t="s">
        <v>508</v>
      </c>
      <c r="Y35" s="340" t="s">
        <v>0</v>
      </c>
      <c r="Z35" s="340" t="s">
        <v>450</v>
      </c>
      <c r="AA35" s="340" t="s">
        <v>0</v>
      </c>
      <c r="AB35" s="340" t="s">
        <v>641</v>
      </c>
      <c r="AC35" s="340" t="s">
        <v>0</v>
      </c>
      <c r="AD35" s="340">
        <v>70805</v>
      </c>
      <c r="AE35" s="340" t="s">
        <v>452</v>
      </c>
      <c r="AF35" s="340" t="s">
        <v>453</v>
      </c>
      <c r="AG35" s="340" t="s">
        <v>447</v>
      </c>
      <c r="AH35" s="342">
        <v>44222</v>
      </c>
      <c r="AI35" s="340" t="s">
        <v>454</v>
      </c>
      <c r="AJ35" s="340" t="s">
        <v>455</v>
      </c>
      <c r="AK35" s="340" t="s">
        <v>456</v>
      </c>
      <c r="AL35" s="340" t="s">
        <v>457</v>
      </c>
      <c r="AM35" s="340">
        <v>6</v>
      </c>
      <c r="AN35" s="340" t="s">
        <v>458</v>
      </c>
      <c r="AO35" s="340" t="s">
        <v>459</v>
      </c>
      <c r="AP35" s="340">
        <v>3</v>
      </c>
      <c r="AQ35" s="340" t="s">
        <v>460</v>
      </c>
      <c r="AR35" s="340">
        <v>3047</v>
      </c>
      <c r="AS35" s="340" t="s">
        <v>636</v>
      </c>
      <c r="AT35" s="340">
        <v>1</v>
      </c>
      <c r="AU35" s="340" t="s">
        <v>462</v>
      </c>
      <c r="AV35" s="343">
        <v>0.375</v>
      </c>
      <c r="AW35" s="343">
        <v>0.58333333333333337</v>
      </c>
      <c r="AX35" s="340" t="s">
        <v>463</v>
      </c>
      <c r="AY35" s="340" t="s">
        <v>464</v>
      </c>
    </row>
    <row r="36" spans="1:51" x14ac:dyDescent="0.25">
      <c r="A36" s="339" t="s">
        <v>441</v>
      </c>
      <c r="B36" s="339" t="s">
        <v>442</v>
      </c>
      <c r="C36" s="339" t="s">
        <v>443</v>
      </c>
      <c r="D36" s="339">
        <v>7</v>
      </c>
      <c r="E36" s="339">
        <v>2</v>
      </c>
      <c r="F36" s="339">
        <v>6.5</v>
      </c>
      <c r="G36" s="340">
        <v>2005911200</v>
      </c>
      <c r="H36" s="346">
        <v>59112</v>
      </c>
      <c r="I36" s="348">
        <v>19</v>
      </c>
      <c r="J36" s="341">
        <v>8</v>
      </c>
      <c r="K36" s="341">
        <v>20</v>
      </c>
      <c r="L36" s="348">
        <f t="shared" si="1"/>
        <v>28</v>
      </c>
      <c r="M36" s="341">
        <v>59</v>
      </c>
      <c r="N36" s="340" t="s">
        <v>628</v>
      </c>
      <c r="O36" s="340">
        <v>31</v>
      </c>
      <c r="P36" s="340" t="s">
        <v>642</v>
      </c>
      <c r="Q36" s="340" t="s">
        <v>0</v>
      </c>
      <c r="R36" s="340" t="s">
        <v>446</v>
      </c>
      <c r="S36" s="340" t="s">
        <v>447</v>
      </c>
      <c r="T36" s="340">
        <v>2</v>
      </c>
      <c r="U36" s="340" t="s">
        <v>0</v>
      </c>
      <c r="V36" s="340" t="s">
        <v>448</v>
      </c>
      <c r="W36" s="340" t="s">
        <v>0</v>
      </c>
      <c r="X36" s="340" t="s">
        <v>465</v>
      </c>
      <c r="Y36" s="340" t="s">
        <v>0</v>
      </c>
      <c r="Z36" s="340" t="s">
        <v>643</v>
      </c>
      <c r="AA36" s="340" t="s">
        <v>0</v>
      </c>
      <c r="AB36" s="340" t="s">
        <v>466</v>
      </c>
      <c r="AC36" s="340" t="s">
        <v>0</v>
      </c>
      <c r="AD36" s="340">
        <v>70800</v>
      </c>
      <c r="AE36" s="340" t="s">
        <v>452</v>
      </c>
      <c r="AF36" s="340" t="s">
        <v>453</v>
      </c>
      <c r="AG36" s="340" t="s">
        <v>447</v>
      </c>
      <c r="AH36" s="342">
        <v>44825</v>
      </c>
      <c r="AI36" s="340" t="s">
        <v>454</v>
      </c>
      <c r="AJ36" s="340" t="s">
        <v>455</v>
      </c>
      <c r="AK36" s="340" t="s">
        <v>456</v>
      </c>
      <c r="AL36" s="340" t="s">
        <v>457</v>
      </c>
      <c r="AM36" s="340">
        <v>6</v>
      </c>
      <c r="AN36" s="340" t="s">
        <v>458</v>
      </c>
      <c r="AO36" s="340" t="s">
        <v>459</v>
      </c>
      <c r="AP36" s="340">
        <v>3</v>
      </c>
      <c r="AQ36" s="340" t="s">
        <v>460</v>
      </c>
      <c r="AR36" s="340">
        <v>3031</v>
      </c>
      <c r="AS36" s="340" t="s">
        <v>639</v>
      </c>
      <c r="AT36" s="340">
        <v>1</v>
      </c>
      <c r="AU36" s="340" t="s">
        <v>462</v>
      </c>
      <c r="AV36" s="343">
        <v>0.375</v>
      </c>
      <c r="AW36" s="343">
        <v>0.58333333333333337</v>
      </c>
      <c r="AX36" s="340" t="s">
        <v>463</v>
      </c>
      <c r="AY36" s="340" t="s">
        <v>464</v>
      </c>
    </row>
    <row r="37" spans="1:51" x14ac:dyDescent="0.25">
      <c r="A37" s="339" t="s">
        <v>441</v>
      </c>
      <c r="B37" s="339" t="s">
        <v>442</v>
      </c>
      <c r="C37" s="339" t="s">
        <v>443</v>
      </c>
      <c r="D37" s="339">
        <v>7</v>
      </c>
      <c r="E37" s="339">
        <v>2</v>
      </c>
      <c r="F37" s="339">
        <v>6.5</v>
      </c>
      <c r="G37" s="340">
        <v>2005911300</v>
      </c>
      <c r="H37" s="346">
        <v>59113</v>
      </c>
      <c r="I37" s="348">
        <v>35</v>
      </c>
      <c r="J37" s="341">
        <v>29</v>
      </c>
      <c r="K37" s="341">
        <v>14</v>
      </c>
      <c r="L37" s="348">
        <f t="shared" si="1"/>
        <v>43</v>
      </c>
      <c r="M37" s="341">
        <v>59</v>
      </c>
      <c r="N37" s="340" t="s">
        <v>628</v>
      </c>
      <c r="O37" s="340">
        <v>16</v>
      </c>
      <c r="P37" s="340" t="s">
        <v>644</v>
      </c>
      <c r="Q37" s="340" t="s">
        <v>0</v>
      </c>
      <c r="R37" s="340" t="s">
        <v>446</v>
      </c>
      <c r="S37" s="340" t="s">
        <v>447</v>
      </c>
      <c r="T37" s="340">
        <v>2</v>
      </c>
      <c r="U37" s="340" t="s">
        <v>0</v>
      </c>
      <c r="V37" s="340" t="s">
        <v>448</v>
      </c>
      <c r="W37" s="340" t="s">
        <v>0</v>
      </c>
      <c r="X37" s="340" t="s">
        <v>645</v>
      </c>
      <c r="Y37" s="340" t="s">
        <v>0</v>
      </c>
      <c r="Z37" s="340" t="s">
        <v>646</v>
      </c>
      <c r="AA37" s="340" t="s">
        <v>0</v>
      </c>
      <c r="AB37" s="340" t="s">
        <v>647</v>
      </c>
      <c r="AC37" s="340" t="s">
        <v>0</v>
      </c>
      <c r="AD37" s="340">
        <v>70802</v>
      </c>
      <c r="AE37" s="340" t="s">
        <v>452</v>
      </c>
      <c r="AF37" s="340" t="s">
        <v>453</v>
      </c>
      <c r="AG37" s="340" t="s">
        <v>447</v>
      </c>
      <c r="AH37" s="342">
        <v>44827</v>
      </c>
      <c r="AI37" s="340" t="s">
        <v>454</v>
      </c>
      <c r="AJ37" s="340" t="s">
        <v>455</v>
      </c>
      <c r="AK37" s="340" t="s">
        <v>456</v>
      </c>
      <c r="AL37" s="340" t="s">
        <v>457</v>
      </c>
      <c r="AM37" s="340">
        <v>6</v>
      </c>
      <c r="AN37" s="340" t="s">
        <v>458</v>
      </c>
      <c r="AO37" s="340" t="s">
        <v>459</v>
      </c>
      <c r="AP37" s="340">
        <v>3</v>
      </c>
      <c r="AQ37" s="340" t="s">
        <v>460</v>
      </c>
      <c r="AR37" s="340">
        <v>3031</v>
      </c>
      <c r="AS37" s="340" t="s">
        <v>639</v>
      </c>
      <c r="AT37" s="340">
        <v>1</v>
      </c>
      <c r="AU37" s="340" t="s">
        <v>462</v>
      </c>
      <c r="AV37" s="343">
        <v>0.375</v>
      </c>
      <c r="AW37" s="343">
        <v>0.58333333333333337</v>
      </c>
      <c r="AX37" s="340" t="s">
        <v>463</v>
      </c>
      <c r="AY37" s="340" t="s">
        <v>464</v>
      </c>
    </row>
    <row r="38" spans="1:51" x14ac:dyDescent="0.25">
      <c r="A38" s="339" t="s">
        <v>441</v>
      </c>
      <c r="B38" s="339" t="s">
        <v>442</v>
      </c>
      <c r="C38" s="339" t="s">
        <v>443</v>
      </c>
      <c r="D38" s="339">
        <v>7</v>
      </c>
      <c r="E38" s="339">
        <v>2</v>
      </c>
      <c r="F38" s="339">
        <v>6.5</v>
      </c>
      <c r="G38" s="340">
        <v>2005911400</v>
      </c>
      <c r="H38" s="346">
        <v>59114</v>
      </c>
      <c r="I38" s="348">
        <v>57</v>
      </c>
      <c r="J38" s="341">
        <v>21</v>
      </c>
      <c r="K38" s="341">
        <v>48</v>
      </c>
      <c r="L38" s="348">
        <f t="shared" si="1"/>
        <v>69</v>
      </c>
      <c r="M38" s="341">
        <v>59</v>
      </c>
      <c r="N38" s="340" t="s">
        <v>628</v>
      </c>
      <c r="O38" s="340">
        <v>3</v>
      </c>
      <c r="P38" s="340" t="s">
        <v>648</v>
      </c>
      <c r="Q38" s="340" t="s">
        <v>0</v>
      </c>
      <c r="R38" s="340" t="s">
        <v>446</v>
      </c>
      <c r="S38" s="340" t="s">
        <v>447</v>
      </c>
      <c r="T38" s="340">
        <v>2</v>
      </c>
      <c r="U38" s="340" t="s">
        <v>0</v>
      </c>
      <c r="V38" s="340" t="s">
        <v>448</v>
      </c>
      <c r="W38" s="340" t="s">
        <v>0</v>
      </c>
      <c r="X38" s="340" t="s">
        <v>649</v>
      </c>
      <c r="Y38" s="340" t="s">
        <v>0</v>
      </c>
      <c r="Z38" s="340" t="s">
        <v>650</v>
      </c>
      <c r="AA38" s="340" t="s">
        <v>0</v>
      </c>
      <c r="AB38" s="340" t="s">
        <v>651</v>
      </c>
      <c r="AC38" s="340" t="s">
        <v>0</v>
      </c>
      <c r="AD38" s="340">
        <v>70802</v>
      </c>
      <c r="AE38" s="340" t="s">
        <v>452</v>
      </c>
      <c r="AF38" s="340" t="s">
        <v>453</v>
      </c>
      <c r="AG38" s="340" t="s">
        <v>447</v>
      </c>
      <c r="AH38" s="342">
        <v>45957</v>
      </c>
      <c r="AI38" s="340" t="s">
        <v>454</v>
      </c>
      <c r="AJ38" s="340" t="s">
        <v>455</v>
      </c>
      <c r="AK38" s="340" t="s">
        <v>456</v>
      </c>
      <c r="AL38" s="340" t="s">
        <v>457</v>
      </c>
      <c r="AM38" s="340">
        <v>6</v>
      </c>
      <c r="AN38" s="340" t="s">
        <v>458</v>
      </c>
      <c r="AO38" s="340" t="s">
        <v>459</v>
      </c>
      <c r="AP38" s="340">
        <v>3</v>
      </c>
      <c r="AQ38" s="340" t="s">
        <v>460</v>
      </c>
      <c r="AR38" s="340">
        <v>4517</v>
      </c>
      <c r="AS38" s="340" t="s">
        <v>513</v>
      </c>
      <c r="AT38" s="340">
        <v>208773</v>
      </c>
      <c r="AU38" s="340" t="s">
        <v>652</v>
      </c>
      <c r="AV38" s="343">
        <v>0.375</v>
      </c>
      <c r="AW38" s="343">
        <v>0.58333333333333337</v>
      </c>
      <c r="AX38" s="340" t="s">
        <v>463</v>
      </c>
      <c r="AY38" s="340" t="s">
        <v>464</v>
      </c>
    </row>
    <row r="39" spans="1:51" x14ac:dyDescent="0.25">
      <c r="A39" s="339" t="s">
        <v>441</v>
      </c>
      <c r="B39" s="339" t="s">
        <v>442</v>
      </c>
      <c r="C39" s="339" t="s">
        <v>443</v>
      </c>
      <c r="D39" s="339">
        <v>7</v>
      </c>
      <c r="E39" s="339">
        <v>1</v>
      </c>
      <c r="F39" s="339">
        <v>6.5</v>
      </c>
      <c r="G39" s="340">
        <v>2005911500</v>
      </c>
      <c r="H39" s="346">
        <v>59115</v>
      </c>
      <c r="I39" s="348">
        <v>52</v>
      </c>
      <c r="J39" s="341">
        <v>30</v>
      </c>
      <c r="K39" s="341">
        <v>38</v>
      </c>
      <c r="L39" s="348">
        <f t="shared" si="1"/>
        <v>68</v>
      </c>
      <c r="M39" s="341">
        <v>59</v>
      </c>
      <c r="N39" s="340" t="s">
        <v>628</v>
      </c>
      <c r="O39" s="340">
        <v>1</v>
      </c>
      <c r="P39" s="340" t="s">
        <v>653</v>
      </c>
      <c r="Q39" s="340" t="s">
        <v>0</v>
      </c>
      <c r="R39" s="340" t="s">
        <v>446</v>
      </c>
      <c r="S39" s="340" t="s">
        <v>447</v>
      </c>
      <c r="T39" s="340">
        <v>2</v>
      </c>
      <c r="U39" s="340" t="s">
        <v>0</v>
      </c>
      <c r="V39" s="340" t="s">
        <v>448</v>
      </c>
      <c r="W39" s="340" t="s">
        <v>0</v>
      </c>
      <c r="X39" s="340" t="s">
        <v>654</v>
      </c>
      <c r="Y39" s="340" t="s">
        <v>0</v>
      </c>
      <c r="Z39" s="340" t="s">
        <v>655</v>
      </c>
      <c r="AA39" s="340" t="s">
        <v>0</v>
      </c>
      <c r="AB39" s="340" t="s">
        <v>656</v>
      </c>
      <c r="AC39" s="340" t="s">
        <v>0</v>
      </c>
      <c r="AD39" s="340">
        <v>70805</v>
      </c>
      <c r="AE39" s="340" t="s">
        <v>452</v>
      </c>
      <c r="AF39" s="340" t="s">
        <v>453</v>
      </c>
      <c r="AG39" s="340" t="s">
        <v>447</v>
      </c>
      <c r="AH39" s="342">
        <v>45992</v>
      </c>
      <c r="AI39" s="340" t="s">
        <v>454</v>
      </c>
      <c r="AJ39" s="340" t="s">
        <v>455</v>
      </c>
      <c r="AK39" s="340" t="s">
        <v>456</v>
      </c>
      <c r="AL39" s="340" t="s">
        <v>457</v>
      </c>
      <c r="AM39" s="340">
        <v>6</v>
      </c>
      <c r="AN39" s="340" t="s">
        <v>458</v>
      </c>
      <c r="AO39" s="340" t="s">
        <v>459</v>
      </c>
      <c r="AP39" s="340">
        <v>3</v>
      </c>
      <c r="AQ39" s="340" t="s">
        <v>460</v>
      </c>
      <c r="AR39" s="340">
        <v>3047</v>
      </c>
      <c r="AS39" s="340" t="s">
        <v>636</v>
      </c>
      <c r="AT39" s="340">
        <v>208831</v>
      </c>
      <c r="AU39" s="340" t="s">
        <v>622</v>
      </c>
      <c r="AV39" s="343">
        <v>0.375</v>
      </c>
      <c r="AW39" s="343">
        <v>0.58333333333333337</v>
      </c>
      <c r="AX39" s="340" t="s">
        <v>463</v>
      </c>
      <c r="AY39" s="340" t="s">
        <v>464</v>
      </c>
    </row>
    <row r="40" spans="1:51" x14ac:dyDescent="0.25">
      <c r="A40" s="339" t="s">
        <v>441</v>
      </c>
      <c r="B40" s="339" t="s">
        <v>442</v>
      </c>
      <c r="C40" s="339" t="s">
        <v>443</v>
      </c>
      <c r="D40" s="339">
        <v>3</v>
      </c>
      <c r="E40" s="339">
        <v>1</v>
      </c>
      <c r="F40" s="339">
        <v>6.5</v>
      </c>
      <c r="G40" s="340">
        <v>2006410100</v>
      </c>
      <c r="H40" s="346">
        <v>64101</v>
      </c>
      <c r="I40" s="348">
        <v>53</v>
      </c>
      <c r="J40" s="341">
        <v>35</v>
      </c>
      <c r="K40" s="341">
        <v>42</v>
      </c>
      <c r="L40" s="348">
        <f t="shared" si="1"/>
        <v>77</v>
      </c>
      <c r="M40" s="341">
        <v>64</v>
      </c>
      <c r="N40" s="340" t="s">
        <v>661</v>
      </c>
      <c r="O40" s="340">
        <v>1</v>
      </c>
      <c r="P40" s="340" t="s">
        <v>661</v>
      </c>
      <c r="Q40" s="340" t="s">
        <v>0</v>
      </c>
      <c r="R40" s="340" t="s">
        <v>446</v>
      </c>
      <c r="S40" s="340" t="s">
        <v>447</v>
      </c>
      <c r="T40" s="340">
        <v>2</v>
      </c>
      <c r="U40" s="340" t="s">
        <v>0</v>
      </c>
      <c r="V40" s="340" t="s">
        <v>448</v>
      </c>
      <c r="W40" s="340" t="s">
        <v>0</v>
      </c>
      <c r="X40" s="340" t="s">
        <v>662</v>
      </c>
      <c r="Y40" s="340" t="s">
        <v>0</v>
      </c>
      <c r="Z40" s="340" t="s">
        <v>663</v>
      </c>
      <c r="AA40" s="340" t="s">
        <v>0</v>
      </c>
      <c r="AB40" s="340" t="s">
        <v>664</v>
      </c>
      <c r="AC40" s="340" t="s">
        <v>0</v>
      </c>
      <c r="AD40" s="340">
        <v>70531</v>
      </c>
      <c r="AE40" s="340" t="s">
        <v>452</v>
      </c>
      <c r="AF40" s="340" t="s">
        <v>453</v>
      </c>
      <c r="AG40" s="340" t="s">
        <v>447</v>
      </c>
      <c r="AH40" s="342">
        <v>43893</v>
      </c>
      <c r="AI40" s="340" t="s">
        <v>454</v>
      </c>
      <c r="AJ40" s="340" t="s">
        <v>455</v>
      </c>
      <c r="AK40" s="340" t="s">
        <v>456</v>
      </c>
      <c r="AL40" s="340" t="s">
        <v>457</v>
      </c>
      <c r="AM40" s="340">
        <v>6</v>
      </c>
      <c r="AN40" s="340" t="s">
        <v>458</v>
      </c>
      <c r="AO40" s="340" t="s">
        <v>459</v>
      </c>
      <c r="AP40" s="340">
        <v>3</v>
      </c>
      <c r="AQ40" s="340" t="s">
        <v>460</v>
      </c>
      <c r="AR40" s="340">
        <v>3198</v>
      </c>
      <c r="AS40" s="340" t="s">
        <v>596</v>
      </c>
      <c r="AT40" s="340">
        <v>1</v>
      </c>
      <c r="AU40" s="340" t="s">
        <v>462</v>
      </c>
      <c r="AV40" s="343">
        <v>0.375</v>
      </c>
      <c r="AW40" s="343">
        <v>0.5</v>
      </c>
      <c r="AX40" s="340" t="s">
        <v>463</v>
      </c>
      <c r="AY40" s="340" t="s">
        <v>464</v>
      </c>
    </row>
    <row r="41" spans="1:51" x14ac:dyDescent="0.25">
      <c r="A41" s="339" t="s">
        <v>441</v>
      </c>
      <c r="B41" s="339" t="s">
        <v>442</v>
      </c>
      <c r="C41" s="339" t="s">
        <v>443</v>
      </c>
      <c r="D41" s="339">
        <v>3</v>
      </c>
      <c r="E41" s="339">
        <v>2</v>
      </c>
      <c r="F41" s="339">
        <v>6.5</v>
      </c>
      <c r="G41" s="340">
        <v>2006410200</v>
      </c>
      <c r="H41" s="346">
        <v>64102</v>
      </c>
      <c r="I41" s="348">
        <v>16</v>
      </c>
      <c r="J41" s="341">
        <v>4</v>
      </c>
      <c r="K41" s="341">
        <v>17</v>
      </c>
      <c r="L41" s="348">
        <f t="shared" si="1"/>
        <v>21</v>
      </c>
      <c r="M41" s="341">
        <v>64</v>
      </c>
      <c r="N41" s="340" t="s">
        <v>661</v>
      </c>
      <c r="O41" s="340">
        <v>10</v>
      </c>
      <c r="P41" s="340" t="s">
        <v>665</v>
      </c>
      <c r="Q41" s="340" t="s">
        <v>0</v>
      </c>
      <c r="R41" s="340" t="s">
        <v>446</v>
      </c>
      <c r="S41" s="340" t="s">
        <v>447</v>
      </c>
      <c r="T41" s="340">
        <v>2</v>
      </c>
      <c r="U41" s="340" t="s">
        <v>0</v>
      </c>
      <c r="V41" s="340" t="s">
        <v>448</v>
      </c>
      <c r="W41" s="340" t="s">
        <v>0</v>
      </c>
      <c r="X41" s="340" t="s">
        <v>666</v>
      </c>
      <c r="Y41" s="340" t="s">
        <v>0</v>
      </c>
      <c r="Z41" s="340" t="s">
        <v>667</v>
      </c>
      <c r="AA41" s="340" t="s">
        <v>0</v>
      </c>
      <c r="AB41" s="340" t="s">
        <v>668</v>
      </c>
      <c r="AC41" s="340" t="s">
        <v>0</v>
      </c>
      <c r="AD41" s="340">
        <v>70530</v>
      </c>
      <c r="AE41" s="340" t="s">
        <v>452</v>
      </c>
      <c r="AF41" s="340" t="s">
        <v>453</v>
      </c>
      <c r="AG41" s="340" t="s">
        <v>447</v>
      </c>
      <c r="AH41" s="342">
        <v>44816</v>
      </c>
      <c r="AI41" s="340" t="s">
        <v>454</v>
      </c>
      <c r="AJ41" s="340" t="s">
        <v>455</v>
      </c>
      <c r="AK41" s="340" t="s">
        <v>456</v>
      </c>
      <c r="AL41" s="340" t="s">
        <v>457</v>
      </c>
      <c r="AM41" s="340">
        <v>6</v>
      </c>
      <c r="AN41" s="340" t="s">
        <v>458</v>
      </c>
      <c r="AO41" s="340" t="s">
        <v>459</v>
      </c>
      <c r="AP41" s="340">
        <v>3</v>
      </c>
      <c r="AQ41" s="340" t="s">
        <v>460</v>
      </c>
      <c r="AR41" s="340">
        <v>3692</v>
      </c>
      <c r="AS41" s="340" t="s">
        <v>538</v>
      </c>
      <c r="AT41" s="340">
        <v>1</v>
      </c>
      <c r="AU41" s="340" t="s">
        <v>462</v>
      </c>
      <c r="AV41" s="343">
        <v>0.375</v>
      </c>
      <c r="AW41" s="343">
        <v>0.58333333333333337</v>
      </c>
      <c r="AX41" s="340" t="s">
        <v>463</v>
      </c>
      <c r="AY41" s="340" t="s">
        <v>464</v>
      </c>
    </row>
    <row r="42" spans="1:51" x14ac:dyDescent="0.25">
      <c r="A42" s="339" t="s">
        <v>441</v>
      </c>
      <c r="B42" s="339" t="s">
        <v>442</v>
      </c>
      <c r="C42" s="339" t="s">
        <v>443</v>
      </c>
      <c r="D42" s="339">
        <v>3</v>
      </c>
      <c r="E42" s="339">
        <v>5</v>
      </c>
      <c r="F42" s="339">
        <v>6.5</v>
      </c>
      <c r="G42" s="340">
        <v>2006610100</v>
      </c>
      <c r="H42" s="346">
        <v>66101</v>
      </c>
      <c r="I42" s="348">
        <v>53</v>
      </c>
      <c r="J42" s="341">
        <v>38</v>
      </c>
      <c r="K42" s="341">
        <v>52</v>
      </c>
      <c r="L42" s="348">
        <f t="shared" si="1"/>
        <v>90</v>
      </c>
      <c r="M42" s="341">
        <v>66</v>
      </c>
      <c r="N42" s="340" t="s">
        <v>669</v>
      </c>
      <c r="O42" s="340">
        <v>11</v>
      </c>
      <c r="P42" s="340" t="s">
        <v>670</v>
      </c>
      <c r="Q42" s="340" t="s">
        <v>0</v>
      </c>
      <c r="R42" s="340" t="s">
        <v>446</v>
      </c>
      <c r="S42" s="340" t="s">
        <v>447</v>
      </c>
      <c r="T42" s="340">
        <v>2</v>
      </c>
      <c r="U42" s="340" t="s">
        <v>0</v>
      </c>
      <c r="V42" s="340" t="s">
        <v>448</v>
      </c>
      <c r="W42" s="340" t="s">
        <v>0</v>
      </c>
      <c r="X42" s="340" t="s">
        <v>465</v>
      </c>
      <c r="Y42" s="340" t="s">
        <v>0</v>
      </c>
      <c r="Z42" s="340" t="s">
        <v>671</v>
      </c>
      <c r="AA42" s="340" t="s">
        <v>0</v>
      </c>
      <c r="AB42" s="340" t="s">
        <v>466</v>
      </c>
      <c r="AC42" s="340" t="s">
        <v>0</v>
      </c>
      <c r="AD42" s="340">
        <v>70135</v>
      </c>
      <c r="AE42" s="340" t="s">
        <v>452</v>
      </c>
      <c r="AF42" s="340" t="s">
        <v>453</v>
      </c>
      <c r="AG42" s="340" t="s">
        <v>447</v>
      </c>
      <c r="AH42" s="342">
        <v>43735</v>
      </c>
      <c r="AI42" s="340" t="s">
        <v>454</v>
      </c>
      <c r="AJ42" s="340" t="s">
        <v>455</v>
      </c>
      <c r="AK42" s="340" t="s">
        <v>456</v>
      </c>
      <c r="AL42" s="340" t="s">
        <v>457</v>
      </c>
      <c r="AM42" s="340">
        <v>6</v>
      </c>
      <c r="AN42" s="340" t="s">
        <v>458</v>
      </c>
      <c r="AO42" s="340" t="s">
        <v>459</v>
      </c>
      <c r="AP42" s="340">
        <v>3</v>
      </c>
      <c r="AQ42" s="340" t="s">
        <v>460</v>
      </c>
      <c r="AR42" s="340">
        <v>3152</v>
      </c>
      <c r="AS42" s="340" t="s">
        <v>588</v>
      </c>
      <c r="AT42" s="340">
        <v>1</v>
      </c>
      <c r="AU42" s="340" t="s">
        <v>462</v>
      </c>
      <c r="AV42" s="343">
        <v>0.375</v>
      </c>
      <c r="AW42" s="343">
        <v>0.58333333333333337</v>
      </c>
      <c r="AX42" s="340" t="s">
        <v>463</v>
      </c>
      <c r="AY42" s="340" t="s">
        <v>464</v>
      </c>
    </row>
    <row r="43" spans="1:51" x14ac:dyDescent="0.25">
      <c r="A43" s="339" t="s">
        <v>441</v>
      </c>
      <c r="B43" s="339" t="s">
        <v>442</v>
      </c>
      <c r="C43" s="339" t="s">
        <v>469</v>
      </c>
      <c r="D43" s="339">
        <v>2</v>
      </c>
      <c r="E43" s="339">
        <v>7</v>
      </c>
      <c r="F43" s="339">
        <v>6.5</v>
      </c>
      <c r="G43" s="340">
        <v>2007310100</v>
      </c>
      <c r="H43" s="346">
        <v>73101</v>
      </c>
      <c r="I43" s="348">
        <v>49</v>
      </c>
      <c r="J43" s="341">
        <v>38</v>
      </c>
      <c r="K43" s="341">
        <v>45</v>
      </c>
      <c r="L43" s="348">
        <f t="shared" ref="L43:L55" si="2">J43+K43</f>
        <v>83</v>
      </c>
      <c r="M43" s="341">
        <v>73</v>
      </c>
      <c r="N43" s="340" t="s">
        <v>673</v>
      </c>
      <c r="O43" s="340">
        <v>3</v>
      </c>
      <c r="P43" s="340" t="s">
        <v>674</v>
      </c>
      <c r="Q43" s="340" t="s">
        <v>0</v>
      </c>
      <c r="R43" s="340" t="s">
        <v>446</v>
      </c>
      <c r="S43" s="340" t="s">
        <v>447</v>
      </c>
      <c r="T43" s="340">
        <v>1</v>
      </c>
      <c r="U43" s="340" t="s">
        <v>0</v>
      </c>
      <c r="V43" s="340" t="s">
        <v>511</v>
      </c>
      <c r="W43" s="340" t="s">
        <v>0</v>
      </c>
      <c r="X43" s="340" t="s">
        <v>675</v>
      </c>
      <c r="Y43" s="340" t="s">
        <v>0</v>
      </c>
      <c r="Z43" s="340" t="s">
        <v>450</v>
      </c>
      <c r="AA43" s="340" t="s">
        <v>0</v>
      </c>
      <c r="AB43" s="340" t="s">
        <v>660</v>
      </c>
      <c r="AC43" s="340" t="s">
        <v>0</v>
      </c>
      <c r="AD43" s="340">
        <v>71000</v>
      </c>
      <c r="AE43" s="340" t="s">
        <v>452</v>
      </c>
      <c r="AF43" s="340" t="s">
        <v>453</v>
      </c>
      <c r="AG43" s="340" t="s">
        <v>447</v>
      </c>
      <c r="AH43" s="342">
        <v>34731</v>
      </c>
      <c r="AI43" s="340" t="s">
        <v>454</v>
      </c>
      <c r="AJ43" s="340" t="s">
        <v>455</v>
      </c>
      <c r="AK43" s="340" t="s">
        <v>456</v>
      </c>
      <c r="AL43" s="340" t="s">
        <v>457</v>
      </c>
      <c r="AM43" s="340">
        <v>6</v>
      </c>
      <c r="AN43" s="340" t="s">
        <v>458</v>
      </c>
      <c r="AO43" s="340" t="s">
        <v>459</v>
      </c>
      <c r="AP43" s="340">
        <v>3</v>
      </c>
      <c r="AQ43" s="340" t="s">
        <v>460</v>
      </c>
      <c r="AR43" s="340">
        <v>3123</v>
      </c>
      <c r="AS43" s="340" t="s">
        <v>539</v>
      </c>
      <c r="AT43" s="340">
        <v>1</v>
      </c>
      <c r="AU43" s="340" t="s">
        <v>462</v>
      </c>
      <c r="AV43" s="343">
        <v>0.375</v>
      </c>
      <c r="AW43" s="343">
        <v>0.58333333333333337</v>
      </c>
      <c r="AX43" s="340" t="s">
        <v>463</v>
      </c>
      <c r="AY43" s="340" t="s">
        <v>464</v>
      </c>
    </row>
    <row r="44" spans="1:51" x14ac:dyDescent="0.25">
      <c r="A44" s="339" t="s">
        <v>441</v>
      </c>
      <c r="B44" s="339" t="s">
        <v>442</v>
      </c>
      <c r="C44" s="339" t="s">
        <v>469</v>
      </c>
      <c r="D44" s="339">
        <v>2</v>
      </c>
      <c r="E44" s="339">
        <v>7</v>
      </c>
      <c r="F44" s="339">
        <v>6.5</v>
      </c>
      <c r="G44" s="340">
        <v>2007311300</v>
      </c>
      <c r="H44" s="346">
        <v>73113</v>
      </c>
      <c r="I44" s="348">
        <v>66</v>
      </c>
      <c r="J44" s="341">
        <v>25</v>
      </c>
      <c r="K44" s="341">
        <v>54</v>
      </c>
      <c r="L44" s="348">
        <f t="shared" si="2"/>
        <v>79</v>
      </c>
      <c r="M44" s="341">
        <v>73</v>
      </c>
      <c r="N44" s="340" t="s">
        <v>673</v>
      </c>
      <c r="O44" s="340">
        <v>32</v>
      </c>
      <c r="P44" s="340" t="s">
        <v>676</v>
      </c>
      <c r="Q44" s="340" t="s">
        <v>0</v>
      </c>
      <c r="R44" s="340" t="s">
        <v>446</v>
      </c>
      <c r="S44" s="340" t="s">
        <v>447</v>
      </c>
      <c r="T44" s="340">
        <v>2</v>
      </c>
      <c r="U44" s="340" t="s">
        <v>0</v>
      </c>
      <c r="V44" s="340" t="s">
        <v>448</v>
      </c>
      <c r="W44" s="340" t="s">
        <v>0</v>
      </c>
      <c r="X44" s="340" t="s">
        <v>677</v>
      </c>
      <c r="Y44" s="340" t="s">
        <v>0</v>
      </c>
      <c r="Z44" s="340" t="s">
        <v>678</v>
      </c>
      <c r="AA44" s="340" t="s">
        <v>0</v>
      </c>
      <c r="AB44" s="340" t="s">
        <v>679</v>
      </c>
      <c r="AC44" s="340" t="s">
        <v>0</v>
      </c>
      <c r="AD44" s="340">
        <v>71012</v>
      </c>
      <c r="AE44" s="340" t="s">
        <v>452</v>
      </c>
      <c r="AF44" s="340" t="s">
        <v>453</v>
      </c>
      <c r="AG44" s="340" t="s">
        <v>447</v>
      </c>
      <c r="AH44" s="342">
        <v>44678</v>
      </c>
      <c r="AI44" s="340" t="s">
        <v>454</v>
      </c>
      <c r="AJ44" s="340" t="s">
        <v>455</v>
      </c>
      <c r="AK44" s="340" t="s">
        <v>456</v>
      </c>
      <c r="AL44" s="340" t="s">
        <v>457</v>
      </c>
      <c r="AM44" s="340">
        <v>6</v>
      </c>
      <c r="AN44" s="340" t="s">
        <v>458</v>
      </c>
      <c r="AO44" s="340" t="s">
        <v>459</v>
      </c>
      <c r="AP44" s="340">
        <v>3</v>
      </c>
      <c r="AQ44" s="340" t="s">
        <v>460</v>
      </c>
      <c r="AR44" s="340">
        <v>3123</v>
      </c>
      <c r="AS44" s="340" t="s">
        <v>539</v>
      </c>
      <c r="AT44" s="340">
        <v>1</v>
      </c>
      <c r="AU44" s="340" t="s">
        <v>462</v>
      </c>
      <c r="AV44" s="343">
        <v>0.375</v>
      </c>
      <c r="AW44" s="343">
        <v>0.58333333333333337</v>
      </c>
      <c r="AX44" s="340" t="s">
        <v>463</v>
      </c>
      <c r="AY44" s="340" t="s">
        <v>464</v>
      </c>
    </row>
    <row r="45" spans="1:51" x14ac:dyDescent="0.25">
      <c r="A45" s="339" t="s">
        <v>441</v>
      </c>
      <c r="B45" s="339" t="s">
        <v>442</v>
      </c>
      <c r="C45" s="339" t="s">
        <v>443</v>
      </c>
      <c r="D45" s="339">
        <v>2</v>
      </c>
      <c r="E45" s="339">
        <v>7</v>
      </c>
      <c r="F45" s="339">
        <v>6.5</v>
      </c>
      <c r="G45" s="340">
        <v>2007311400</v>
      </c>
      <c r="H45" s="346">
        <v>73114</v>
      </c>
      <c r="I45" s="348">
        <v>68</v>
      </c>
      <c r="J45" s="341">
        <v>44</v>
      </c>
      <c r="K45" s="341">
        <v>37</v>
      </c>
      <c r="L45" s="348">
        <f t="shared" si="2"/>
        <v>81</v>
      </c>
      <c r="M45" s="341">
        <v>73</v>
      </c>
      <c r="N45" s="340" t="s">
        <v>673</v>
      </c>
      <c r="O45" s="340">
        <v>22</v>
      </c>
      <c r="P45" s="340" t="s">
        <v>680</v>
      </c>
      <c r="Q45" s="340" t="s">
        <v>0</v>
      </c>
      <c r="R45" s="340" t="s">
        <v>446</v>
      </c>
      <c r="S45" s="340" t="s">
        <v>447</v>
      </c>
      <c r="T45" s="340">
        <v>2</v>
      </c>
      <c r="U45" s="340" t="s">
        <v>0</v>
      </c>
      <c r="V45" s="340" t="s">
        <v>448</v>
      </c>
      <c r="W45" s="340" t="s">
        <v>0</v>
      </c>
      <c r="X45" s="340" t="s">
        <v>681</v>
      </c>
      <c r="Y45" s="340" t="s">
        <v>0</v>
      </c>
      <c r="Z45" s="340" t="s">
        <v>682</v>
      </c>
      <c r="AA45" s="340" t="s">
        <v>0</v>
      </c>
      <c r="AB45" s="340" t="s">
        <v>466</v>
      </c>
      <c r="AC45" s="340" t="s">
        <v>0</v>
      </c>
      <c r="AD45" s="340">
        <v>71010</v>
      </c>
      <c r="AE45" s="340" t="s">
        <v>452</v>
      </c>
      <c r="AF45" s="340" t="s">
        <v>453</v>
      </c>
      <c r="AG45" s="340" t="s">
        <v>447</v>
      </c>
      <c r="AH45" s="342">
        <v>44952</v>
      </c>
      <c r="AI45" s="340" t="s">
        <v>454</v>
      </c>
      <c r="AJ45" s="340" t="s">
        <v>455</v>
      </c>
      <c r="AK45" s="340" t="s">
        <v>456</v>
      </c>
      <c r="AL45" s="340" t="s">
        <v>457</v>
      </c>
      <c r="AM45" s="340">
        <v>6</v>
      </c>
      <c r="AN45" s="340" t="s">
        <v>458</v>
      </c>
      <c r="AO45" s="340" t="s">
        <v>459</v>
      </c>
      <c r="AP45" s="340">
        <v>3</v>
      </c>
      <c r="AQ45" s="340" t="s">
        <v>460</v>
      </c>
      <c r="AR45" s="340">
        <v>3123</v>
      </c>
      <c r="AS45" s="340" t="s">
        <v>539</v>
      </c>
      <c r="AT45" s="340">
        <v>1</v>
      </c>
      <c r="AU45" s="340" t="s">
        <v>462</v>
      </c>
      <c r="AV45" s="343">
        <v>0.375</v>
      </c>
      <c r="AW45" s="343">
        <v>0.58333333333333337</v>
      </c>
      <c r="AX45" s="340" t="s">
        <v>463</v>
      </c>
      <c r="AY45" s="340" t="s">
        <v>464</v>
      </c>
    </row>
    <row r="46" spans="1:51" x14ac:dyDescent="0.25">
      <c r="A46" s="339" t="s">
        <v>441</v>
      </c>
      <c r="B46" s="339" t="s">
        <v>442</v>
      </c>
      <c r="C46" s="339" t="s">
        <v>443</v>
      </c>
      <c r="D46" s="339">
        <v>2</v>
      </c>
      <c r="E46" s="339">
        <v>7</v>
      </c>
      <c r="F46" s="339">
        <v>6.5</v>
      </c>
      <c r="G46" s="340">
        <v>2007311500</v>
      </c>
      <c r="H46" s="346">
        <v>73115</v>
      </c>
      <c r="I46" s="348">
        <v>104</v>
      </c>
      <c r="J46" s="341">
        <v>32</v>
      </c>
      <c r="K46" s="341">
        <v>91</v>
      </c>
      <c r="L46" s="348">
        <f t="shared" si="2"/>
        <v>123</v>
      </c>
      <c r="M46" s="341">
        <v>73</v>
      </c>
      <c r="N46" s="340" t="s">
        <v>673</v>
      </c>
      <c r="O46" s="340">
        <v>4</v>
      </c>
      <c r="P46" s="340" t="s">
        <v>683</v>
      </c>
      <c r="Q46" s="340" t="s">
        <v>0</v>
      </c>
      <c r="R46" s="340" t="s">
        <v>446</v>
      </c>
      <c r="S46" s="340" t="s">
        <v>447</v>
      </c>
      <c r="T46" s="340">
        <v>2</v>
      </c>
      <c r="U46" s="340" t="s">
        <v>0</v>
      </c>
      <c r="V46" s="340" t="s">
        <v>448</v>
      </c>
      <c r="W46" s="340" t="s">
        <v>0</v>
      </c>
      <c r="X46" s="340" t="s">
        <v>684</v>
      </c>
      <c r="Y46" s="340" t="s">
        <v>0</v>
      </c>
      <c r="Z46" s="340" t="s">
        <v>685</v>
      </c>
      <c r="AA46" s="340" t="s">
        <v>0</v>
      </c>
      <c r="AB46" s="340" t="s">
        <v>686</v>
      </c>
      <c r="AC46" s="340" t="s">
        <v>0</v>
      </c>
      <c r="AD46" s="340">
        <v>71020</v>
      </c>
      <c r="AE46" s="340" t="s">
        <v>452</v>
      </c>
      <c r="AF46" s="340" t="s">
        <v>453</v>
      </c>
      <c r="AG46" s="340" t="s">
        <v>447</v>
      </c>
      <c r="AH46" s="342">
        <v>46009</v>
      </c>
      <c r="AI46" s="340" t="s">
        <v>454</v>
      </c>
      <c r="AJ46" s="340" t="s">
        <v>455</v>
      </c>
      <c r="AK46" s="340" t="s">
        <v>456</v>
      </c>
      <c r="AL46" s="340" t="s">
        <v>457</v>
      </c>
      <c r="AM46" s="340">
        <v>6</v>
      </c>
      <c r="AN46" s="340" t="s">
        <v>458</v>
      </c>
      <c r="AO46" s="340" t="s">
        <v>459</v>
      </c>
      <c r="AP46" s="340">
        <v>3</v>
      </c>
      <c r="AQ46" s="340" t="s">
        <v>460</v>
      </c>
      <c r="AR46" s="340">
        <v>3123</v>
      </c>
      <c r="AS46" s="340" t="s">
        <v>539</v>
      </c>
      <c r="AT46" s="340">
        <v>208781</v>
      </c>
      <c r="AU46" s="340" t="s">
        <v>485</v>
      </c>
      <c r="AV46" s="343">
        <v>0.375</v>
      </c>
      <c r="AW46" s="343">
        <v>0.58333333333333337</v>
      </c>
      <c r="AX46" s="340" t="s">
        <v>463</v>
      </c>
      <c r="AY46" s="340" t="s">
        <v>464</v>
      </c>
    </row>
    <row r="47" spans="1:51" x14ac:dyDescent="0.25">
      <c r="A47" s="339" t="s">
        <v>441</v>
      </c>
      <c r="B47" s="339" t="s">
        <v>442</v>
      </c>
      <c r="C47" s="339" t="s">
        <v>469</v>
      </c>
      <c r="D47" s="339">
        <v>2</v>
      </c>
      <c r="E47" s="339">
        <v>7</v>
      </c>
      <c r="F47" s="339">
        <v>6.5</v>
      </c>
      <c r="G47" s="340">
        <v>2007610100</v>
      </c>
      <c r="H47" s="346">
        <v>76101</v>
      </c>
      <c r="I47" s="348">
        <v>78</v>
      </c>
      <c r="J47" s="341">
        <v>62</v>
      </c>
      <c r="K47" s="341">
        <v>60</v>
      </c>
      <c r="L47" s="348">
        <f t="shared" si="2"/>
        <v>122</v>
      </c>
      <c r="M47" s="341">
        <v>76</v>
      </c>
      <c r="N47" s="340" t="s">
        <v>687</v>
      </c>
      <c r="O47" s="340">
        <v>1</v>
      </c>
      <c r="P47" s="340" t="s">
        <v>687</v>
      </c>
      <c r="Q47" s="340" t="s">
        <v>0</v>
      </c>
      <c r="R47" s="340" t="s">
        <v>446</v>
      </c>
      <c r="S47" s="340" t="s">
        <v>447</v>
      </c>
      <c r="T47" s="340">
        <v>3</v>
      </c>
      <c r="U47" s="340" t="s">
        <v>0</v>
      </c>
      <c r="V47" s="340" t="s">
        <v>472</v>
      </c>
      <c r="W47" s="340" t="s">
        <v>0</v>
      </c>
      <c r="X47" s="340" t="s">
        <v>688</v>
      </c>
      <c r="Y47" s="340" t="s">
        <v>0</v>
      </c>
      <c r="Z47" s="340" t="s">
        <v>450</v>
      </c>
      <c r="AA47" s="340" t="s">
        <v>0</v>
      </c>
      <c r="AB47" s="340" t="s">
        <v>689</v>
      </c>
      <c r="AC47" s="340" t="s">
        <v>0</v>
      </c>
      <c r="AD47" s="340">
        <v>77777</v>
      </c>
      <c r="AE47" s="340" t="s">
        <v>452</v>
      </c>
      <c r="AF47" s="340" t="s">
        <v>453</v>
      </c>
      <c r="AG47" s="340" t="s">
        <v>447</v>
      </c>
      <c r="AH47" s="342">
        <v>41017</v>
      </c>
      <c r="AI47" s="340" t="s">
        <v>454</v>
      </c>
      <c r="AJ47" s="340" t="s">
        <v>455</v>
      </c>
      <c r="AK47" s="340" t="s">
        <v>456</v>
      </c>
      <c r="AL47" s="340" t="s">
        <v>457</v>
      </c>
      <c r="AM47" s="340">
        <v>6</v>
      </c>
      <c r="AN47" s="340" t="s">
        <v>458</v>
      </c>
      <c r="AO47" s="340" t="s">
        <v>459</v>
      </c>
      <c r="AP47" s="340">
        <v>3</v>
      </c>
      <c r="AQ47" s="340" t="s">
        <v>460</v>
      </c>
      <c r="AR47" s="340">
        <v>3123</v>
      </c>
      <c r="AS47" s="340" t="s">
        <v>539</v>
      </c>
      <c r="AT47" s="340">
        <v>1</v>
      </c>
      <c r="AU47" s="340" t="s">
        <v>462</v>
      </c>
      <c r="AV47" s="340" t="s">
        <v>447</v>
      </c>
      <c r="AW47" s="340" t="s">
        <v>447</v>
      </c>
      <c r="AX47" s="340" t="s">
        <v>463</v>
      </c>
      <c r="AY47" s="340" t="s">
        <v>464</v>
      </c>
    </row>
    <row r="48" spans="1:51" x14ac:dyDescent="0.25">
      <c r="A48" s="339" t="s">
        <v>441</v>
      </c>
      <c r="B48" s="339" t="s">
        <v>442</v>
      </c>
      <c r="C48" s="339" t="s">
        <v>443</v>
      </c>
      <c r="D48" s="339">
        <v>2</v>
      </c>
      <c r="E48" s="339">
        <v>7</v>
      </c>
      <c r="F48" s="339">
        <v>6.5</v>
      </c>
      <c r="G48" s="340">
        <v>2007610200</v>
      </c>
      <c r="H48" s="346">
        <v>76102</v>
      </c>
      <c r="I48" s="348">
        <v>61</v>
      </c>
      <c r="J48" s="341">
        <v>41</v>
      </c>
      <c r="K48" s="341">
        <v>53</v>
      </c>
      <c r="L48" s="348">
        <f t="shared" si="2"/>
        <v>94</v>
      </c>
      <c r="M48" s="341">
        <v>76</v>
      </c>
      <c r="N48" s="340" t="s">
        <v>687</v>
      </c>
      <c r="O48" s="340">
        <v>2</v>
      </c>
      <c r="P48" s="340" t="s">
        <v>690</v>
      </c>
      <c r="Q48" s="340" t="s">
        <v>0</v>
      </c>
      <c r="R48" s="340" t="s">
        <v>446</v>
      </c>
      <c r="S48" s="340" t="s">
        <v>447</v>
      </c>
      <c r="T48" s="340">
        <v>2</v>
      </c>
      <c r="U48" s="340" t="s">
        <v>0</v>
      </c>
      <c r="V48" s="340" t="s">
        <v>448</v>
      </c>
      <c r="W48" s="340" t="s">
        <v>0</v>
      </c>
      <c r="X48" s="340" t="s">
        <v>658</v>
      </c>
      <c r="Y48" s="340" t="s">
        <v>0</v>
      </c>
      <c r="Z48" s="340" t="s">
        <v>691</v>
      </c>
      <c r="AA48" s="340" t="s">
        <v>0</v>
      </c>
      <c r="AB48" s="340" t="s">
        <v>692</v>
      </c>
      <c r="AC48" s="340" t="s">
        <v>0</v>
      </c>
      <c r="AD48" s="340">
        <v>71081</v>
      </c>
      <c r="AE48" s="340" t="s">
        <v>452</v>
      </c>
      <c r="AF48" s="340" t="s">
        <v>453</v>
      </c>
      <c r="AG48" s="340" t="s">
        <v>447</v>
      </c>
      <c r="AH48" s="342">
        <v>45642</v>
      </c>
      <c r="AI48" s="340" t="s">
        <v>454</v>
      </c>
      <c r="AJ48" s="340" t="s">
        <v>455</v>
      </c>
      <c r="AK48" s="340" t="s">
        <v>456</v>
      </c>
      <c r="AL48" s="340" t="s">
        <v>457</v>
      </c>
      <c r="AM48" s="340">
        <v>6</v>
      </c>
      <c r="AN48" s="340" t="s">
        <v>458</v>
      </c>
      <c r="AO48" s="340" t="s">
        <v>459</v>
      </c>
      <c r="AP48" s="340">
        <v>3</v>
      </c>
      <c r="AQ48" s="340" t="s">
        <v>460</v>
      </c>
      <c r="AR48" s="340">
        <v>3123</v>
      </c>
      <c r="AS48" s="340" t="s">
        <v>539</v>
      </c>
      <c r="AT48" s="340">
        <v>208653</v>
      </c>
      <c r="AU48" s="340" t="s">
        <v>495</v>
      </c>
      <c r="AV48" s="343">
        <v>0.375</v>
      </c>
      <c r="AW48" s="343">
        <v>0.58333333333333337</v>
      </c>
      <c r="AX48" s="340" t="s">
        <v>463</v>
      </c>
      <c r="AY48" s="340" t="s">
        <v>464</v>
      </c>
    </row>
    <row r="49" spans="1:51" x14ac:dyDescent="0.25">
      <c r="A49" s="339" t="s">
        <v>441</v>
      </c>
      <c r="B49" s="339" t="s">
        <v>442</v>
      </c>
      <c r="C49" s="339" t="s">
        <v>443</v>
      </c>
      <c r="D49" s="339">
        <v>2</v>
      </c>
      <c r="E49" s="339">
        <v>6</v>
      </c>
      <c r="F49" s="339">
        <v>6.5</v>
      </c>
      <c r="G49" s="340">
        <v>2008210200</v>
      </c>
      <c r="H49" s="346">
        <v>82102</v>
      </c>
      <c r="I49" s="348">
        <v>31</v>
      </c>
      <c r="J49" s="341">
        <v>19</v>
      </c>
      <c r="K49" s="341">
        <v>29</v>
      </c>
      <c r="L49" s="348">
        <f t="shared" si="2"/>
        <v>48</v>
      </c>
      <c r="M49" s="341">
        <v>82</v>
      </c>
      <c r="N49" s="340" t="s">
        <v>693</v>
      </c>
      <c r="O49" s="340">
        <v>1</v>
      </c>
      <c r="P49" s="340" t="s">
        <v>694</v>
      </c>
      <c r="Q49" s="340" t="s">
        <v>0</v>
      </c>
      <c r="R49" s="340" t="s">
        <v>446</v>
      </c>
      <c r="S49" s="340" t="s">
        <v>447</v>
      </c>
      <c r="T49" s="340">
        <v>2</v>
      </c>
      <c r="U49" s="340" t="s">
        <v>0</v>
      </c>
      <c r="V49" s="340" t="s">
        <v>448</v>
      </c>
      <c r="W49" s="340" t="s">
        <v>0</v>
      </c>
      <c r="X49" s="340" t="s">
        <v>695</v>
      </c>
      <c r="Y49" s="340" t="s">
        <v>0</v>
      </c>
      <c r="Z49" s="340" t="s">
        <v>450</v>
      </c>
      <c r="AA49" s="340" t="s">
        <v>0</v>
      </c>
      <c r="AB49" s="340" t="s">
        <v>696</v>
      </c>
      <c r="AC49" s="340" t="s">
        <v>0</v>
      </c>
      <c r="AD49" s="340">
        <v>71764</v>
      </c>
      <c r="AE49" s="340" t="s">
        <v>452</v>
      </c>
      <c r="AF49" s="340" t="s">
        <v>453</v>
      </c>
      <c r="AG49" s="340" t="s">
        <v>447</v>
      </c>
      <c r="AH49" s="342">
        <v>43388</v>
      </c>
      <c r="AI49" s="340" t="s">
        <v>454</v>
      </c>
      <c r="AJ49" s="340" t="s">
        <v>455</v>
      </c>
      <c r="AK49" s="340" t="s">
        <v>456</v>
      </c>
      <c r="AL49" s="340" t="s">
        <v>457</v>
      </c>
      <c r="AM49" s="340">
        <v>6</v>
      </c>
      <c r="AN49" s="340" t="s">
        <v>458</v>
      </c>
      <c r="AO49" s="340" t="s">
        <v>459</v>
      </c>
      <c r="AP49" s="340">
        <v>3</v>
      </c>
      <c r="AQ49" s="340" t="s">
        <v>460</v>
      </c>
      <c r="AR49" s="340">
        <v>3102</v>
      </c>
      <c r="AS49" s="340" t="s">
        <v>697</v>
      </c>
      <c r="AT49" s="340">
        <v>1</v>
      </c>
      <c r="AU49" s="340" t="s">
        <v>462</v>
      </c>
      <c r="AV49" s="343">
        <v>0.375</v>
      </c>
      <c r="AW49" s="343">
        <v>0.58333333333333337</v>
      </c>
      <c r="AX49" s="340" t="s">
        <v>463</v>
      </c>
      <c r="AY49" s="340" t="s">
        <v>464</v>
      </c>
    </row>
    <row r="50" spans="1:51" x14ac:dyDescent="0.25">
      <c r="A50" s="339" t="s">
        <v>441</v>
      </c>
      <c r="B50" s="339" t="s">
        <v>442</v>
      </c>
      <c r="C50" s="339" t="s">
        <v>443</v>
      </c>
      <c r="D50" s="339">
        <v>2</v>
      </c>
      <c r="E50" s="339">
        <v>6</v>
      </c>
      <c r="F50" s="339">
        <v>6.5</v>
      </c>
      <c r="G50" s="340">
        <v>2008210300</v>
      </c>
      <c r="H50" s="346">
        <v>82103</v>
      </c>
      <c r="I50" s="348">
        <v>25</v>
      </c>
      <c r="J50" s="341">
        <v>24</v>
      </c>
      <c r="K50" s="341">
        <v>24</v>
      </c>
      <c r="L50" s="348">
        <f t="shared" si="2"/>
        <v>48</v>
      </c>
      <c r="M50" s="341">
        <v>82</v>
      </c>
      <c r="N50" s="340" t="s">
        <v>693</v>
      </c>
      <c r="O50" s="340">
        <v>6</v>
      </c>
      <c r="P50" s="340" t="s">
        <v>698</v>
      </c>
      <c r="Q50" s="340" t="s">
        <v>0</v>
      </c>
      <c r="R50" s="340" t="s">
        <v>446</v>
      </c>
      <c r="S50" s="340" t="s">
        <v>447</v>
      </c>
      <c r="T50" s="340">
        <v>2</v>
      </c>
      <c r="U50" s="340" t="s">
        <v>0</v>
      </c>
      <c r="V50" s="340" t="s">
        <v>448</v>
      </c>
      <c r="W50" s="340" t="s">
        <v>0</v>
      </c>
      <c r="X50" s="340" t="s">
        <v>699</v>
      </c>
      <c r="Y50" s="340" t="s">
        <v>0</v>
      </c>
      <c r="Z50" s="340" t="s">
        <v>450</v>
      </c>
      <c r="AA50" s="340" t="s">
        <v>0</v>
      </c>
      <c r="AB50" s="340" t="s">
        <v>700</v>
      </c>
      <c r="AC50" s="340" t="s">
        <v>0</v>
      </c>
      <c r="AD50" s="340">
        <v>71768</v>
      </c>
      <c r="AE50" s="340" t="s">
        <v>452</v>
      </c>
      <c r="AF50" s="340" t="s">
        <v>453</v>
      </c>
      <c r="AG50" s="340" t="s">
        <v>447</v>
      </c>
      <c r="AH50" s="342">
        <v>44375</v>
      </c>
      <c r="AI50" s="340" t="s">
        <v>454</v>
      </c>
      <c r="AJ50" s="340" t="s">
        <v>455</v>
      </c>
      <c r="AK50" s="340" t="s">
        <v>456</v>
      </c>
      <c r="AL50" s="340" t="s">
        <v>457</v>
      </c>
      <c r="AM50" s="340">
        <v>6</v>
      </c>
      <c r="AN50" s="340" t="s">
        <v>458</v>
      </c>
      <c r="AO50" s="340" t="s">
        <v>459</v>
      </c>
      <c r="AP50" s="340">
        <v>3</v>
      </c>
      <c r="AQ50" s="340" t="s">
        <v>460</v>
      </c>
      <c r="AR50" s="340">
        <v>3102</v>
      </c>
      <c r="AS50" s="340" t="s">
        <v>697</v>
      </c>
      <c r="AT50" s="340">
        <v>1</v>
      </c>
      <c r="AU50" s="340" t="s">
        <v>462</v>
      </c>
      <c r="AV50" s="343">
        <v>0.375</v>
      </c>
      <c r="AW50" s="343">
        <v>0.58333333333333337</v>
      </c>
      <c r="AX50" s="340" t="s">
        <v>463</v>
      </c>
      <c r="AY50" s="340" t="s">
        <v>464</v>
      </c>
    </row>
    <row r="51" spans="1:51" x14ac:dyDescent="0.25">
      <c r="A51" s="339" t="s">
        <v>441</v>
      </c>
      <c r="B51" s="339" t="s">
        <v>442</v>
      </c>
      <c r="C51" s="339" t="s">
        <v>443</v>
      </c>
      <c r="D51" s="339">
        <v>4</v>
      </c>
      <c r="E51" s="339">
        <v>1</v>
      </c>
      <c r="F51" s="339">
        <v>6.5</v>
      </c>
      <c r="G51" s="340">
        <v>2008810400</v>
      </c>
      <c r="H51" s="346">
        <v>88104</v>
      </c>
      <c r="I51" s="348">
        <v>69</v>
      </c>
      <c r="J51" s="341">
        <v>47</v>
      </c>
      <c r="K51" s="341">
        <v>60</v>
      </c>
      <c r="L51" s="348">
        <f t="shared" si="2"/>
        <v>107</v>
      </c>
      <c r="M51" s="341">
        <v>88</v>
      </c>
      <c r="N51" s="340" t="s">
        <v>702</v>
      </c>
      <c r="O51" s="340">
        <v>1</v>
      </c>
      <c r="P51" s="340" t="s">
        <v>703</v>
      </c>
      <c r="Q51" s="340" t="s">
        <v>0</v>
      </c>
      <c r="R51" s="340" t="s">
        <v>446</v>
      </c>
      <c r="S51" s="340" t="s">
        <v>447</v>
      </c>
      <c r="T51" s="340">
        <v>2</v>
      </c>
      <c r="U51" s="340" t="s">
        <v>0</v>
      </c>
      <c r="V51" s="340" t="s">
        <v>448</v>
      </c>
      <c r="W51" s="340" t="s">
        <v>0</v>
      </c>
      <c r="X51" s="340" t="s">
        <v>704</v>
      </c>
      <c r="Y51" s="340" t="s">
        <v>0</v>
      </c>
      <c r="Z51" s="340" t="s">
        <v>450</v>
      </c>
      <c r="AA51" s="340" t="s">
        <v>0</v>
      </c>
      <c r="AB51" s="340" t="s">
        <v>705</v>
      </c>
      <c r="AC51" s="340" t="s">
        <v>0</v>
      </c>
      <c r="AD51" s="340">
        <v>71170</v>
      </c>
      <c r="AE51" s="340" t="s">
        <v>452</v>
      </c>
      <c r="AF51" s="340" t="s">
        <v>453</v>
      </c>
      <c r="AG51" s="340" t="s">
        <v>447</v>
      </c>
      <c r="AH51" s="342">
        <v>43398</v>
      </c>
      <c r="AI51" s="340" t="s">
        <v>454</v>
      </c>
      <c r="AJ51" s="340" t="s">
        <v>455</v>
      </c>
      <c r="AK51" s="340" t="s">
        <v>456</v>
      </c>
      <c r="AL51" s="340" t="s">
        <v>457</v>
      </c>
      <c r="AM51" s="340">
        <v>6</v>
      </c>
      <c r="AN51" s="340" t="s">
        <v>458</v>
      </c>
      <c r="AO51" s="340" t="s">
        <v>459</v>
      </c>
      <c r="AP51" s="340">
        <v>3</v>
      </c>
      <c r="AQ51" s="340" t="s">
        <v>460</v>
      </c>
      <c r="AR51" s="340">
        <v>3150</v>
      </c>
      <c r="AS51" s="340" t="s">
        <v>706</v>
      </c>
      <c r="AT51" s="340">
        <v>1</v>
      </c>
      <c r="AU51" s="340" t="s">
        <v>462</v>
      </c>
      <c r="AV51" s="343">
        <v>0.375</v>
      </c>
      <c r="AW51" s="343">
        <v>0.54166666666666663</v>
      </c>
      <c r="AX51" s="340" t="s">
        <v>463</v>
      </c>
      <c r="AY51" s="340" t="s">
        <v>464</v>
      </c>
    </row>
    <row r="52" spans="1:51" x14ac:dyDescent="0.25">
      <c r="A52" s="339" t="s">
        <v>441</v>
      </c>
      <c r="B52" s="339" t="s">
        <v>442</v>
      </c>
      <c r="C52" s="339" t="s">
        <v>469</v>
      </c>
      <c r="D52" s="339">
        <v>2</v>
      </c>
      <c r="E52" s="339">
        <v>6</v>
      </c>
      <c r="F52" s="339">
        <v>6.5</v>
      </c>
      <c r="G52" s="340">
        <v>2009010100</v>
      </c>
      <c r="H52" s="346">
        <v>90101</v>
      </c>
      <c r="I52" s="348">
        <v>166</v>
      </c>
      <c r="J52" s="341">
        <v>104</v>
      </c>
      <c r="K52" s="341">
        <v>122</v>
      </c>
      <c r="L52" s="348">
        <f t="shared" si="2"/>
        <v>226</v>
      </c>
      <c r="M52" s="341">
        <v>90</v>
      </c>
      <c r="N52" s="340" t="s">
        <v>707</v>
      </c>
      <c r="O52" s="340">
        <v>1</v>
      </c>
      <c r="P52" s="340" t="s">
        <v>708</v>
      </c>
      <c r="Q52" s="340" t="s">
        <v>0</v>
      </c>
      <c r="R52" s="340" t="s">
        <v>446</v>
      </c>
      <c r="S52" s="340" t="s">
        <v>447</v>
      </c>
      <c r="T52" s="340">
        <v>2</v>
      </c>
      <c r="U52" s="340" t="s">
        <v>0</v>
      </c>
      <c r="V52" s="340" t="s">
        <v>448</v>
      </c>
      <c r="W52" s="340" t="s">
        <v>0</v>
      </c>
      <c r="X52" s="340" t="s">
        <v>709</v>
      </c>
      <c r="Y52" s="340" t="s">
        <v>0</v>
      </c>
      <c r="Z52" s="340" t="s">
        <v>450</v>
      </c>
      <c r="AA52" s="340" t="s">
        <v>0</v>
      </c>
      <c r="AB52" s="340" t="s">
        <v>710</v>
      </c>
      <c r="AC52" s="340" t="s">
        <v>0</v>
      </c>
      <c r="AD52" s="340">
        <v>71770</v>
      </c>
      <c r="AE52" s="340" t="s">
        <v>452</v>
      </c>
      <c r="AF52" s="340" t="s">
        <v>453</v>
      </c>
      <c r="AG52" s="340" t="s">
        <v>447</v>
      </c>
      <c r="AH52" s="342">
        <v>34731</v>
      </c>
      <c r="AI52" s="340" t="s">
        <v>454</v>
      </c>
      <c r="AJ52" s="340" t="s">
        <v>455</v>
      </c>
      <c r="AK52" s="340" t="s">
        <v>456</v>
      </c>
      <c r="AL52" s="340" t="s">
        <v>457</v>
      </c>
      <c r="AM52" s="340">
        <v>6</v>
      </c>
      <c r="AN52" s="340" t="s">
        <v>458</v>
      </c>
      <c r="AO52" s="340" t="s">
        <v>459</v>
      </c>
      <c r="AP52" s="340">
        <v>3</v>
      </c>
      <c r="AQ52" s="340" t="s">
        <v>460</v>
      </c>
      <c r="AR52" s="340">
        <v>3102</v>
      </c>
      <c r="AS52" s="340" t="s">
        <v>697</v>
      </c>
      <c r="AT52" s="340">
        <v>1</v>
      </c>
      <c r="AU52" s="340" t="s">
        <v>462</v>
      </c>
      <c r="AV52" s="343">
        <v>0.33333333333333331</v>
      </c>
      <c r="AW52" s="343">
        <v>0.54166666666666663</v>
      </c>
      <c r="AX52" s="340" t="s">
        <v>463</v>
      </c>
      <c r="AY52" s="340" t="s">
        <v>464</v>
      </c>
    </row>
    <row r="53" spans="1:51" x14ac:dyDescent="0.25">
      <c r="A53" s="339" t="s">
        <v>441</v>
      </c>
      <c r="B53" s="339" t="s">
        <v>442</v>
      </c>
      <c r="C53" s="339" t="s">
        <v>443</v>
      </c>
      <c r="D53" s="339">
        <v>4</v>
      </c>
      <c r="E53" s="339">
        <v>3</v>
      </c>
      <c r="F53" s="339">
        <v>6.5</v>
      </c>
      <c r="G53" s="340">
        <v>2009310200</v>
      </c>
      <c r="H53" s="346">
        <v>93102</v>
      </c>
      <c r="I53" s="348">
        <v>55</v>
      </c>
      <c r="J53" s="341">
        <v>14</v>
      </c>
      <c r="K53" s="341">
        <v>55</v>
      </c>
      <c r="L53" s="348">
        <f t="shared" si="2"/>
        <v>69</v>
      </c>
      <c r="M53" s="341">
        <v>93</v>
      </c>
      <c r="N53" s="340" t="s">
        <v>711</v>
      </c>
      <c r="O53" s="340">
        <v>1</v>
      </c>
      <c r="P53" s="340" t="s">
        <v>712</v>
      </c>
      <c r="Q53" s="340" t="s">
        <v>0</v>
      </c>
      <c r="R53" s="340" t="s">
        <v>446</v>
      </c>
      <c r="S53" s="340" t="s">
        <v>447</v>
      </c>
      <c r="T53" s="340">
        <v>2</v>
      </c>
      <c r="U53" s="340" t="s">
        <v>0</v>
      </c>
      <c r="V53" s="340" t="s">
        <v>448</v>
      </c>
      <c r="W53" s="340" t="s">
        <v>0</v>
      </c>
      <c r="X53" s="340" t="s">
        <v>516</v>
      </c>
      <c r="Y53" s="340" t="s">
        <v>0</v>
      </c>
      <c r="Z53" s="340" t="s">
        <v>713</v>
      </c>
      <c r="AA53" s="340" t="s">
        <v>0</v>
      </c>
      <c r="AB53" s="340" t="s">
        <v>714</v>
      </c>
      <c r="AC53" s="340" t="s">
        <v>0</v>
      </c>
      <c r="AD53" s="340">
        <v>69550</v>
      </c>
      <c r="AE53" s="340" t="s">
        <v>452</v>
      </c>
      <c r="AF53" s="340" t="s">
        <v>453</v>
      </c>
      <c r="AG53" s="340" t="s">
        <v>447</v>
      </c>
      <c r="AH53" s="342">
        <v>44105</v>
      </c>
      <c r="AI53" s="340" t="s">
        <v>454</v>
      </c>
      <c r="AJ53" s="340" t="s">
        <v>455</v>
      </c>
      <c r="AK53" s="340" t="s">
        <v>456</v>
      </c>
      <c r="AL53" s="340" t="s">
        <v>457</v>
      </c>
      <c r="AM53" s="340">
        <v>6</v>
      </c>
      <c r="AN53" s="340" t="s">
        <v>458</v>
      </c>
      <c r="AO53" s="340" t="s">
        <v>459</v>
      </c>
      <c r="AP53" s="340">
        <v>3</v>
      </c>
      <c r="AQ53" s="340" t="s">
        <v>460</v>
      </c>
      <c r="AR53" s="340">
        <v>3151</v>
      </c>
      <c r="AS53" s="340" t="s">
        <v>715</v>
      </c>
      <c r="AT53" s="340">
        <v>1</v>
      </c>
      <c r="AU53" s="340" t="s">
        <v>462</v>
      </c>
      <c r="AV53" s="343">
        <v>0.375</v>
      </c>
      <c r="AW53" s="343">
        <v>0.58333333333333337</v>
      </c>
      <c r="AX53" s="340" t="s">
        <v>463</v>
      </c>
      <c r="AY53" s="340" t="s">
        <v>464</v>
      </c>
    </row>
    <row r="54" spans="1:51" x14ac:dyDescent="0.25">
      <c r="A54" s="339" t="s">
        <v>441</v>
      </c>
      <c r="B54" s="339" t="s">
        <v>442</v>
      </c>
      <c r="C54" s="339" t="s">
        <v>443</v>
      </c>
      <c r="D54" s="339">
        <v>6</v>
      </c>
      <c r="E54" s="339">
        <v>1</v>
      </c>
      <c r="F54" s="339">
        <v>6.5</v>
      </c>
      <c r="G54" s="340">
        <v>2009710100</v>
      </c>
      <c r="H54" s="346">
        <v>97101</v>
      </c>
      <c r="I54" s="348">
        <v>51</v>
      </c>
      <c r="J54" s="341">
        <v>32</v>
      </c>
      <c r="K54" s="341">
        <v>32</v>
      </c>
      <c r="L54" s="348">
        <f t="shared" si="2"/>
        <v>64</v>
      </c>
      <c r="M54" s="341">
        <v>97</v>
      </c>
      <c r="N54" s="340" t="s">
        <v>716</v>
      </c>
      <c r="O54" s="340">
        <v>3</v>
      </c>
      <c r="P54" s="340" t="s">
        <v>717</v>
      </c>
      <c r="Q54" s="340" t="s">
        <v>0</v>
      </c>
      <c r="R54" s="340" t="s">
        <v>446</v>
      </c>
      <c r="S54" s="340" t="s">
        <v>447</v>
      </c>
      <c r="T54" s="340">
        <v>2</v>
      </c>
      <c r="U54" s="340" t="s">
        <v>0</v>
      </c>
      <c r="V54" s="340" t="s">
        <v>448</v>
      </c>
      <c r="W54" s="340" t="s">
        <v>0</v>
      </c>
      <c r="X54" s="340" t="s">
        <v>516</v>
      </c>
      <c r="Y54" s="340" t="s">
        <v>0</v>
      </c>
      <c r="Z54" s="340" t="s">
        <v>718</v>
      </c>
      <c r="AA54" s="340" t="s">
        <v>0</v>
      </c>
      <c r="AB54" s="340" t="s">
        <v>719</v>
      </c>
      <c r="AC54" s="340" t="s">
        <v>0</v>
      </c>
      <c r="AD54" s="340">
        <v>68844</v>
      </c>
      <c r="AE54" s="340" t="s">
        <v>452</v>
      </c>
      <c r="AF54" s="340" t="s">
        <v>453</v>
      </c>
      <c r="AG54" s="340" t="s">
        <v>447</v>
      </c>
      <c r="AH54" s="342">
        <v>45337</v>
      </c>
      <c r="AI54" s="340" t="s">
        <v>454</v>
      </c>
      <c r="AJ54" s="340" t="s">
        <v>455</v>
      </c>
      <c r="AK54" s="340" t="s">
        <v>456</v>
      </c>
      <c r="AL54" s="340" t="s">
        <v>457</v>
      </c>
      <c r="AM54" s="340">
        <v>6</v>
      </c>
      <c r="AN54" s="340" t="s">
        <v>458</v>
      </c>
      <c r="AO54" s="340" t="s">
        <v>459</v>
      </c>
      <c r="AP54" s="340">
        <v>3</v>
      </c>
      <c r="AQ54" s="340" t="s">
        <v>460</v>
      </c>
      <c r="AR54" s="340">
        <v>3032</v>
      </c>
      <c r="AS54" s="340" t="s">
        <v>578</v>
      </c>
      <c r="AT54" s="340">
        <v>14553</v>
      </c>
      <c r="AU54" s="340" t="s">
        <v>720</v>
      </c>
      <c r="AV54" s="343">
        <v>0.375</v>
      </c>
      <c r="AW54" s="343">
        <v>0.58333333333333337</v>
      </c>
      <c r="AX54" s="340" t="s">
        <v>463</v>
      </c>
      <c r="AY54" s="340" t="s">
        <v>464</v>
      </c>
    </row>
    <row r="55" spans="1:51" x14ac:dyDescent="0.25">
      <c r="A55" s="339" t="s">
        <v>441</v>
      </c>
      <c r="B55" s="339" t="s">
        <v>442</v>
      </c>
      <c r="C55" s="339" t="s">
        <v>469</v>
      </c>
      <c r="D55" s="339">
        <v>4</v>
      </c>
      <c r="E55" s="339">
        <v>4</v>
      </c>
      <c r="F55" s="339">
        <v>6.5</v>
      </c>
      <c r="G55" s="340">
        <v>2010014400</v>
      </c>
      <c r="H55" s="346">
        <v>100144</v>
      </c>
      <c r="I55" s="348">
        <v>224</v>
      </c>
      <c r="J55" s="341">
        <v>117</v>
      </c>
      <c r="K55" s="341">
        <v>240</v>
      </c>
      <c r="L55" s="348">
        <f t="shared" si="2"/>
        <v>357</v>
      </c>
      <c r="M55" s="341">
        <v>540</v>
      </c>
      <c r="N55" s="340" t="s">
        <v>721</v>
      </c>
      <c r="O55" s="340">
        <v>1</v>
      </c>
      <c r="P55" s="340" t="s">
        <v>722</v>
      </c>
      <c r="Q55" s="340" t="s">
        <v>0</v>
      </c>
      <c r="R55" s="340" t="s">
        <v>446</v>
      </c>
      <c r="S55" s="340" t="s">
        <v>447</v>
      </c>
      <c r="T55" s="340">
        <v>5</v>
      </c>
      <c r="U55" s="340" t="s">
        <v>0</v>
      </c>
      <c r="V55" s="340" t="s">
        <v>723</v>
      </c>
      <c r="W55" s="340" t="s">
        <v>0</v>
      </c>
      <c r="X55" s="340" t="s">
        <v>724</v>
      </c>
      <c r="Y55" s="340" t="s">
        <v>0</v>
      </c>
      <c r="Z55" s="340" t="s">
        <v>450</v>
      </c>
      <c r="AA55" s="340" t="s">
        <v>0</v>
      </c>
      <c r="AB55" s="340" t="s">
        <v>725</v>
      </c>
      <c r="AC55" s="340" t="s">
        <v>0</v>
      </c>
      <c r="AD55" s="340">
        <v>69510</v>
      </c>
      <c r="AE55" s="340" t="s">
        <v>452</v>
      </c>
      <c r="AF55" s="340" t="s">
        <v>453</v>
      </c>
      <c r="AG55" s="340" t="s">
        <v>447</v>
      </c>
      <c r="AH55" s="342">
        <v>33307</v>
      </c>
      <c r="AI55" s="340" t="s">
        <v>454</v>
      </c>
      <c r="AJ55" s="340" t="s">
        <v>455</v>
      </c>
      <c r="AK55" s="340" t="s">
        <v>456</v>
      </c>
      <c r="AL55" s="340" t="s">
        <v>457</v>
      </c>
      <c r="AM55" s="340">
        <v>6</v>
      </c>
      <c r="AN55" s="340" t="s">
        <v>458</v>
      </c>
      <c r="AO55" s="340" t="s">
        <v>459</v>
      </c>
      <c r="AP55" s="340">
        <v>3</v>
      </c>
      <c r="AQ55" s="340" t="s">
        <v>460</v>
      </c>
      <c r="AR55" s="340">
        <v>3147</v>
      </c>
      <c r="AS55" s="340" t="s">
        <v>518</v>
      </c>
      <c r="AT55" s="340">
        <v>1</v>
      </c>
      <c r="AU55" s="340" t="s">
        <v>462</v>
      </c>
      <c r="AV55" s="340" t="s">
        <v>447</v>
      </c>
      <c r="AW55" s="340" t="s">
        <v>447</v>
      </c>
      <c r="AX55" s="340" t="s">
        <v>463</v>
      </c>
      <c r="AY55" s="340" t="s">
        <v>464</v>
      </c>
    </row>
    <row r="56" spans="1:51" x14ac:dyDescent="0.25">
      <c r="A56" s="339" t="s">
        <v>441</v>
      </c>
      <c r="B56" s="339" t="s">
        <v>442</v>
      </c>
      <c r="C56" s="339" t="s">
        <v>469</v>
      </c>
      <c r="D56" s="339">
        <v>4</v>
      </c>
      <c r="E56" s="339">
        <v>2</v>
      </c>
      <c r="F56" s="339">
        <v>6.5</v>
      </c>
      <c r="G56" s="340">
        <v>2010042600</v>
      </c>
      <c r="H56" s="346">
        <v>100426</v>
      </c>
      <c r="I56" s="348">
        <v>411</v>
      </c>
      <c r="J56" s="341">
        <v>253</v>
      </c>
      <c r="K56" s="341">
        <v>336</v>
      </c>
      <c r="L56" s="348">
        <f t="shared" ref="L56:L62" si="3">J56+K56</f>
        <v>589</v>
      </c>
      <c r="M56" s="341">
        <v>397</v>
      </c>
      <c r="N56" s="340" t="s">
        <v>726</v>
      </c>
      <c r="O56" s="340">
        <v>30</v>
      </c>
      <c r="P56" s="340" t="s">
        <v>727</v>
      </c>
      <c r="Q56" s="340" t="s">
        <v>0</v>
      </c>
      <c r="R56" s="340" t="s">
        <v>446</v>
      </c>
      <c r="S56" s="340" t="s">
        <v>447</v>
      </c>
      <c r="T56" s="340">
        <v>3</v>
      </c>
      <c r="U56" s="340" t="s">
        <v>0</v>
      </c>
      <c r="V56" s="340" t="s">
        <v>472</v>
      </c>
      <c r="W56" s="340" t="s">
        <v>0</v>
      </c>
      <c r="X56" s="340" t="s">
        <v>728</v>
      </c>
      <c r="Y56" s="340" t="s">
        <v>0</v>
      </c>
      <c r="Z56" s="340" t="s">
        <v>729</v>
      </c>
      <c r="AA56" s="340" t="s">
        <v>0</v>
      </c>
      <c r="AB56" s="340" t="s">
        <v>730</v>
      </c>
      <c r="AC56" s="340" t="s">
        <v>0</v>
      </c>
      <c r="AD56" s="340">
        <v>69800</v>
      </c>
      <c r="AE56" s="340" t="s">
        <v>452</v>
      </c>
      <c r="AF56" s="340" t="s">
        <v>453</v>
      </c>
      <c r="AG56" s="340" t="s">
        <v>447</v>
      </c>
      <c r="AH56" s="342">
        <v>33329</v>
      </c>
      <c r="AI56" s="340" t="s">
        <v>454</v>
      </c>
      <c r="AJ56" s="340" t="s">
        <v>455</v>
      </c>
      <c r="AK56" s="340" t="s">
        <v>456</v>
      </c>
      <c r="AL56" s="340" t="s">
        <v>457</v>
      </c>
      <c r="AM56" s="340">
        <v>6</v>
      </c>
      <c r="AN56" s="340" t="s">
        <v>458</v>
      </c>
      <c r="AO56" s="340" t="s">
        <v>459</v>
      </c>
      <c r="AP56" s="340">
        <v>3</v>
      </c>
      <c r="AQ56" s="340" t="s">
        <v>460</v>
      </c>
      <c r="AR56" s="340">
        <v>3073</v>
      </c>
      <c r="AS56" s="340" t="s">
        <v>591</v>
      </c>
      <c r="AT56" s="340">
        <v>1</v>
      </c>
      <c r="AU56" s="340" t="s">
        <v>462</v>
      </c>
      <c r="AV56" s="343">
        <v>0.375</v>
      </c>
      <c r="AW56" s="343">
        <v>0.58333333333333337</v>
      </c>
      <c r="AX56" s="340" t="s">
        <v>463</v>
      </c>
      <c r="AY56" s="340" t="s">
        <v>464</v>
      </c>
    </row>
    <row r="57" spans="1:51" x14ac:dyDescent="0.25">
      <c r="A57" s="339" t="s">
        <v>441</v>
      </c>
      <c r="B57" s="339" t="s">
        <v>442</v>
      </c>
      <c r="C57" s="339" t="s">
        <v>443</v>
      </c>
      <c r="D57" s="339">
        <v>7</v>
      </c>
      <c r="E57" s="339">
        <v>4</v>
      </c>
      <c r="F57" s="339">
        <v>6.5</v>
      </c>
      <c r="G57" s="340">
        <v>2010110200</v>
      </c>
      <c r="H57" s="346">
        <v>101102</v>
      </c>
      <c r="I57" s="348">
        <v>17</v>
      </c>
      <c r="J57" s="341">
        <v>13</v>
      </c>
      <c r="K57" s="341">
        <v>13</v>
      </c>
      <c r="L57" s="348">
        <f t="shared" si="3"/>
        <v>26</v>
      </c>
      <c r="M57" s="341">
        <v>28</v>
      </c>
      <c r="N57" s="340" t="s">
        <v>525</v>
      </c>
      <c r="O57" s="340">
        <v>18</v>
      </c>
      <c r="P57" s="340" t="s">
        <v>731</v>
      </c>
      <c r="Q57" s="340" t="s">
        <v>0</v>
      </c>
      <c r="R57" s="340" t="s">
        <v>446</v>
      </c>
      <c r="S57" s="340" t="s">
        <v>447</v>
      </c>
      <c r="T57" s="340">
        <v>2</v>
      </c>
      <c r="U57" s="340" t="s">
        <v>0</v>
      </c>
      <c r="V57" s="340" t="s">
        <v>448</v>
      </c>
      <c r="W57" s="340" t="s">
        <v>0</v>
      </c>
      <c r="X57" s="340" t="s">
        <v>732</v>
      </c>
      <c r="Y57" s="340" t="s">
        <v>0</v>
      </c>
      <c r="Z57" s="340" t="s">
        <v>733</v>
      </c>
      <c r="AA57" s="340" t="s">
        <v>0</v>
      </c>
      <c r="AB57" s="340" t="s">
        <v>734</v>
      </c>
      <c r="AC57" s="340" t="s">
        <v>0</v>
      </c>
      <c r="AD57" s="340">
        <v>71502</v>
      </c>
      <c r="AE57" s="340" t="s">
        <v>452</v>
      </c>
      <c r="AF57" s="340" t="s">
        <v>453</v>
      </c>
      <c r="AG57" s="340" t="s">
        <v>447</v>
      </c>
      <c r="AH57" s="342">
        <v>42604</v>
      </c>
      <c r="AI57" s="340" t="s">
        <v>454</v>
      </c>
      <c r="AJ57" s="340" t="s">
        <v>455</v>
      </c>
      <c r="AK57" s="340" t="s">
        <v>456</v>
      </c>
      <c r="AL57" s="340" t="s">
        <v>457</v>
      </c>
      <c r="AM57" s="340">
        <v>6</v>
      </c>
      <c r="AN57" s="340" t="s">
        <v>458</v>
      </c>
      <c r="AO57" s="340" t="s">
        <v>459</v>
      </c>
      <c r="AP57" s="340">
        <v>3</v>
      </c>
      <c r="AQ57" s="340" t="s">
        <v>460</v>
      </c>
      <c r="AR57" s="340">
        <v>3061</v>
      </c>
      <c r="AS57" s="340" t="s">
        <v>517</v>
      </c>
      <c r="AT57" s="340">
        <v>1</v>
      </c>
      <c r="AU57" s="340" t="s">
        <v>462</v>
      </c>
      <c r="AV57" s="343">
        <v>0.375</v>
      </c>
      <c r="AW57" s="343">
        <v>0.58333333333333337</v>
      </c>
      <c r="AX57" s="340" t="s">
        <v>463</v>
      </c>
      <c r="AY57" s="340" t="s">
        <v>464</v>
      </c>
    </row>
    <row r="58" spans="1:51" x14ac:dyDescent="0.25">
      <c r="A58" s="339" t="s">
        <v>441</v>
      </c>
      <c r="B58" s="339" t="s">
        <v>442</v>
      </c>
      <c r="C58" s="339" t="s">
        <v>443</v>
      </c>
      <c r="D58" s="339">
        <v>7</v>
      </c>
      <c r="E58" s="339">
        <v>4</v>
      </c>
      <c r="F58" s="339">
        <v>6.5</v>
      </c>
      <c r="G58" s="340">
        <v>2010410300</v>
      </c>
      <c r="H58" s="346">
        <v>104103</v>
      </c>
      <c r="I58" s="348">
        <v>38</v>
      </c>
      <c r="J58" s="341">
        <v>12</v>
      </c>
      <c r="K58" s="341">
        <v>42</v>
      </c>
      <c r="L58" s="348">
        <f t="shared" si="3"/>
        <v>54</v>
      </c>
      <c r="M58" s="341">
        <v>104</v>
      </c>
      <c r="N58" s="340" t="s">
        <v>735</v>
      </c>
      <c r="O58" s="340">
        <v>3</v>
      </c>
      <c r="P58" s="340" t="s">
        <v>736</v>
      </c>
      <c r="Q58" s="340" t="s">
        <v>0</v>
      </c>
      <c r="R58" s="340" t="s">
        <v>446</v>
      </c>
      <c r="S58" s="340" t="s">
        <v>447</v>
      </c>
      <c r="T58" s="340">
        <v>2</v>
      </c>
      <c r="U58" s="340" t="s">
        <v>0</v>
      </c>
      <c r="V58" s="340" t="s">
        <v>448</v>
      </c>
      <c r="W58" s="340" t="s">
        <v>0</v>
      </c>
      <c r="X58" s="340" t="s">
        <v>737</v>
      </c>
      <c r="Y58" s="340" t="s">
        <v>0</v>
      </c>
      <c r="Z58" s="340" t="s">
        <v>738</v>
      </c>
      <c r="AA58" s="340" t="s">
        <v>0</v>
      </c>
      <c r="AB58" s="340" t="s">
        <v>739</v>
      </c>
      <c r="AC58" s="340" t="s">
        <v>0</v>
      </c>
      <c r="AD58" s="340">
        <v>71346</v>
      </c>
      <c r="AE58" s="340" t="s">
        <v>452</v>
      </c>
      <c r="AF58" s="340" t="s">
        <v>453</v>
      </c>
      <c r="AG58" s="340" t="s">
        <v>447</v>
      </c>
      <c r="AH58" s="342">
        <v>44172</v>
      </c>
      <c r="AI58" s="340" t="s">
        <v>454</v>
      </c>
      <c r="AJ58" s="340" t="s">
        <v>455</v>
      </c>
      <c r="AK58" s="340" t="s">
        <v>456</v>
      </c>
      <c r="AL58" s="340" t="s">
        <v>457</v>
      </c>
      <c r="AM58" s="340">
        <v>6</v>
      </c>
      <c r="AN58" s="340" t="s">
        <v>458</v>
      </c>
      <c r="AO58" s="340" t="s">
        <v>459</v>
      </c>
      <c r="AP58" s="340">
        <v>3</v>
      </c>
      <c r="AQ58" s="340" t="s">
        <v>460</v>
      </c>
      <c r="AR58" s="340">
        <v>3061</v>
      </c>
      <c r="AS58" s="340" t="s">
        <v>517</v>
      </c>
      <c r="AT58" s="340">
        <v>1</v>
      </c>
      <c r="AU58" s="340" t="s">
        <v>462</v>
      </c>
      <c r="AV58" s="343">
        <v>0.375</v>
      </c>
      <c r="AW58" s="343">
        <v>0.58333333333333337</v>
      </c>
      <c r="AX58" s="340" t="s">
        <v>463</v>
      </c>
      <c r="AY58" s="340" t="s">
        <v>464</v>
      </c>
    </row>
    <row r="59" spans="1:51" x14ac:dyDescent="0.25">
      <c r="A59" s="339" t="s">
        <v>441</v>
      </c>
      <c r="B59" s="339" t="s">
        <v>442</v>
      </c>
      <c r="C59" s="339" t="s">
        <v>469</v>
      </c>
      <c r="D59" s="339">
        <v>6</v>
      </c>
      <c r="E59" s="339">
        <v>4</v>
      </c>
      <c r="F59" s="339">
        <v>6.5</v>
      </c>
      <c r="G59" s="340">
        <v>2011007300</v>
      </c>
      <c r="H59" s="346">
        <v>110073</v>
      </c>
      <c r="I59" s="348">
        <v>90</v>
      </c>
      <c r="J59" s="341">
        <v>40</v>
      </c>
      <c r="K59" s="341">
        <v>86</v>
      </c>
      <c r="L59" s="348">
        <f t="shared" si="3"/>
        <v>126</v>
      </c>
      <c r="M59" s="341">
        <v>398</v>
      </c>
      <c r="N59" s="340" t="s">
        <v>741</v>
      </c>
      <c r="O59" s="340">
        <v>1</v>
      </c>
      <c r="P59" s="340" t="s">
        <v>741</v>
      </c>
      <c r="Q59" s="340" t="s">
        <v>0</v>
      </c>
      <c r="R59" s="340" t="s">
        <v>446</v>
      </c>
      <c r="S59" s="340" t="s">
        <v>447</v>
      </c>
      <c r="T59" s="340">
        <v>2</v>
      </c>
      <c r="U59" s="340" t="s">
        <v>0</v>
      </c>
      <c r="V59" s="340" t="s">
        <v>448</v>
      </c>
      <c r="W59" s="340" t="s">
        <v>0</v>
      </c>
      <c r="X59" s="340" t="s">
        <v>742</v>
      </c>
      <c r="Y59" s="340" t="s">
        <v>0</v>
      </c>
      <c r="Z59" s="340" t="s">
        <v>450</v>
      </c>
      <c r="AA59" s="340" t="s">
        <v>0</v>
      </c>
      <c r="AB59" s="340" t="s">
        <v>743</v>
      </c>
      <c r="AC59" s="340" t="s">
        <v>0</v>
      </c>
      <c r="AD59" s="340">
        <v>71290</v>
      </c>
      <c r="AE59" s="340" t="s">
        <v>452</v>
      </c>
      <c r="AF59" s="340" t="s">
        <v>453</v>
      </c>
      <c r="AG59" s="340" t="s">
        <v>447</v>
      </c>
      <c r="AH59" s="342">
        <v>32995</v>
      </c>
      <c r="AI59" s="340" t="s">
        <v>454</v>
      </c>
      <c r="AJ59" s="340" t="s">
        <v>455</v>
      </c>
      <c r="AK59" s="340" t="s">
        <v>456</v>
      </c>
      <c r="AL59" s="340" t="s">
        <v>457</v>
      </c>
      <c r="AM59" s="340">
        <v>6</v>
      </c>
      <c r="AN59" s="340" t="s">
        <v>458</v>
      </c>
      <c r="AO59" s="340" t="s">
        <v>459</v>
      </c>
      <c r="AP59" s="340">
        <v>3</v>
      </c>
      <c r="AQ59" s="340" t="s">
        <v>460</v>
      </c>
      <c r="AR59" s="340">
        <v>3018</v>
      </c>
      <c r="AS59" s="340" t="s">
        <v>744</v>
      </c>
      <c r="AT59" s="340">
        <v>1</v>
      </c>
      <c r="AU59" s="340" t="s">
        <v>462</v>
      </c>
      <c r="AV59" s="343">
        <v>0.375</v>
      </c>
      <c r="AW59" s="343">
        <v>0.58333333333333337</v>
      </c>
      <c r="AX59" s="340" t="s">
        <v>463</v>
      </c>
      <c r="AY59" s="340" t="s">
        <v>464</v>
      </c>
    </row>
    <row r="60" spans="1:51" x14ac:dyDescent="0.25">
      <c r="A60" s="339" t="s">
        <v>589</v>
      </c>
      <c r="B60" s="339" t="s">
        <v>442</v>
      </c>
      <c r="C60" s="339" t="s">
        <v>469</v>
      </c>
      <c r="D60" s="339">
        <v>3</v>
      </c>
      <c r="E60" s="339">
        <v>2</v>
      </c>
      <c r="F60" s="339">
        <v>6.5</v>
      </c>
      <c r="G60" s="340">
        <v>2011010500</v>
      </c>
      <c r="H60" s="346">
        <v>110105</v>
      </c>
      <c r="I60" s="348">
        <v>291</v>
      </c>
      <c r="J60" s="341">
        <v>185</v>
      </c>
      <c r="K60" s="341">
        <v>256</v>
      </c>
      <c r="L60" s="348">
        <f t="shared" si="3"/>
        <v>441</v>
      </c>
      <c r="M60" s="341">
        <v>515</v>
      </c>
      <c r="N60" s="340" t="s">
        <v>745</v>
      </c>
      <c r="O60" s="340">
        <v>1</v>
      </c>
      <c r="P60" s="340" t="s">
        <v>745</v>
      </c>
      <c r="Q60" s="340" t="s">
        <v>0</v>
      </c>
      <c r="R60" s="340" t="s">
        <v>446</v>
      </c>
      <c r="S60" s="340" t="s">
        <v>447</v>
      </c>
      <c r="T60" s="340">
        <v>4</v>
      </c>
      <c r="U60" s="340" t="s">
        <v>0</v>
      </c>
      <c r="V60" s="340" t="s">
        <v>498</v>
      </c>
      <c r="W60" s="340" t="s">
        <v>0</v>
      </c>
      <c r="X60" s="340" t="s">
        <v>746</v>
      </c>
      <c r="Y60" s="340" t="s">
        <v>0</v>
      </c>
      <c r="Z60" s="340" t="s">
        <v>747</v>
      </c>
      <c r="AA60" s="340" t="s">
        <v>0</v>
      </c>
      <c r="AB60" s="340" t="s">
        <v>748</v>
      </c>
      <c r="AC60" s="340" t="s">
        <v>0</v>
      </c>
      <c r="AD60" s="340">
        <v>70760</v>
      </c>
      <c r="AE60" s="340" t="s">
        <v>452</v>
      </c>
      <c r="AF60" s="340" t="s">
        <v>453</v>
      </c>
      <c r="AG60" s="340" t="s">
        <v>447</v>
      </c>
      <c r="AH60" s="342">
        <v>33239</v>
      </c>
      <c r="AI60" s="340" t="s">
        <v>454</v>
      </c>
      <c r="AJ60" s="340" t="s">
        <v>455</v>
      </c>
      <c r="AK60" s="340" t="s">
        <v>456</v>
      </c>
      <c r="AL60" s="340" t="s">
        <v>457</v>
      </c>
      <c r="AM60" s="340">
        <v>6</v>
      </c>
      <c r="AN60" s="340" t="s">
        <v>458</v>
      </c>
      <c r="AO60" s="340" t="s">
        <v>459</v>
      </c>
      <c r="AP60" s="340">
        <v>3</v>
      </c>
      <c r="AQ60" s="340" t="s">
        <v>460</v>
      </c>
      <c r="AR60" s="340">
        <v>3692</v>
      </c>
      <c r="AS60" s="340" t="s">
        <v>538</v>
      </c>
      <c r="AT60" s="340">
        <v>1</v>
      </c>
      <c r="AU60" s="340" t="s">
        <v>462</v>
      </c>
      <c r="AV60" s="343">
        <v>0.41666666666666669</v>
      </c>
      <c r="AW60" s="343">
        <v>0.58333333333333337</v>
      </c>
      <c r="AX60" s="340" t="s">
        <v>463</v>
      </c>
      <c r="AY60" s="340" t="s">
        <v>464</v>
      </c>
    </row>
    <row r="61" spans="1:51" x14ac:dyDescent="0.25">
      <c r="A61" s="339" t="s">
        <v>441</v>
      </c>
      <c r="B61" s="339" t="s">
        <v>442</v>
      </c>
      <c r="C61" s="339" t="s">
        <v>469</v>
      </c>
      <c r="D61" s="339">
        <v>3</v>
      </c>
      <c r="E61" s="339">
        <v>1</v>
      </c>
      <c r="F61" s="339">
        <v>6.5</v>
      </c>
      <c r="G61" s="340">
        <v>2011010800</v>
      </c>
      <c r="H61" s="346">
        <v>110108</v>
      </c>
      <c r="I61" s="348">
        <v>465</v>
      </c>
      <c r="J61" s="341">
        <v>239</v>
      </c>
      <c r="K61" s="341">
        <v>457</v>
      </c>
      <c r="L61" s="348">
        <f t="shared" si="3"/>
        <v>696</v>
      </c>
      <c r="M61" s="341">
        <v>124</v>
      </c>
      <c r="N61" s="340" t="s">
        <v>749</v>
      </c>
      <c r="O61" s="340">
        <v>1</v>
      </c>
      <c r="P61" s="340" t="s">
        <v>749</v>
      </c>
      <c r="Q61" s="340" t="s">
        <v>0</v>
      </c>
      <c r="R61" s="340" t="s">
        <v>446</v>
      </c>
      <c r="S61" s="340" t="s">
        <v>447</v>
      </c>
      <c r="T61" s="340">
        <v>3</v>
      </c>
      <c r="U61" s="340" t="s">
        <v>0</v>
      </c>
      <c r="V61" s="340" t="s">
        <v>472</v>
      </c>
      <c r="W61" s="340" t="s">
        <v>0</v>
      </c>
      <c r="X61" s="340" t="s">
        <v>750</v>
      </c>
      <c r="Y61" s="340" t="s">
        <v>0</v>
      </c>
      <c r="Z61" s="340" t="s">
        <v>450</v>
      </c>
      <c r="AA61" s="340" t="s">
        <v>0</v>
      </c>
      <c r="AB61" s="340" t="s">
        <v>751</v>
      </c>
      <c r="AC61" s="340" t="s">
        <v>0</v>
      </c>
      <c r="AD61" s="340">
        <v>70760</v>
      </c>
      <c r="AE61" s="340" t="s">
        <v>452</v>
      </c>
      <c r="AF61" s="340" t="s">
        <v>453</v>
      </c>
      <c r="AG61" s="340" t="s">
        <v>447</v>
      </c>
      <c r="AH61" s="342">
        <v>35320</v>
      </c>
      <c r="AI61" s="340" t="s">
        <v>454</v>
      </c>
      <c r="AJ61" s="340" t="s">
        <v>455</v>
      </c>
      <c r="AK61" s="340" t="s">
        <v>456</v>
      </c>
      <c r="AL61" s="340" t="s">
        <v>457</v>
      </c>
      <c r="AM61" s="340">
        <v>6</v>
      </c>
      <c r="AN61" s="340" t="s">
        <v>458</v>
      </c>
      <c r="AO61" s="340" t="s">
        <v>459</v>
      </c>
      <c r="AP61" s="340">
        <v>3</v>
      </c>
      <c r="AQ61" s="340" t="s">
        <v>460</v>
      </c>
      <c r="AR61" s="340">
        <v>3198</v>
      </c>
      <c r="AS61" s="340" t="s">
        <v>596</v>
      </c>
      <c r="AT61" s="340">
        <v>1</v>
      </c>
      <c r="AU61" s="340" t="s">
        <v>462</v>
      </c>
      <c r="AV61" s="343">
        <v>0.33333333333333331</v>
      </c>
      <c r="AW61" s="343">
        <v>0.58333333333333337</v>
      </c>
      <c r="AX61" s="340" t="s">
        <v>463</v>
      </c>
      <c r="AY61" s="340" t="s">
        <v>464</v>
      </c>
    </row>
    <row r="62" spans="1:51" x14ac:dyDescent="0.25">
      <c r="A62" s="339" t="s">
        <v>589</v>
      </c>
      <c r="B62" s="339" t="s">
        <v>442</v>
      </c>
      <c r="C62" s="339" t="s">
        <v>469</v>
      </c>
      <c r="D62" s="339">
        <v>7</v>
      </c>
      <c r="E62" s="339">
        <v>2</v>
      </c>
      <c r="F62" s="339">
        <v>6.5</v>
      </c>
      <c r="G62" s="340">
        <v>2011015100</v>
      </c>
      <c r="H62" s="346">
        <v>110151</v>
      </c>
      <c r="I62" s="348">
        <v>678</v>
      </c>
      <c r="J62" s="341">
        <v>490</v>
      </c>
      <c r="K62" s="341">
        <v>563</v>
      </c>
      <c r="L62" s="348">
        <f t="shared" si="3"/>
        <v>1053</v>
      </c>
      <c r="M62" s="341">
        <v>59</v>
      </c>
      <c r="N62" s="340" t="s">
        <v>628</v>
      </c>
      <c r="O62" s="340">
        <v>1</v>
      </c>
      <c r="P62" s="340" t="s">
        <v>653</v>
      </c>
      <c r="Q62" s="340" t="s">
        <v>0</v>
      </c>
      <c r="R62" s="340" t="s">
        <v>446</v>
      </c>
      <c r="S62" s="340" t="s">
        <v>447</v>
      </c>
      <c r="T62" s="340">
        <v>4</v>
      </c>
      <c r="U62" s="340" t="s">
        <v>0</v>
      </c>
      <c r="V62" s="340" t="s">
        <v>498</v>
      </c>
      <c r="W62" s="340" t="s">
        <v>0</v>
      </c>
      <c r="X62" s="340" t="s">
        <v>752</v>
      </c>
      <c r="Y62" s="340" t="s">
        <v>0</v>
      </c>
      <c r="Z62" s="340" t="s">
        <v>753</v>
      </c>
      <c r="AA62" s="340" t="s">
        <v>0</v>
      </c>
      <c r="AB62" s="340" t="s">
        <v>754</v>
      </c>
      <c r="AC62" s="340" t="s">
        <v>0</v>
      </c>
      <c r="AD62" s="340">
        <v>70800</v>
      </c>
      <c r="AE62" s="340" t="s">
        <v>452</v>
      </c>
      <c r="AF62" s="340" t="s">
        <v>453</v>
      </c>
      <c r="AG62" s="340" t="s">
        <v>447</v>
      </c>
      <c r="AH62" s="342">
        <v>32842</v>
      </c>
      <c r="AI62" s="340" t="s">
        <v>454</v>
      </c>
      <c r="AJ62" s="340" t="s">
        <v>455</v>
      </c>
      <c r="AK62" s="340" t="s">
        <v>456</v>
      </c>
      <c r="AL62" s="340" t="s">
        <v>457</v>
      </c>
      <c r="AM62" s="340">
        <v>6</v>
      </c>
      <c r="AN62" s="340" t="s">
        <v>458</v>
      </c>
      <c r="AO62" s="340" t="s">
        <v>459</v>
      </c>
      <c r="AP62" s="340">
        <v>3</v>
      </c>
      <c r="AQ62" s="340" t="s">
        <v>460</v>
      </c>
      <c r="AR62" s="340">
        <v>3031</v>
      </c>
      <c r="AS62" s="340" t="s">
        <v>639</v>
      </c>
      <c r="AT62" s="340">
        <v>1</v>
      </c>
      <c r="AU62" s="340" t="s">
        <v>462</v>
      </c>
      <c r="AV62" s="343">
        <v>0.375</v>
      </c>
      <c r="AW62" s="343">
        <v>0.58333333333333337</v>
      </c>
      <c r="AX62" s="340" t="s">
        <v>463</v>
      </c>
      <c r="AY62" s="340" t="s">
        <v>464</v>
      </c>
    </row>
    <row r="63" spans="1:51" x14ac:dyDescent="0.25">
      <c r="A63" s="339" t="s">
        <v>441</v>
      </c>
      <c r="B63" s="339" t="s">
        <v>442</v>
      </c>
      <c r="C63" s="339" t="s">
        <v>469</v>
      </c>
      <c r="D63" s="339">
        <v>7</v>
      </c>
      <c r="E63" s="339">
        <v>1</v>
      </c>
      <c r="F63" s="339">
        <v>6.5</v>
      </c>
      <c r="G63" s="340">
        <v>2012014500</v>
      </c>
      <c r="H63" s="346">
        <v>120145</v>
      </c>
      <c r="I63" s="348">
        <v>109</v>
      </c>
      <c r="J63" s="341">
        <v>79</v>
      </c>
      <c r="K63" s="341">
        <v>95</v>
      </c>
      <c r="L63" s="348">
        <f t="shared" ref="L63:L97" si="4">J63+K63</f>
        <v>174</v>
      </c>
      <c r="M63" s="341">
        <v>533</v>
      </c>
      <c r="N63" s="340" t="s">
        <v>755</v>
      </c>
      <c r="O63" s="340">
        <v>1</v>
      </c>
      <c r="P63" s="340" t="s">
        <v>756</v>
      </c>
      <c r="Q63" s="340" t="s">
        <v>0</v>
      </c>
      <c r="R63" s="340" t="s">
        <v>446</v>
      </c>
      <c r="S63" s="340" t="s">
        <v>447</v>
      </c>
      <c r="T63" s="340">
        <v>3</v>
      </c>
      <c r="U63" s="340" t="s">
        <v>0</v>
      </c>
      <c r="V63" s="340" t="s">
        <v>472</v>
      </c>
      <c r="W63" s="340" t="s">
        <v>0</v>
      </c>
      <c r="X63" s="340" t="s">
        <v>757</v>
      </c>
      <c r="Y63" s="340" t="s">
        <v>0</v>
      </c>
      <c r="Z63" s="340" t="s">
        <v>450</v>
      </c>
      <c r="AA63" s="340" t="s">
        <v>0</v>
      </c>
      <c r="AB63" s="340" t="s">
        <v>758</v>
      </c>
      <c r="AC63" s="340" t="s">
        <v>0</v>
      </c>
      <c r="AD63" s="340">
        <v>70280</v>
      </c>
      <c r="AE63" s="340" t="s">
        <v>452</v>
      </c>
      <c r="AF63" s="340" t="s">
        <v>453</v>
      </c>
      <c r="AG63" s="340" t="s">
        <v>447</v>
      </c>
      <c r="AH63" s="342">
        <v>33243</v>
      </c>
      <c r="AI63" s="340" t="s">
        <v>454</v>
      </c>
      <c r="AJ63" s="340" t="s">
        <v>455</v>
      </c>
      <c r="AK63" s="340" t="s">
        <v>456</v>
      </c>
      <c r="AL63" s="340" t="s">
        <v>457</v>
      </c>
      <c r="AM63" s="340">
        <v>6</v>
      </c>
      <c r="AN63" s="340" t="s">
        <v>458</v>
      </c>
      <c r="AO63" s="340" t="s">
        <v>459</v>
      </c>
      <c r="AP63" s="340">
        <v>3</v>
      </c>
      <c r="AQ63" s="340" t="s">
        <v>460</v>
      </c>
      <c r="AR63" s="340">
        <v>3047</v>
      </c>
      <c r="AS63" s="340" t="s">
        <v>636</v>
      </c>
      <c r="AT63" s="340">
        <v>1</v>
      </c>
      <c r="AU63" s="340" t="s">
        <v>462</v>
      </c>
      <c r="AV63" s="343">
        <v>0.41666666666666669</v>
      </c>
      <c r="AW63" s="343">
        <v>0.58333333333333337</v>
      </c>
      <c r="AX63" s="340" t="s">
        <v>463</v>
      </c>
      <c r="AY63" s="340" t="s">
        <v>464</v>
      </c>
    </row>
    <row r="64" spans="1:51" x14ac:dyDescent="0.25">
      <c r="A64" s="339" t="s">
        <v>441</v>
      </c>
      <c r="B64" s="339" t="s">
        <v>442</v>
      </c>
      <c r="C64" s="339" t="s">
        <v>469</v>
      </c>
      <c r="D64" s="339">
        <v>3</v>
      </c>
      <c r="E64" s="339">
        <v>2</v>
      </c>
      <c r="F64" s="339">
        <v>6.5</v>
      </c>
      <c r="G64" s="340">
        <v>2012017800</v>
      </c>
      <c r="H64" s="346">
        <v>120178</v>
      </c>
      <c r="I64" s="348">
        <v>97</v>
      </c>
      <c r="J64" s="341">
        <v>56</v>
      </c>
      <c r="K64" s="341">
        <v>78</v>
      </c>
      <c r="L64" s="348">
        <f t="shared" si="4"/>
        <v>134</v>
      </c>
      <c r="M64" s="341">
        <v>453</v>
      </c>
      <c r="N64" s="340" t="s">
        <v>759</v>
      </c>
      <c r="O64" s="340">
        <v>1</v>
      </c>
      <c r="P64" s="340" t="s">
        <v>759</v>
      </c>
      <c r="Q64" s="340" t="s">
        <v>0</v>
      </c>
      <c r="R64" s="340" t="s">
        <v>446</v>
      </c>
      <c r="S64" s="340" t="s">
        <v>447</v>
      </c>
      <c r="T64" s="340">
        <v>3</v>
      </c>
      <c r="U64" s="340" t="s">
        <v>0</v>
      </c>
      <c r="V64" s="340" t="s">
        <v>472</v>
      </c>
      <c r="W64" s="340" t="s">
        <v>0</v>
      </c>
      <c r="X64" s="340" t="s">
        <v>760</v>
      </c>
      <c r="Y64" s="340" t="s">
        <v>0</v>
      </c>
      <c r="Z64" s="340" t="s">
        <v>450</v>
      </c>
      <c r="AA64" s="340" t="s">
        <v>0</v>
      </c>
      <c r="AB64" s="340" t="s">
        <v>761</v>
      </c>
      <c r="AC64" s="340" t="s">
        <v>0</v>
      </c>
      <c r="AD64" s="340">
        <v>70790</v>
      </c>
      <c r="AE64" s="340" t="s">
        <v>452</v>
      </c>
      <c r="AF64" s="340" t="s">
        <v>453</v>
      </c>
      <c r="AG64" s="340" t="s">
        <v>447</v>
      </c>
      <c r="AH64" s="342">
        <v>32874</v>
      </c>
      <c r="AI64" s="340" t="s">
        <v>454</v>
      </c>
      <c r="AJ64" s="340" t="s">
        <v>455</v>
      </c>
      <c r="AK64" s="340" t="s">
        <v>456</v>
      </c>
      <c r="AL64" s="340" t="s">
        <v>457</v>
      </c>
      <c r="AM64" s="340">
        <v>6</v>
      </c>
      <c r="AN64" s="340" t="s">
        <v>458</v>
      </c>
      <c r="AO64" s="340" t="s">
        <v>459</v>
      </c>
      <c r="AP64" s="340">
        <v>3</v>
      </c>
      <c r="AQ64" s="340" t="s">
        <v>460</v>
      </c>
      <c r="AR64" s="340">
        <v>3692</v>
      </c>
      <c r="AS64" s="340" t="s">
        <v>538</v>
      </c>
      <c r="AT64" s="340">
        <v>1</v>
      </c>
      <c r="AU64" s="340" t="s">
        <v>462</v>
      </c>
      <c r="AV64" s="343">
        <v>0.375</v>
      </c>
      <c r="AW64" s="343">
        <v>0.58333333333333337</v>
      </c>
      <c r="AX64" s="340" t="s">
        <v>463</v>
      </c>
      <c r="AY64" s="340" t="s">
        <v>464</v>
      </c>
    </row>
    <row r="65" spans="1:51" x14ac:dyDescent="0.25">
      <c r="A65" s="339" t="s">
        <v>441</v>
      </c>
      <c r="B65" s="339" t="s">
        <v>442</v>
      </c>
      <c r="C65" s="339" t="s">
        <v>469</v>
      </c>
      <c r="D65" s="339">
        <v>2</v>
      </c>
      <c r="E65" s="339">
        <v>2</v>
      </c>
      <c r="F65" s="339">
        <v>6.5</v>
      </c>
      <c r="G65" s="340">
        <v>2012018000</v>
      </c>
      <c r="H65" s="346">
        <v>120180</v>
      </c>
      <c r="I65" s="348">
        <v>340</v>
      </c>
      <c r="J65" s="341">
        <v>201</v>
      </c>
      <c r="K65" s="341">
        <v>277</v>
      </c>
      <c r="L65" s="348">
        <f t="shared" si="4"/>
        <v>478</v>
      </c>
      <c r="M65" s="341">
        <v>413</v>
      </c>
      <c r="N65" s="340" t="s">
        <v>762</v>
      </c>
      <c r="O65" s="340">
        <v>1</v>
      </c>
      <c r="P65" s="340" t="s">
        <v>763</v>
      </c>
      <c r="Q65" s="340" t="s">
        <v>0</v>
      </c>
      <c r="R65" s="340" t="s">
        <v>446</v>
      </c>
      <c r="S65" s="340" t="s">
        <v>447</v>
      </c>
      <c r="T65" s="340">
        <v>4</v>
      </c>
      <c r="U65" s="340" t="s">
        <v>0</v>
      </c>
      <c r="V65" s="340" t="s">
        <v>498</v>
      </c>
      <c r="W65" s="340" t="s">
        <v>0</v>
      </c>
      <c r="X65" s="340" t="s">
        <v>764</v>
      </c>
      <c r="Y65" s="340" t="s">
        <v>0</v>
      </c>
      <c r="Z65" s="340" t="s">
        <v>765</v>
      </c>
      <c r="AA65" s="340" t="s">
        <v>0</v>
      </c>
      <c r="AB65" s="340" t="s">
        <v>766</v>
      </c>
      <c r="AC65" s="340" t="s">
        <v>0</v>
      </c>
      <c r="AD65" s="340">
        <v>70950</v>
      </c>
      <c r="AE65" s="340" t="s">
        <v>452</v>
      </c>
      <c r="AF65" s="340" t="s">
        <v>453</v>
      </c>
      <c r="AG65" s="340" t="s">
        <v>447</v>
      </c>
      <c r="AH65" s="342">
        <v>33390</v>
      </c>
      <c r="AI65" s="340" t="s">
        <v>454</v>
      </c>
      <c r="AJ65" s="340" t="s">
        <v>455</v>
      </c>
      <c r="AK65" s="340" t="s">
        <v>456</v>
      </c>
      <c r="AL65" s="340" t="s">
        <v>457</v>
      </c>
      <c r="AM65" s="340">
        <v>6</v>
      </c>
      <c r="AN65" s="340" t="s">
        <v>458</v>
      </c>
      <c r="AO65" s="340" t="s">
        <v>459</v>
      </c>
      <c r="AP65" s="340">
        <v>3</v>
      </c>
      <c r="AQ65" s="340" t="s">
        <v>460</v>
      </c>
      <c r="AR65" s="340">
        <v>3199</v>
      </c>
      <c r="AS65" s="340" t="s">
        <v>509</v>
      </c>
      <c r="AT65" s="340">
        <v>1</v>
      </c>
      <c r="AU65" s="340" t="s">
        <v>462</v>
      </c>
      <c r="AV65" s="343">
        <v>0.25</v>
      </c>
      <c r="AW65" s="343">
        <v>0.54166666666666663</v>
      </c>
      <c r="AX65" s="340" t="s">
        <v>463</v>
      </c>
      <c r="AY65" s="340" t="s">
        <v>464</v>
      </c>
    </row>
    <row r="66" spans="1:51" x14ac:dyDescent="0.25">
      <c r="A66" s="339" t="s">
        <v>441</v>
      </c>
      <c r="B66" s="339" t="s">
        <v>442</v>
      </c>
      <c r="C66" s="339" t="s">
        <v>469</v>
      </c>
      <c r="D66" s="339">
        <v>2</v>
      </c>
      <c r="E66" s="339">
        <v>2</v>
      </c>
      <c r="F66" s="339">
        <v>6.5</v>
      </c>
      <c r="G66" s="340">
        <v>2012018200</v>
      </c>
      <c r="H66" s="346">
        <v>120182</v>
      </c>
      <c r="I66" s="348">
        <v>198</v>
      </c>
      <c r="J66" s="341">
        <v>125</v>
      </c>
      <c r="K66" s="341">
        <v>153</v>
      </c>
      <c r="L66" s="348">
        <f t="shared" si="4"/>
        <v>278</v>
      </c>
      <c r="M66" s="341">
        <v>324</v>
      </c>
      <c r="N66" s="340" t="s">
        <v>767</v>
      </c>
      <c r="O66" s="340">
        <v>10</v>
      </c>
      <c r="P66" s="340" t="s">
        <v>768</v>
      </c>
      <c r="Q66" s="340" t="s">
        <v>0</v>
      </c>
      <c r="R66" s="340" t="s">
        <v>446</v>
      </c>
      <c r="S66" s="340" t="s">
        <v>447</v>
      </c>
      <c r="T66" s="340">
        <v>3</v>
      </c>
      <c r="U66" s="340" t="s">
        <v>0</v>
      </c>
      <c r="V66" s="340" t="s">
        <v>472</v>
      </c>
      <c r="W66" s="340" t="s">
        <v>0</v>
      </c>
      <c r="X66" s="340" t="s">
        <v>769</v>
      </c>
      <c r="Y66" s="340" t="s">
        <v>0</v>
      </c>
      <c r="Z66" s="340" t="s">
        <v>450</v>
      </c>
      <c r="AA66" s="340" t="s">
        <v>0</v>
      </c>
      <c r="AB66" s="340" t="s">
        <v>770</v>
      </c>
      <c r="AC66" s="340" t="s">
        <v>0</v>
      </c>
      <c r="AD66" s="340">
        <v>70950</v>
      </c>
      <c r="AE66" s="340" t="s">
        <v>452</v>
      </c>
      <c r="AF66" s="340" t="s">
        <v>453</v>
      </c>
      <c r="AG66" s="340" t="s">
        <v>447</v>
      </c>
      <c r="AH66" s="342">
        <v>33390</v>
      </c>
      <c r="AI66" s="340" t="s">
        <v>454</v>
      </c>
      <c r="AJ66" s="340" t="s">
        <v>455</v>
      </c>
      <c r="AK66" s="340" t="s">
        <v>456</v>
      </c>
      <c r="AL66" s="340" t="s">
        <v>457</v>
      </c>
      <c r="AM66" s="340">
        <v>6</v>
      </c>
      <c r="AN66" s="340" t="s">
        <v>458</v>
      </c>
      <c r="AO66" s="340" t="s">
        <v>459</v>
      </c>
      <c r="AP66" s="340">
        <v>3</v>
      </c>
      <c r="AQ66" s="340" t="s">
        <v>460</v>
      </c>
      <c r="AR66" s="340">
        <v>3199</v>
      </c>
      <c r="AS66" s="340" t="s">
        <v>509</v>
      </c>
      <c r="AT66" s="340">
        <v>1</v>
      </c>
      <c r="AU66" s="340" t="s">
        <v>462</v>
      </c>
      <c r="AV66" s="343">
        <v>0.33333333333333331</v>
      </c>
      <c r="AW66" s="343">
        <v>0.58333333333333337</v>
      </c>
      <c r="AX66" s="340" t="s">
        <v>463</v>
      </c>
      <c r="AY66" s="340" t="s">
        <v>464</v>
      </c>
    </row>
    <row r="67" spans="1:51" x14ac:dyDescent="0.25">
      <c r="A67" s="339" t="s">
        <v>441</v>
      </c>
      <c r="B67" s="339" t="s">
        <v>442</v>
      </c>
      <c r="C67" s="339" t="s">
        <v>469</v>
      </c>
      <c r="D67" s="339">
        <v>3</v>
      </c>
      <c r="E67" s="339">
        <v>5</v>
      </c>
      <c r="F67" s="339">
        <v>6.5</v>
      </c>
      <c r="G67" s="340">
        <v>2012021200</v>
      </c>
      <c r="H67" s="346">
        <v>120212</v>
      </c>
      <c r="I67" s="348">
        <v>229</v>
      </c>
      <c r="J67" s="341">
        <v>100</v>
      </c>
      <c r="K67" s="341">
        <v>260</v>
      </c>
      <c r="L67" s="348">
        <f t="shared" si="4"/>
        <v>360</v>
      </c>
      <c r="M67" s="341">
        <v>66</v>
      </c>
      <c r="N67" s="340" t="s">
        <v>669</v>
      </c>
      <c r="O67" s="340">
        <v>1</v>
      </c>
      <c r="P67" s="340" t="s">
        <v>669</v>
      </c>
      <c r="Q67" s="340" t="s">
        <v>0</v>
      </c>
      <c r="R67" s="340" t="s">
        <v>446</v>
      </c>
      <c r="S67" s="340" t="s">
        <v>447</v>
      </c>
      <c r="T67" s="340">
        <v>4</v>
      </c>
      <c r="U67" s="340" t="s">
        <v>0</v>
      </c>
      <c r="V67" s="340" t="s">
        <v>498</v>
      </c>
      <c r="W67" s="340" t="s">
        <v>0</v>
      </c>
      <c r="X67" s="340" t="s">
        <v>772</v>
      </c>
      <c r="Y67" s="340" t="s">
        <v>0</v>
      </c>
      <c r="Z67" s="340" t="s">
        <v>450</v>
      </c>
      <c r="AA67" s="340" t="s">
        <v>0</v>
      </c>
      <c r="AB67" s="340" t="s">
        <v>773</v>
      </c>
      <c r="AC67" s="340" t="s">
        <v>0</v>
      </c>
      <c r="AD67" s="340">
        <v>70130</v>
      </c>
      <c r="AE67" s="340" t="s">
        <v>452</v>
      </c>
      <c r="AF67" s="340" t="s">
        <v>453</v>
      </c>
      <c r="AG67" s="340" t="s">
        <v>447</v>
      </c>
      <c r="AH67" s="342">
        <v>33482</v>
      </c>
      <c r="AI67" s="340" t="s">
        <v>454</v>
      </c>
      <c r="AJ67" s="340" t="s">
        <v>455</v>
      </c>
      <c r="AK67" s="340" t="s">
        <v>456</v>
      </c>
      <c r="AL67" s="340" t="s">
        <v>457</v>
      </c>
      <c r="AM67" s="340">
        <v>6</v>
      </c>
      <c r="AN67" s="340" t="s">
        <v>458</v>
      </c>
      <c r="AO67" s="340" t="s">
        <v>459</v>
      </c>
      <c r="AP67" s="340">
        <v>3</v>
      </c>
      <c r="AQ67" s="340" t="s">
        <v>460</v>
      </c>
      <c r="AR67" s="340">
        <v>3152</v>
      </c>
      <c r="AS67" s="340" t="s">
        <v>588</v>
      </c>
      <c r="AT67" s="340">
        <v>1</v>
      </c>
      <c r="AU67" s="340" t="s">
        <v>462</v>
      </c>
      <c r="AV67" s="343">
        <v>0.29166666666666669</v>
      </c>
      <c r="AW67" s="343">
        <v>0.58333333333333337</v>
      </c>
      <c r="AX67" s="340" t="s">
        <v>463</v>
      </c>
      <c r="AY67" s="340" t="s">
        <v>464</v>
      </c>
    </row>
    <row r="68" spans="1:51" x14ac:dyDescent="0.25">
      <c r="A68" s="339" t="s">
        <v>441</v>
      </c>
      <c r="B68" s="339" t="s">
        <v>442</v>
      </c>
      <c r="C68" s="339" t="s">
        <v>469</v>
      </c>
      <c r="D68" s="339">
        <v>2</v>
      </c>
      <c r="E68" s="339">
        <v>3</v>
      </c>
      <c r="F68" s="339">
        <v>6.5</v>
      </c>
      <c r="G68" s="340">
        <v>2012027200</v>
      </c>
      <c r="H68" s="346">
        <v>120272</v>
      </c>
      <c r="I68" s="348">
        <v>198</v>
      </c>
      <c r="J68" s="341">
        <v>144</v>
      </c>
      <c r="K68" s="341">
        <v>180</v>
      </c>
      <c r="L68" s="348">
        <f t="shared" si="4"/>
        <v>324</v>
      </c>
      <c r="M68" s="341">
        <v>401</v>
      </c>
      <c r="N68" s="340" t="s">
        <v>774</v>
      </c>
      <c r="O68" s="340">
        <v>50</v>
      </c>
      <c r="P68" s="340" t="s">
        <v>775</v>
      </c>
      <c r="Q68" s="340" t="s">
        <v>0</v>
      </c>
      <c r="R68" s="340" t="s">
        <v>446</v>
      </c>
      <c r="S68" s="340" t="s">
        <v>447</v>
      </c>
      <c r="T68" s="340">
        <v>3</v>
      </c>
      <c r="U68" s="340" t="s">
        <v>0</v>
      </c>
      <c r="V68" s="340" t="s">
        <v>472</v>
      </c>
      <c r="W68" s="340" t="s">
        <v>0</v>
      </c>
      <c r="X68" s="340" t="s">
        <v>776</v>
      </c>
      <c r="Y68" s="340" t="s">
        <v>0</v>
      </c>
      <c r="Z68" s="340" t="s">
        <v>478</v>
      </c>
      <c r="AA68" s="340" t="s">
        <v>0</v>
      </c>
      <c r="AB68" s="340" t="s">
        <v>777</v>
      </c>
      <c r="AC68" s="340" t="s">
        <v>0</v>
      </c>
      <c r="AD68" s="340">
        <v>71980</v>
      </c>
      <c r="AE68" s="340" t="s">
        <v>452</v>
      </c>
      <c r="AF68" s="340" t="s">
        <v>453</v>
      </c>
      <c r="AG68" s="340" t="s">
        <v>447</v>
      </c>
      <c r="AH68" s="342">
        <v>33390</v>
      </c>
      <c r="AI68" s="340" t="s">
        <v>454</v>
      </c>
      <c r="AJ68" s="340" t="s">
        <v>455</v>
      </c>
      <c r="AK68" s="340" t="s">
        <v>456</v>
      </c>
      <c r="AL68" s="340" t="s">
        <v>457</v>
      </c>
      <c r="AM68" s="340">
        <v>6</v>
      </c>
      <c r="AN68" s="340" t="s">
        <v>458</v>
      </c>
      <c r="AO68" s="340" t="s">
        <v>459</v>
      </c>
      <c r="AP68" s="340">
        <v>3</v>
      </c>
      <c r="AQ68" s="340" t="s">
        <v>460</v>
      </c>
      <c r="AR68" s="340">
        <v>3086</v>
      </c>
      <c r="AS68" s="340" t="s">
        <v>771</v>
      </c>
      <c r="AT68" s="340">
        <v>1</v>
      </c>
      <c r="AU68" s="340" t="s">
        <v>462</v>
      </c>
      <c r="AV68" s="343">
        <v>0.33333333333333331</v>
      </c>
      <c r="AW68" s="343">
        <v>0.58333333333333337</v>
      </c>
      <c r="AX68" s="340" t="s">
        <v>463</v>
      </c>
      <c r="AY68" s="340" t="s">
        <v>464</v>
      </c>
    </row>
    <row r="69" spans="1:51" x14ac:dyDescent="0.25">
      <c r="A69" s="339" t="s">
        <v>441</v>
      </c>
      <c r="B69" s="339" t="s">
        <v>442</v>
      </c>
      <c r="C69" s="339" t="s">
        <v>469</v>
      </c>
      <c r="D69" s="339">
        <v>1</v>
      </c>
      <c r="E69" s="339">
        <v>1</v>
      </c>
      <c r="F69" s="339">
        <v>6.5</v>
      </c>
      <c r="G69" s="340">
        <v>2012027500</v>
      </c>
      <c r="H69" s="346">
        <v>120275</v>
      </c>
      <c r="I69" s="348">
        <v>74</v>
      </c>
      <c r="J69" s="341">
        <v>37</v>
      </c>
      <c r="K69" s="341">
        <v>99</v>
      </c>
      <c r="L69" s="348">
        <f t="shared" si="4"/>
        <v>136</v>
      </c>
      <c r="M69" s="341">
        <v>177</v>
      </c>
      <c r="N69" s="340" t="s">
        <v>778</v>
      </c>
      <c r="O69" s="340">
        <v>9</v>
      </c>
      <c r="P69" s="340" t="s">
        <v>779</v>
      </c>
      <c r="Q69" s="340" t="s">
        <v>0</v>
      </c>
      <c r="R69" s="340" t="s">
        <v>446</v>
      </c>
      <c r="S69" s="340" t="s">
        <v>447</v>
      </c>
      <c r="T69" s="340">
        <v>3</v>
      </c>
      <c r="U69" s="340" t="s">
        <v>0</v>
      </c>
      <c r="V69" s="340" t="s">
        <v>472</v>
      </c>
      <c r="W69" s="340" t="s">
        <v>0</v>
      </c>
      <c r="X69" s="340" t="s">
        <v>510</v>
      </c>
      <c r="Y69" s="340" t="s">
        <v>0</v>
      </c>
      <c r="Z69" s="340" t="s">
        <v>450</v>
      </c>
      <c r="AA69" s="340" t="s">
        <v>0</v>
      </c>
      <c r="AB69" s="340" t="s">
        <v>780</v>
      </c>
      <c r="AC69" s="340" t="s">
        <v>0</v>
      </c>
      <c r="AD69" s="340">
        <v>0</v>
      </c>
      <c r="AE69" s="340" t="s">
        <v>452</v>
      </c>
      <c r="AF69" s="340" t="s">
        <v>453</v>
      </c>
      <c r="AG69" s="340" t="s">
        <v>447</v>
      </c>
      <c r="AH69" s="342">
        <v>33271</v>
      </c>
      <c r="AI69" s="340" t="s">
        <v>454</v>
      </c>
      <c r="AJ69" s="340" t="s">
        <v>455</v>
      </c>
      <c r="AK69" s="340" t="s">
        <v>456</v>
      </c>
      <c r="AL69" s="340" t="s">
        <v>457</v>
      </c>
      <c r="AM69" s="340">
        <v>6</v>
      </c>
      <c r="AN69" s="340" t="s">
        <v>458</v>
      </c>
      <c r="AO69" s="340" t="s">
        <v>459</v>
      </c>
      <c r="AP69" s="340">
        <v>3</v>
      </c>
      <c r="AQ69" s="340" t="s">
        <v>460</v>
      </c>
      <c r="AR69" s="340">
        <v>3079</v>
      </c>
      <c r="AS69" s="340" t="s">
        <v>519</v>
      </c>
      <c r="AT69" s="340">
        <v>1</v>
      </c>
      <c r="AU69" s="340" t="s">
        <v>462</v>
      </c>
      <c r="AV69" s="343">
        <v>0.375</v>
      </c>
      <c r="AW69" s="343">
        <v>0.58333333333333337</v>
      </c>
      <c r="AX69" s="340" t="s">
        <v>463</v>
      </c>
      <c r="AY69" s="340" t="s">
        <v>464</v>
      </c>
    </row>
    <row r="70" spans="1:51" x14ac:dyDescent="0.25">
      <c r="A70" s="339" t="s">
        <v>441</v>
      </c>
      <c r="B70" s="339" t="s">
        <v>442</v>
      </c>
      <c r="C70" s="339" t="s">
        <v>469</v>
      </c>
      <c r="D70" s="339">
        <v>6</v>
      </c>
      <c r="E70" s="339">
        <v>2</v>
      </c>
      <c r="F70" s="339">
        <v>6.5</v>
      </c>
      <c r="G70" s="340">
        <v>2012028100</v>
      </c>
      <c r="H70" s="346">
        <v>120281</v>
      </c>
      <c r="I70" s="348">
        <v>293</v>
      </c>
      <c r="J70" s="341">
        <v>260</v>
      </c>
      <c r="K70" s="341">
        <v>142</v>
      </c>
      <c r="L70" s="348">
        <f t="shared" si="4"/>
        <v>402</v>
      </c>
      <c r="M70" s="341">
        <v>437</v>
      </c>
      <c r="N70" s="340" t="s">
        <v>781</v>
      </c>
      <c r="O70" s="340">
        <v>1</v>
      </c>
      <c r="P70" s="340" t="s">
        <v>782</v>
      </c>
      <c r="Q70" s="340" t="s">
        <v>0</v>
      </c>
      <c r="R70" s="340" t="s">
        <v>446</v>
      </c>
      <c r="S70" s="340" t="s">
        <v>447</v>
      </c>
      <c r="T70" s="340">
        <v>3</v>
      </c>
      <c r="U70" s="340" t="s">
        <v>0</v>
      </c>
      <c r="V70" s="340" t="s">
        <v>472</v>
      </c>
      <c r="W70" s="340" t="s">
        <v>0</v>
      </c>
      <c r="X70" s="340" t="s">
        <v>510</v>
      </c>
      <c r="Y70" s="340" t="s">
        <v>0</v>
      </c>
      <c r="Z70" s="340" t="s">
        <v>450</v>
      </c>
      <c r="AA70" s="340" t="s">
        <v>0</v>
      </c>
      <c r="AB70" s="340" t="s">
        <v>783</v>
      </c>
      <c r="AC70" s="340" t="s">
        <v>0</v>
      </c>
      <c r="AD70" s="340">
        <v>70265</v>
      </c>
      <c r="AE70" s="340" t="s">
        <v>452</v>
      </c>
      <c r="AF70" s="340" t="s">
        <v>453</v>
      </c>
      <c r="AG70" s="340" t="s">
        <v>447</v>
      </c>
      <c r="AH70" s="342">
        <v>33149</v>
      </c>
      <c r="AI70" s="340" t="s">
        <v>454</v>
      </c>
      <c r="AJ70" s="340" t="s">
        <v>455</v>
      </c>
      <c r="AK70" s="340" t="s">
        <v>456</v>
      </c>
      <c r="AL70" s="340" t="s">
        <v>457</v>
      </c>
      <c r="AM70" s="340">
        <v>6</v>
      </c>
      <c r="AN70" s="340" t="s">
        <v>458</v>
      </c>
      <c r="AO70" s="340" t="s">
        <v>459</v>
      </c>
      <c r="AP70" s="340">
        <v>3</v>
      </c>
      <c r="AQ70" s="340" t="s">
        <v>460</v>
      </c>
      <c r="AR70" s="340">
        <v>3039</v>
      </c>
      <c r="AS70" s="340" t="s">
        <v>467</v>
      </c>
      <c r="AT70" s="340">
        <v>1</v>
      </c>
      <c r="AU70" s="340" t="s">
        <v>462</v>
      </c>
      <c r="AV70" s="343">
        <v>0.375</v>
      </c>
      <c r="AW70" s="343">
        <v>0.58333333333333337</v>
      </c>
      <c r="AX70" s="340" t="s">
        <v>463</v>
      </c>
      <c r="AY70" s="340" t="s">
        <v>464</v>
      </c>
    </row>
    <row r="71" spans="1:51" x14ac:dyDescent="0.25">
      <c r="A71" s="339" t="s">
        <v>441</v>
      </c>
      <c r="B71" s="339" t="s">
        <v>442</v>
      </c>
      <c r="C71" s="339" t="s">
        <v>469</v>
      </c>
      <c r="D71" s="339">
        <v>4</v>
      </c>
      <c r="E71" s="339">
        <v>10</v>
      </c>
      <c r="F71" s="339">
        <v>6.5</v>
      </c>
      <c r="G71" s="340">
        <v>2012029700</v>
      </c>
      <c r="H71" s="346">
        <v>120297</v>
      </c>
      <c r="I71" s="348">
        <v>363</v>
      </c>
      <c r="J71" s="341">
        <v>421</v>
      </c>
      <c r="K71" s="341">
        <v>258</v>
      </c>
      <c r="L71" s="348">
        <f t="shared" si="4"/>
        <v>679</v>
      </c>
      <c r="M71" s="341">
        <v>469</v>
      </c>
      <c r="N71" s="340" t="s">
        <v>784</v>
      </c>
      <c r="O71" s="340">
        <v>1</v>
      </c>
      <c r="P71" s="340" t="s">
        <v>784</v>
      </c>
      <c r="Q71" s="340" t="s">
        <v>0</v>
      </c>
      <c r="R71" s="340" t="s">
        <v>446</v>
      </c>
      <c r="S71" s="340" t="s">
        <v>447</v>
      </c>
      <c r="T71" s="340">
        <v>4</v>
      </c>
      <c r="U71" s="340" t="s">
        <v>0</v>
      </c>
      <c r="V71" s="340" t="s">
        <v>498</v>
      </c>
      <c r="W71" s="340" t="s">
        <v>0</v>
      </c>
      <c r="X71" s="340" t="s">
        <v>785</v>
      </c>
      <c r="Y71" s="340" t="s">
        <v>0</v>
      </c>
      <c r="Z71" s="340" t="s">
        <v>786</v>
      </c>
      <c r="AA71" s="340" t="s">
        <v>0</v>
      </c>
      <c r="AB71" s="340" t="s">
        <v>787</v>
      </c>
      <c r="AC71" s="340" t="s">
        <v>0</v>
      </c>
      <c r="AD71" s="340">
        <v>69700</v>
      </c>
      <c r="AE71" s="340" t="s">
        <v>452</v>
      </c>
      <c r="AF71" s="340" t="s">
        <v>453</v>
      </c>
      <c r="AG71" s="340" t="s">
        <v>447</v>
      </c>
      <c r="AH71" s="342">
        <v>33584</v>
      </c>
      <c r="AI71" s="340" t="s">
        <v>454</v>
      </c>
      <c r="AJ71" s="340" t="s">
        <v>455</v>
      </c>
      <c r="AK71" s="340" t="s">
        <v>456</v>
      </c>
      <c r="AL71" s="340" t="s">
        <v>457</v>
      </c>
      <c r="AM71" s="340">
        <v>6</v>
      </c>
      <c r="AN71" s="340" t="s">
        <v>458</v>
      </c>
      <c r="AO71" s="340" t="s">
        <v>459</v>
      </c>
      <c r="AP71" s="340">
        <v>3</v>
      </c>
      <c r="AQ71" s="340" t="s">
        <v>460</v>
      </c>
      <c r="AR71" s="340">
        <v>3153</v>
      </c>
      <c r="AS71" s="340" t="s">
        <v>514</v>
      </c>
      <c r="AT71" s="340">
        <v>1</v>
      </c>
      <c r="AU71" s="340" t="s">
        <v>462</v>
      </c>
      <c r="AV71" s="343">
        <v>0.375</v>
      </c>
      <c r="AW71" s="343">
        <v>0.58333333333333337</v>
      </c>
      <c r="AX71" s="340" t="s">
        <v>463</v>
      </c>
      <c r="AY71" s="340" t="s">
        <v>464</v>
      </c>
    </row>
    <row r="72" spans="1:51" x14ac:dyDescent="0.25">
      <c r="A72" s="339" t="s">
        <v>441</v>
      </c>
      <c r="B72" s="339" t="s">
        <v>442</v>
      </c>
      <c r="C72" s="339" t="s">
        <v>469</v>
      </c>
      <c r="D72" s="339">
        <v>2</v>
      </c>
      <c r="E72" s="339">
        <v>1</v>
      </c>
      <c r="F72" s="339">
        <v>6.5</v>
      </c>
      <c r="G72" s="340">
        <v>2012032000</v>
      </c>
      <c r="H72" s="346">
        <v>120320</v>
      </c>
      <c r="I72" s="348">
        <v>199</v>
      </c>
      <c r="J72" s="341">
        <v>190</v>
      </c>
      <c r="K72" s="341">
        <v>187</v>
      </c>
      <c r="L72" s="348">
        <f t="shared" si="4"/>
        <v>377</v>
      </c>
      <c r="M72" s="341">
        <v>364</v>
      </c>
      <c r="N72" s="340" t="s">
        <v>788</v>
      </c>
      <c r="O72" s="340">
        <v>1</v>
      </c>
      <c r="P72" s="340" t="s">
        <v>788</v>
      </c>
      <c r="Q72" s="340" t="s">
        <v>0</v>
      </c>
      <c r="R72" s="340" t="s">
        <v>446</v>
      </c>
      <c r="S72" s="340" t="s">
        <v>447</v>
      </c>
      <c r="T72" s="340">
        <v>3</v>
      </c>
      <c r="U72" s="340" t="s">
        <v>0</v>
      </c>
      <c r="V72" s="340" t="s">
        <v>472</v>
      </c>
      <c r="W72" s="340" t="s">
        <v>0</v>
      </c>
      <c r="X72" s="340" t="s">
        <v>550</v>
      </c>
      <c r="Y72" s="340" t="s">
        <v>0</v>
      </c>
      <c r="Z72" s="340" t="s">
        <v>789</v>
      </c>
      <c r="AA72" s="340" t="s">
        <v>0</v>
      </c>
      <c r="AB72" s="340" t="s">
        <v>790</v>
      </c>
      <c r="AC72" s="340" t="s">
        <v>0</v>
      </c>
      <c r="AD72" s="340">
        <v>71900</v>
      </c>
      <c r="AE72" s="340" t="s">
        <v>452</v>
      </c>
      <c r="AF72" s="340" t="s">
        <v>453</v>
      </c>
      <c r="AG72" s="340" t="s">
        <v>447</v>
      </c>
      <c r="AH72" s="342">
        <v>33220</v>
      </c>
      <c r="AI72" s="340" t="s">
        <v>454</v>
      </c>
      <c r="AJ72" s="340" t="s">
        <v>455</v>
      </c>
      <c r="AK72" s="340" t="s">
        <v>456</v>
      </c>
      <c r="AL72" s="340" t="s">
        <v>457</v>
      </c>
      <c r="AM72" s="340">
        <v>6</v>
      </c>
      <c r="AN72" s="340" t="s">
        <v>458</v>
      </c>
      <c r="AO72" s="340" t="s">
        <v>459</v>
      </c>
      <c r="AP72" s="340">
        <v>3</v>
      </c>
      <c r="AQ72" s="340" t="s">
        <v>460</v>
      </c>
      <c r="AR72" s="340">
        <v>3045</v>
      </c>
      <c r="AS72" s="340" t="s">
        <v>791</v>
      </c>
      <c r="AT72" s="340">
        <v>1</v>
      </c>
      <c r="AU72" s="340" t="s">
        <v>462</v>
      </c>
      <c r="AV72" s="343">
        <v>0.33333333333333331</v>
      </c>
      <c r="AW72" s="343">
        <v>0.58333333333333337</v>
      </c>
      <c r="AX72" s="340" t="s">
        <v>463</v>
      </c>
      <c r="AY72" s="340" t="s">
        <v>464</v>
      </c>
    </row>
    <row r="73" spans="1:51" x14ac:dyDescent="0.25">
      <c r="A73" s="339" t="s">
        <v>441</v>
      </c>
      <c r="B73" s="339" t="s">
        <v>442</v>
      </c>
      <c r="C73" s="339" t="s">
        <v>469</v>
      </c>
      <c r="D73" s="339">
        <v>2</v>
      </c>
      <c r="E73" s="339">
        <v>4</v>
      </c>
      <c r="F73" s="339">
        <v>6.5</v>
      </c>
      <c r="G73" s="340">
        <v>2012032600</v>
      </c>
      <c r="H73" s="346">
        <v>120326</v>
      </c>
      <c r="I73" s="348">
        <v>234</v>
      </c>
      <c r="J73" s="341">
        <v>127</v>
      </c>
      <c r="K73" s="341">
        <v>221</v>
      </c>
      <c r="L73" s="348">
        <f t="shared" si="4"/>
        <v>348</v>
      </c>
      <c r="M73" s="341">
        <v>334</v>
      </c>
      <c r="N73" s="340" t="s">
        <v>792</v>
      </c>
      <c r="O73" s="340">
        <v>38</v>
      </c>
      <c r="P73" s="340" t="s">
        <v>793</v>
      </c>
      <c r="Q73" s="340" t="s">
        <v>0</v>
      </c>
      <c r="R73" s="340" t="s">
        <v>446</v>
      </c>
      <c r="S73" s="340" t="s">
        <v>447</v>
      </c>
      <c r="T73" s="340">
        <v>2</v>
      </c>
      <c r="U73" s="340" t="s">
        <v>0</v>
      </c>
      <c r="V73" s="340" t="s">
        <v>448</v>
      </c>
      <c r="W73" s="340" t="s">
        <v>0</v>
      </c>
      <c r="X73" s="340" t="s">
        <v>794</v>
      </c>
      <c r="Y73" s="340" t="s">
        <v>0</v>
      </c>
      <c r="Z73" s="340" t="s">
        <v>450</v>
      </c>
      <c r="AA73" s="340" t="s">
        <v>0</v>
      </c>
      <c r="AB73" s="340" t="s">
        <v>795</v>
      </c>
      <c r="AC73" s="340" t="s">
        <v>0</v>
      </c>
      <c r="AD73" s="340">
        <v>71803</v>
      </c>
      <c r="AE73" s="340" t="s">
        <v>452</v>
      </c>
      <c r="AF73" s="340" t="s">
        <v>453</v>
      </c>
      <c r="AG73" s="340" t="s">
        <v>447</v>
      </c>
      <c r="AH73" s="342">
        <v>32905</v>
      </c>
      <c r="AI73" s="340" t="s">
        <v>454</v>
      </c>
      <c r="AJ73" s="340" t="s">
        <v>455</v>
      </c>
      <c r="AK73" s="340" t="s">
        <v>456</v>
      </c>
      <c r="AL73" s="340" t="s">
        <v>457</v>
      </c>
      <c r="AM73" s="340">
        <v>6</v>
      </c>
      <c r="AN73" s="340" t="s">
        <v>458</v>
      </c>
      <c r="AO73" s="340" t="s">
        <v>459</v>
      </c>
      <c r="AP73" s="340">
        <v>3</v>
      </c>
      <c r="AQ73" s="340" t="s">
        <v>460</v>
      </c>
      <c r="AR73" s="340">
        <v>3138</v>
      </c>
      <c r="AS73" s="340" t="s">
        <v>796</v>
      </c>
      <c r="AT73" s="340">
        <v>1</v>
      </c>
      <c r="AU73" s="340" t="s">
        <v>462</v>
      </c>
      <c r="AV73" s="343">
        <v>0.33333333333333331</v>
      </c>
      <c r="AW73" s="343">
        <v>0.54166666666666663</v>
      </c>
      <c r="AX73" s="340" t="s">
        <v>463</v>
      </c>
      <c r="AY73" s="340" t="s">
        <v>464</v>
      </c>
    </row>
    <row r="74" spans="1:51" x14ac:dyDescent="0.25">
      <c r="A74" s="339" t="s">
        <v>441</v>
      </c>
      <c r="B74" s="339" t="s">
        <v>442</v>
      </c>
      <c r="C74" s="339" t="s">
        <v>469</v>
      </c>
      <c r="D74" s="339">
        <v>2</v>
      </c>
      <c r="E74" s="339">
        <v>6</v>
      </c>
      <c r="F74" s="339">
        <v>6.5</v>
      </c>
      <c r="G74" s="340">
        <v>2012033900</v>
      </c>
      <c r="H74" s="346">
        <v>120339</v>
      </c>
      <c r="I74" s="348">
        <v>242</v>
      </c>
      <c r="J74" s="341">
        <v>87</v>
      </c>
      <c r="K74" s="341">
        <v>209</v>
      </c>
      <c r="L74" s="348">
        <f t="shared" si="4"/>
        <v>296</v>
      </c>
      <c r="M74" s="341">
        <v>414</v>
      </c>
      <c r="N74" s="340" t="s">
        <v>797</v>
      </c>
      <c r="O74" s="340">
        <v>1</v>
      </c>
      <c r="P74" s="340" t="s">
        <v>798</v>
      </c>
      <c r="Q74" s="340" t="s">
        <v>0</v>
      </c>
      <c r="R74" s="340" t="s">
        <v>446</v>
      </c>
      <c r="S74" s="340" t="s">
        <v>447</v>
      </c>
      <c r="T74" s="340">
        <v>2</v>
      </c>
      <c r="U74" s="340" t="s">
        <v>0</v>
      </c>
      <c r="V74" s="340" t="s">
        <v>448</v>
      </c>
      <c r="W74" s="340" t="s">
        <v>0</v>
      </c>
      <c r="X74" s="340" t="s">
        <v>799</v>
      </c>
      <c r="Y74" s="340" t="s">
        <v>0</v>
      </c>
      <c r="Z74" s="340" t="s">
        <v>450</v>
      </c>
      <c r="AA74" s="340" t="s">
        <v>0</v>
      </c>
      <c r="AB74" s="340" t="s">
        <v>800</v>
      </c>
      <c r="AC74" s="340" t="s">
        <v>0</v>
      </c>
      <c r="AD74" s="340">
        <v>71790</v>
      </c>
      <c r="AE74" s="340" t="s">
        <v>452</v>
      </c>
      <c r="AF74" s="340" t="s">
        <v>453</v>
      </c>
      <c r="AG74" s="340" t="s">
        <v>447</v>
      </c>
      <c r="AH74" s="342">
        <v>32915</v>
      </c>
      <c r="AI74" s="340" t="s">
        <v>454</v>
      </c>
      <c r="AJ74" s="340" t="s">
        <v>455</v>
      </c>
      <c r="AK74" s="340" t="s">
        <v>456</v>
      </c>
      <c r="AL74" s="340" t="s">
        <v>457</v>
      </c>
      <c r="AM74" s="340">
        <v>6</v>
      </c>
      <c r="AN74" s="340" t="s">
        <v>458</v>
      </c>
      <c r="AO74" s="340" t="s">
        <v>459</v>
      </c>
      <c r="AP74" s="340">
        <v>3</v>
      </c>
      <c r="AQ74" s="340" t="s">
        <v>460</v>
      </c>
      <c r="AR74" s="340">
        <v>3102</v>
      </c>
      <c r="AS74" s="340" t="s">
        <v>697</v>
      </c>
      <c r="AT74" s="340">
        <v>1</v>
      </c>
      <c r="AU74" s="340" t="s">
        <v>462</v>
      </c>
      <c r="AV74" s="343">
        <v>0.33333333333333331</v>
      </c>
      <c r="AW74" s="343">
        <v>0.54166666666666663</v>
      </c>
      <c r="AX74" s="340" t="s">
        <v>463</v>
      </c>
      <c r="AY74" s="340" t="s">
        <v>464</v>
      </c>
    </row>
    <row r="75" spans="1:51" x14ac:dyDescent="0.25">
      <c r="A75" s="339" t="s">
        <v>441</v>
      </c>
      <c r="B75" s="339" t="s">
        <v>442</v>
      </c>
      <c r="C75" s="339" t="s">
        <v>469</v>
      </c>
      <c r="D75" s="339">
        <v>2</v>
      </c>
      <c r="E75" s="339">
        <v>4</v>
      </c>
      <c r="F75" s="339">
        <v>6.5</v>
      </c>
      <c r="G75" s="340">
        <v>2012034300</v>
      </c>
      <c r="H75" s="346">
        <v>120343</v>
      </c>
      <c r="I75" s="348">
        <v>98</v>
      </c>
      <c r="J75" s="341">
        <v>54</v>
      </c>
      <c r="K75" s="341">
        <v>94</v>
      </c>
      <c r="L75" s="348">
        <f t="shared" si="4"/>
        <v>148</v>
      </c>
      <c r="M75" s="341">
        <v>334</v>
      </c>
      <c r="N75" s="340" t="s">
        <v>792</v>
      </c>
      <c r="O75" s="340">
        <v>44</v>
      </c>
      <c r="P75" s="340" t="s">
        <v>801</v>
      </c>
      <c r="Q75" s="340" t="s">
        <v>0</v>
      </c>
      <c r="R75" s="340" t="s">
        <v>446</v>
      </c>
      <c r="S75" s="340" t="s">
        <v>447</v>
      </c>
      <c r="T75" s="340">
        <v>3</v>
      </c>
      <c r="U75" s="340" t="s">
        <v>0</v>
      </c>
      <c r="V75" s="340" t="s">
        <v>472</v>
      </c>
      <c r="W75" s="340" t="s">
        <v>0</v>
      </c>
      <c r="X75" s="340" t="s">
        <v>802</v>
      </c>
      <c r="Y75" s="340" t="s">
        <v>0</v>
      </c>
      <c r="Z75" s="340" t="s">
        <v>803</v>
      </c>
      <c r="AA75" s="340" t="s">
        <v>0</v>
      </c>
      <c r="AB75" s="340" t="s">
        <v>804</v>
      </c>
      <c r="AC75" s="340" t="s">
        <v>0</v>
      </c>
      <c r="AD75" s="340">
        <v>71800</v>
      </c>
      <c r="AE75" s="340" t="s">
        <v>452</v>
      </c>
      <c r="AF75" s="340" t="s">
        <v>453</v>
      </c>
      <c r="AG75" s="340" t="s">
        <v>447</v>
      </c>
      <c r="AH75" s="342">
        <v>32905</v>
      </c>
      <c r="AI75" s="340" t="s">
        <v>454</v>
      </c>
      <c r="AJ75" s="340" t="s">
        <v>455</v>
      </c>
      <c r="AK75" s="340" t="s">
        <v>456</v>
      </c>
      <c r="AL75" s="340" t="s">
        <v>457</v>
      </c>
      <c r="AM75" s="340">
        <v>6</v>
      </c>
      <c r="AN75" s="340" t="s">
        <v>458</v>
      </c>
      <c r="AO75" s="340" t="s">
        <v>459</v>
      </c>
      <c r="AP75" s="340">
        <v>3</v>
      </c>
      <c r="AQ75" s="340" t="s">
        <v>460</v>
      </c>
      <c r="AR75" s="340">
        <v>3138</v>
      </c>
      <c r="AS75" s="340" t="s">
        <v>796</v>
      </c>
      <c r="AT75" s="340">
        <v>1</v>
      </c>
      <c r="AU75" s="340" t="s">
        <v>462</v>
      </c>
      <c r="AV75" s="343">
        <v>0.33333333333333331</v>
      </c>
      <c r="AW75" s="343">
        <v>0.54166666666666663</v>
      </c>
      <c r="AX75" s="340" t="s">
        <v>463</v>
      </c>
      <c r="AY75" s="340" t="s">
        <v>464</v>
      </c>
    </row>
    <row r="76" spans="1:51" x14ac:dyDescent="0.25">
      <c r="A76" s="339" t="s">
        <v>441</v>
      </c>
      <c r="B76" s="339" t="s">
        <v>442</v>
      </c>
      <c r="C76" s="339" t="s">
        <v>469</v>
      </c>
      <c r="D76" s="339">
        <v>2</v>
      </c>
      <c r="E76" s="339">
        <v>6</v>
      </c>
      <c r="F76" s="339">
        <v>6.5</v>
      </c>
      <c r="G76" s="340">
        <v>2012034400</v>
      </c>
      <c r="H76" s="346">
        <v>120344</v>
      </c>
      <c r="I76" s="348">
        <v>205</v>
      </c>
      <c r="J76" s="341">
        <v>139</v>
      </c>
      <c r="K76" s="341">
        <v>200</v>
      </c>
      <c r="L76" s="348">
        <f t="shared" si="4"/>
        <v>339</v>
      </c>
      <c r="M76" s="341">
        <v>467</v>
      </c>
      <c r="N76" s="340" t="s">
        <v>805</v>
      </c>
      <c r="O76" s="340">
        <v>1</v>
      </c>
      <c r="P76" s="340" t="s">
        <v>805</v>
      </c>
      <c r="Q76" s="340" t="s">
        <v>0</v>
      </c>
      <c r="R76" s="340" t="s">
        <v>446</v>
      </c>
      <c r="S76" s="340" t="s">
        <v>447</v>
      </c>
      <c r="T76" s="340">
        <v>2</v>
      </c>
      <c r="U76" s="340" t="s">
        <v>0</v>
      </c>
      <c r="V76" s="340" t="s">
        <v>448</v>
      </c>
      <c r="W76" s="340" t="s">
        <v>0</v>
      </c>
      <c r="X76" s="340" t="s">
        <v>806</v>
      </c>
      <c r="Y76" s="340" t="s">
        <v>0</v>
      </c>
      <c r="Z76" s="340" t="s">
        <v>537</v>
      </c>
      <c r="AA76" s="340" t="s">
        <v>0</v>
      </c>
      <c r="AB76" s="340" t="s">
        <v>807</v>
      </c>
      <c r="AC76" s="340" t="s">
        <v>0</v>
      </c>
      <c r="AD76" s="340">
        <v>71800</v>
      </c>
      <c r="AE76" s="340" t="s">
        <v>452</v>
      </c>
      <c r="AF76" s="340" t="s">
        <v>453</v>
      </c>
      <c r="AG76" s="340" t="s">
        <v>447</v>
      </c>
      <c r="AH76" s="342">
        <v>33178</v>
      </c>
      <c r="AI76" s="340" t="s">
        <v>454</v>
      </c>
      <c r="AJ76" s="340" t="s">
        <v>455</v>
      </c>
      <c r="AK76" s="340" t="s">
        <v>456</v>
      </c>
      <c r="AL76" s="340" t="s">
        <v>457</v>
      </c>
      <c r="AM76" s="340">
        <v>6</v>
      </c>
      <c r="AN76" s="340" t="s">
        <v>458</v>
      </c>
      <c r="AO76" s="340" t="s">
        <v>459</v>
      </c>
      <c r="AP76" s="340">
        <v>3</v>
      </c>
      <c r="AQ76" s="340" t="s">
        <v>460</v>
      </c>
      <c r="AR76" s="340">
        <v>3102</v>
      </c>
      <c r="AS76" s="340" t="s">
        <v>697</v>
      </c>
      <c r="AT76" s="340">
        <v>1</v>
      </c>
      <c r="AU76" s="340" t="s">
        <v>462</v>
      </c>
      <c r="AV76" s="343">
        <v>0.33333333333333331</v>
      </c>
      <c r="AW76" s="343">
        <v>0.54166666666666663</v>
      </c>
      <c r="AX76" s="340" t="s">
        <v>463</v>
      </c>
      <c r="AY76" s="340" t="s">
        <v>464</v>
      </c>
    </row>
    <row r="77" spans="1:51" x14ac:dyDescent="0.25">
      <c r="A77" s="339" t="s">
        <v>441</v>
      </c>
      <c r="B77" s="339" t="s">
        <v>442</v>
      </c>
      <c r="C77" s="339" t="s">
        <v>469</v>
      </c>
      <c r="D77" s="339">
        <v>2</v>
      </c>
      <c r="E77" s="339">
        <v>7</v>
      </c>
      <c r="F77" s="339">
        <v>6.5</v>
      </c>
      <c r="G77" s="340">
        <v>2012034700</v>
      </c>
      <c r="H77" s="346">
        <v>120347</v>
      </c>
      <c r="I77" s="348">
        <v>487</v>
      </c>
      <c r="J77" s="341">
        <v>327</v>
      </c>
      <c r="K77" s="341">
        <v>381</v>
      </c>
      <c r="L77" s="348">
        <f t="shared" si="4"/>
        <v>708</v>
      </c>
      <c r="M77" s="341">
        <v>73</v>
      </c>
      <c r="N77" s="340" t="s">
        <v>673</v>
      </c>
      <c r="O77" s="340">
        <v>1</v>
      </c>
      <c r="P77" s="340" t="s">
        <v>673</v>
      </c>
      <c r="Q77" s="340" t="s">
        <v>0</v>
      </c>
      <c r="R77" s="340" t="s">
        <v>446</v>
      </c>
      <c r="S77" s="340" t="s">
        <v>447</v>
      </c>
      <c r="T77" s="340">
        <v>5</v>
      </c>
      <c r="U77" s="340" t="s">
        <v>0</v>
      </c>
      <c r="V77" s="340" t="s">
        <v>723</v>
      </c>
      <c r="W77" s="340" t="s">
        <v>0</v>
      </c>
      <c r="X77" s="340" t="s">
        <v>808</v>
      </c>
      <c r="Y77" s="340" t="s">
        <v>0</v>
      </c>
      <c r="Z77" s="340" t="s">
        <v>450</v>
      </c>
      <c r="AA77" s="340" t="s">
        <v>0</v>
      </c>
      <c r="AB77" s="340" t="s">
        <v>809</v>
      </c>
      <c r="AC77" s="340" t="s">
        <v>0</v>
      </c>
      <c r="AD77" s="340">
        <v>71000</v>
      </c>
      <c r="AE77" s="340" t="s">
        <v>452</v>
      </c>
      <c r="AF77" s="340" t="s">
        <v>453</v>
      </c>
      <c r="AG77" s="340" t="s">
        <v>447</v>
      </c>
      <c r="AH77" s="342">
        <v>33329</v>
      </c>
      <c r="AI77" s="340" t="s">
        <v>454</v>
      </c>
      <c r="AJ77" s="340" t="s">
        <v>455</v>
      </c>
      <c r="AK77" s="340" t="s">
        <v>456</v>
      </c>
      <c r="AL77" s="340" t="s">
        <v>457</v>
      </c>
      <c r="AM77" s="340">
        <v>6</v>
      </c>
      <c r="AN77" s="340" t="s">
        <v>458</v>
      </c>
      <c r="AO77" s="340" t="s">
        <v>459</v>
      </c>
      <c r="AP77" s="340">
        <v>3</v>
      </c>
      <c r="AQ77" s="340" t="s">
        <v>460</v>
      </c>
      <c r="AR77" s="340">
        <v>3123</v>
      </c>
      <c r="AS77" s="340" t="s">
        <v>539</v>
      </c>
      <c r="AT77" s="340">
        <v>1</v>
      </c>
      <c r="AU77" s="340" t="s">
        <v>462</v>
      </c>
      <c r="AV77" s="343">
        <v>0.41666666666666669</v>
      </c>
      <c r="AW77" s="343">
        <v>0.58333333333333337</v>
      </c>
      <c r="AX77" s="340" t="s">
        <v>463</v>
      </c>
      <c r="AY77" s="340" t="s">
        <v>464</v>
      </c>
    </row>
    <row r="78" spans="1:51" x14ac:dyDescent="0.25">
      <c r="A78" s="339" t="s">
        <v>441</v>
      </c>
      <c r="B78" s="339" t="s">
        <v>442</v>
      </c>
      <c r="C78" s="339" t="s">
        <v>469</v>
      </c>
      <c r="D78" s="339">
        <v>7</v>
      </c>
      <c r="E78" s="339">
        <v>3</v>
      </c>
      <c r="F78" s="339">
        <v>6.5</v>
      </c>
      <c r="G78" s="340">
        <v>2012036000</v>
      </c>
      <c r="H78" s="346">
        <v>120360</v>
      </c>
      <c r="I78" s="348">
        <v>50</v>
      </c>
      <c r="J78" s="341">
        <v>29</v>
      </c>
      <c r="K78" s="341">
        <v>33</v>
      </c>
      <c r="L78" s="348">
        <f t="shared" si="4"/>
        <v>62</v>
      </c>
      <c r="M78" s="341">
        <v>28</v>
      </c>
      <c r="N78" s="340" t="s">
        <v>525</v>
      </c>
      <c r="O78" s="340">
        <v>11</v>
      </c>
      <c r="P78" s="340" t="s">
        <v>811</v>
      </c>
      <c r="Q78" s="340" t="s">
        <v>0</v>
      </c>
      <c r="R78" s="340" t="s">
        <v>446</v>
      </c>
      <c r="S78" s="340" t="s">
        <v>447</v>
      </c>
      <c r="T78" s="340">
        <v>2</v>
      </c>
      <c r="U78" s="340" t="s">
        <v>0</v>
      </c>
      <c r="V78" s="340" t="s">
        <v>448</v>
      </c>
      <c r="W78" s="340" t="s">
        <v>0</v>
      </c>
      <c r="X78" s="340" t="s">
        <v>812</v>
      </c>
      <c r="Y78" s="340" t="s">
        <v>0</v>
      </c>
      <c r="Z78" s="340" t="s">
        <v>450</v>
      </c>
      <c r="AA78" s="340" t="s">
        <v>0</v>
      </c>
      <c r="AB78" s="340" t="s">
        <v>813</v>
      </c>
      <c r="AC78" s="340" t="s">
        <v>0</v>
      </c>
      <c r="AD78" s="340">
        <v>71600</v>
      </c>
      <c r="AE78" s="340" t="s">
        <v>452</v>
      </c>
      <c r="AF78" s="340" t="s">
        <v>453</v>
      </c>
      <c r="AG78" s="340" t="s">
        <v>447</v>
      </c>
      <c r="AH78" s="342">
        <v>33299</v>
      </c>
      <c r="AI78" s="340" t="s">
        <v>454</v>
      </c>
      <c r="AJ78" s="340" t="s">
        <v>455</v>
      </c>
      <c r="AK78" s="340" t="s">
        <v>456</v>
      </c>
      <c r="AL78" s="340" t="s">
        <v>457</v>
      </c>
      <c r="AM78" s="340">
        <v>6</v>
      </c>
      <c r="AN78" s="340" t="s">
        <v>458</v>
      </c>
      <c r="AO78" s="340" t="s">
        <v>459</v>
      </c>
      <c r="AP78" s="340">
        <v>3</v>
      </c>
      <c r="AQ78" s="340" t="s">
        <v>460</v>
      </c>
      <c r="AR78" s="340">
        <v>4517</v>
      </c>
      <c r="AS78" s="340" t="s">
        <v>513</v>
      </c>
      <c r="AT78" s="340">
        <v>1</v>
      </c>
      <c r="AU78" s="340" t="s">
        <v>462</v>
      </c>
      <c r="AV78" s="343">
        <v>0.33333333333333331</v>
      </c>
      <c r="AW78" s="343">
        <v>0.45833333333333331</v>
      </c>
      <c r="AX78" s="340" t="s">
        <v>463</v>
      </c>
      <c r="AY78" s="340" t="s">
        <v>464</v>
      </c>
    </row>
    <row r="79" spans="1:51" x14ac:dyDescent="0.25">
      <c r="A79" s="339" t="s">
        <v>441</v>
      </c>
      <c r="B79" s="339" t="s">
        <v>442</v>
      </c>
      <c r="C79" s="339" t="s">
        <v>469</v>
      </c>
      <c r="D79" s="339">
        <v>4</v>
      </c>
      <c r="E79" s="339">
        <v>1</v>
      </c>
      <c r="F79" s="339">
        <v>6.5</v>
      </c>
      <c r="G79" s="340">
        <v>2012042300</v>
      </c>
      <c r="H79" s="346">
        <v>120423</v>
      </c>
      <c r="I79" s="348">
        <v>314</v>
      </c>
      <c r="J79" s="341">
        <v>213</v>
      </c>
      <c r="K79" s="341">
        <v>223</v>
      </c>
      <c r="L79" s="348">
        <f t="shared" si="4"/>
        <v>436</v>
      </c>
      <c r="M79" s="341">
        <v>26</v>
      </c>
      <c r="N79" s="340" t="s">
        <v>814</v>
      </c>
      <c r="O79" s="340">
        <v>1</v>
      </c>
      <c r="P79" s="340" t="s">
        <v>814</v>
      </c>
      <c r="Q79" s="340" t="s">
        <v>0</v>
      </c>
      <c r="R79" s="340" t="s">
        <v>446</v>
      </c>
      <c r="S79" s="340" t="s">
        <v>447</v>
      </c>
      <c r="T79" s="340">
        <v>4</v>
      </c>
      <c r="U79" s="340" t="s">
        <v>0</v>
      </c>
      <c r="V79" s="340" t="s">
        <v>498</v>
      </c>
      <c r="W79" s="340" t="s">
        <v>0</v>
      </c>
      <c r="X79" s="340" t="s">
        <v>815</v>
      </c>
      <c r="Y79" s="340" t="s">
        <v>0</v>
      </c>
      <c r="Z79" s="340" t="s">
        <v>450</v>
      </c>
      <c r="AA79" s="340" t="s">
        <v>0</v>
      </c>
      <c r="AB79" s="340" t="s">
        <v>816</v>
      </c>
      <c r="AC79" s="340" t="s">
        <v>0</v>
      </c>
      <c r="AD79" s="340">
        <v>71100</v>
      </c>
      <c r="AE79" s="340" t="s">
        <v>452</v>
      </c>
      <c r="AF79" s="340" t="s">
        <v>453</v>
      </c>
      <c r="AG79" s="340" t="s">
        <v>447</v>
      </c>
      <c r="AH79" s="342">
        <v>33387</v>
      </c>
      <c r="AI79" s="340" t="s">
        <v>454</v>
      </c>
      <c r="AJ79" s="340" t="s">
        <v>455</v>
      </c>
      <c r="AK79" s="340" t="s">
        <v>456</v>
      </c>
      <c r="AL79" s="340" t="s">
        <v>457</v>
      </c>
      <c r="AM79" s="340">
        <v>6</v>
      </c>
      <c r="AN79" s="340" t="s">
        <v>458</v>
      </c>
      <c r="AO79" s="340" t="s">
        <v>459</v>
      </c>
      <c r="AP79" s="340">
        <v>3</v>
      </c>
      <c r="AQ79" s="340" t="s">
        <v>460</v>
      </c>
      <c r="AR79" s="340">
        <v>3150</v>
      </c>
      <c r="AS79" s="340" t="s">
        <v>706</v>
      </c>
      <c r="AT79" s="340">
        <v>1</v>
      </c>
      <c r="AU79" s="340" t="s">
        <v>462</v>
      </c>
      <c r="AV79" s="343">
        <v>0.375</v>
      </c>
      <c r="AW79" s="343">
        <v>0.58333333333333337</v>
      </c>
      <c r="AX79" s="340" t="s">
        <v>463</v>
      </c>
      <c r="AY79" s="340" t="s">
        <v>464</v>
      </c>
    </row>
    <row r="80" spans="1:51" x14ac:dyDescent="0.25">
      <c r="A80" s="339" t="s">
        <v>441</v>
      </c>
      <c r="B80" s="339" t="s">
        <v>442</v>
      </c>
      <c r="C80" s="339" t="s">
        <v>469</v>
      </c>
      <c r="D80" s="339">
        <v>2</v>
      </c>
      <c r="E80" s="339">
        <v>7</v>
      </c>
      <c r="F80" s="339">
        <v>6.5</v>
      </c>
      <c r="G80" s="340">
        <v>2012042700</v>
      </c>
      <c r="H80" s="346">
        <v>120427</v>
      </c>
      <c r="I80" s="348">
        <v>59</v>
      </c>
      <c r="J80" s="341">
        <v>34</v>
      </c>
      <c r="K80" s="341">
        <v>52</v>
      </c>
      <c r="L80" s="348">
        <f t="shared" si="4"/>
        <v>86</v>
      </c>
      <c r="M80" s="341">
        <v>73</v>
      </c>
      <c r="N80" s="340" t="s">
        <v>673</v>
      </c>
      <c r="O80" s="340">
        <v>19</v>
      </c>
      <c r="P80" s="340" t="s">
        <v>817</v>
      </c>
      <c r="Q80" s="340" t="s">
        <v>0</v>
      </c>
      <c r="R80" s="340" t="s">
        <v>446</v>
      </c>
      <c r="S80" s="340" t="s">
        <v>447</v>
      </c>
      <c r="T80" s="340">
        <v>3</v>
      </c>
      <c r="U80" s="340" t="s">
        <v>0</v>
      </c>
      <c r="V80" s="340" t="s">
        <v>472</v>
      </c>
      <c r="W80" s="340" t="s">
        <v>0</v>
      </c>
      <c r="X80" s="340" t="s">
        <v>818</v>
      </c>
      <c r="Y80" s="340" t="s">
        <v>0</v>
      </c>
      <c r="Z80" s="340" t="s">
        <v>450</v>
      </c>
      <c r="AA80" s="340" t="s">
        <v>0</v>
      </c>
      <c r="AB80" s="340" t="s">
        <v>819</v>
      </c>
      <c r="AC80" s="340" t="s">
        <v>0</v>
      </c>
      <c r="AD80" s="340">
        <v>71000</v>
      </c>
      <c r="AE80" s="340" t="s">
        <v>452</v>
      </c>
      <c r="AF80" s="340" t="s">
        <v>453</v>
      </c>
      <c r="AG80" s="340" t="s">
        <v>447</v>
      </c>
      <c r="AH80" s="342">
        <v>33329</v>
      </c>
      <c r="AI80" s="340" t="s">
        <v>454</v>
      </c>
      <c r="AJ80" s="340" t="s">
        <v>455</v>
      </c>
      <c r="AK80" s="340" t="s">
        <v>456</v>
      </c>
      <c r="AL80" s="340" t="s">
        <v>457</v>
      </c>
      <c r="AM80" s="340">
        <v>6</v>
      </c>
      <c r="AN80" s="340" t="s">
        <v>458</v>
      </c>
      <c r="AO80" s="340" t="s">
        <v>459</v>
      </c>
      <c r="AP80" s="340">
        <v>3</v>
      </c>
      <c r="AQ80" s="340" t="s">
        <v>460</v>
      </c>
      <c r="AR80" s="340">
        <v>3123</v>
      </c>
      <c r="AS80" s="340" t="s">
        <v>539</v>
      </c>
      <c r="AT80" s="340">
        <v>1</v>
      </c>
      <c r="AU80" s="340" t="s">
        <v>462</v>
      </c>
      <c r="AV80" s="343">
        <v>0.375</v>
      </c>
      <c r="AW80" s="343">
        <v>0.54166666666666663</v>
      </c>
      <c r="AX80" s="340" t="s">
        <v>463</v>
      </c>
      <c r="AY80" s="340" t="s">
        <v>464</v>
      </c>
    </row>
    <row r="81" spans="1:51" x14ac:dyDescent="0.25">
      <c r="A81" s="339" t="s">
        <v>441</v>
      </c>
      <c r="B81" s="339" t="s">
        <v>442</v>
      </c>
      <c r="C81" s="339" t="s">
        <v>469</v>
      </c>
      <c r="D81" s="339">
        <v>5</v>
      </c>
      <c r="E81" s="339">
        <v>2</v>
      </c>
      <c r="F81" s="339">
        <v>6.5</v>
      </c>
      <c r="G81" s="340">
        <v>2012043200</v>
      </c>
      <c r="H81" s="346">
        <v>120432</v>
      </c>
      <c r="I81" s="348">
        <v>239</v>
      </c>
      <c r="J81" s="341">
        <v>159</v>
      </c>
      <c r="K81" s="341">
        <v>257</v>
      </c>
      <c r="L81" s="348">
        <f t="shared" si="4"/>
        <v>416</v>
      </c>
      <c r="M81" s="341">
        <v>559</v>
      </c>
      <c r="N81" s="340" t="s">
        <v>820</v>
      </c>
      <c r="O81" s="340">
        <v>1</v>
      </c>
      <c r="P81" s="340" t="s">
        <v>820</v>
      </c>
      <c r="Q81" s="340" t="s">
        <v>0</v>
      </c>
      <c r="R81" s="340" t="s">
        <v>446</v>
      </c>
      <c r="S81" s="340" t="s">
        <v>447</v>
      </c>
      <c r="T81" s="340">
        <v>3</v>
      </c>
      <c r="U81" s="340" t="s">
        <v>0</v>
      </c>
      <c r="V81" s="340" t="s">
        <v>472</v>
      </c>
      <c r="W81" s="340" t="s">
        <v>0</v>
      </c>
      <c r="X81" s="340" t="s">
        <v>821</v>
      </c>
      <c r="Y81" s="340" t="s">
        <v>0</v>
      </c>
      <c r="Z81" s="340" t="s">
        <v>450</v>
      </c>
      <c r="AA81" s="340" t="s">
        <v>0</v>
      </c>
      <c r="AB81" s="340" t="s">
        <v>822</v>
      </c>
      <c r="AC81" s="340" t="s">
        <v>0</v>
      </c>
      <c r="AD81" s="340">
        <v>68480</v>
      </c>
      <c r="AE81" s="340" t="s">
        <v>452</v>
      </c>
      <c r="AF81" s="340" t="s">
        <v>453</v>
      </c>
      <c r="AG81" s="340" t="s">
        <v>447</v>
      </c>
      <c r="AH81" s="342">
        <v>33348</v>
      </c>
      <c r="AI81" s="340" t="s">
        <v>454</v>
      </c>
      <c r="AJ81" s="340" t="s">
        <v>455</v>
      </c>
      <c r="AK81" s="340" t="s">
        <v>456</v>
      </c>
      <c r="AL81" s="340" t="s">
        <v>457</v>
      </c>
      <c r="AM81" s="340">
        <v>6</v>
      </c>
      <c r="AN81" s="340" t="s">
        <v>458</v>
      </c>
      <c r="AO81" s="340" t="s">
        <v>459</v>
      </c>
      <c r="AP81" s="340">
        <v>3</v>
      </c>
      <c r="AQ81" s="340" t="s">
        <v>460</v>
      </c>
      <c r="AR81" s="340">
        <v>3059</v>
      </c>
      <c r="AS81" s="340" t="s">
        <v>490</v>
      </c>
      <c r="AT81" s="340">
        <v>1</v>
      </c>
      <c r="AU81" s="340" t="s">
        <v>462</v>
      </c>
      <c r="AV81" s="343">
        <v>0.375</v>
      </c>
      <c r="AW81" s="343">
        <v>0.58333333333333337</v>
      </c>
      <c r="AX81" s="340" t="s">
        <v>463</v>
      </c>
      <c r="AY81" s="340" t="s">
        <v>464</v>
      </c>
    </row>
    <row r="82" spans="1:51" x14ac:dyDescent="0.25">
      <c r="A82" s="339" t="s">
        <v>441</v>
      </c>
      <c r="B82" s="339" t="s">
        <v>442</v>
      </c>
      <c r="C82" s="339" t="s">
        <v>469</v>
      </c>
      <c r="D82" s="339">
        <v>4</v>
      </c>
      <c r="E82" s="339">
        <v>5</v>
      </c>
      <c r="F82" s="339">
        <v>6.5</v>
      </c>
      <c r="G82" s="340">
        <v>2012043800</v>
      </c>
      <c r="H82" s="346">
        <v>120438</v>
      </c>
      <c r="I82" s="348">
        <v>144</v>
      </c>
      <c r="J82" s="341">
        <v>85</v>
      </c>
      <c r="K82" s="341">
        <v>134</v>
      </c>
      <c r="L82" s="348">
        <f t="shared" si="4"/>
        <v>219</v>
      </c>
      <c r="M82" s="341">
        <v>548</v>
      </c>
      <c r="N82" s="340" t="s">
        <v>823</v>
      </c>
      <c r="O82" s="340">
        <v>1</v>
      </c>
      <c r="P82" s="340" t="s">
        <v>823</v>
      </c>
      <c r="Q82" s="340" t="s">
        <v>0</v>
      </c>
      <c r="R82" s="340" t="s">
        <v>446</v>
      </c>
      <c r="S82" s="340" t="s">
        <v>447</v>
      </c>
      <c r="T82" s="340">
        <v>3</v>
      </c>
      <c r="U82" s="340" t="s">
        <v>0</v>
      </c>
      <c r="V82" s="340" t="s">
        <v>472</v>
      </c>
      <c r="W82" s="340" t="s">
        <v>0</v>
      </c>
      <c r="X82" s="340" t="s">
        <v>512</v>
      </c>
      <c r="Y82" s="340" t="s">
        <v>0</v>
      </c>
      <c r="Z82" s="340" t="s">
        <v>450</v>
      </c>
      <c r="AA82" s="340" t="s">
        <v>0</v>
      </c>
      <c r="AB82" s="340" t="s">
        <v>824</v>
      </c>
      <c r="AC82" s="340" t="s">
        <v>0</v>
      </c>
      <c r="AD82" s="340">
        <v>69310</v>
      </c>
      <c r="AE82" s="340" t="s">
        <v>452</v>
      </c>
      <c r="AF82" s="340" t="s">
        <v>453</v>
      </c>
      <c r="AG82" s="340" t="s">
        <v>447</v>
      </c>
      <c r="AH82" s="342">
        <v>33311</v>
      </c>
      <c r="AI82" s="340" t="s">
        <v>454</v>
      </c>
      <c r="AJ82" s="340" t="s">
        <v>455</v>
      </c>
      <c r="AK82" s="340" t="s">
        <v>456</v>
      </c>
      <c r="AL82" s="340" t="s">
        <v>457</v>
      </c>
      <c r="AM82" s="340">
        <v>6</v>
      </c>
      <c r="AN82" s="340" t="s">
        <v>458</v>
      </c>
      <c r="AO82" s="340" t="s">
        <v>459</v>
      </c>
      <c r="AP82" s="340">
        <v>3</v>
      </c>
      <c r="AQ82" s="340" t="s">
        <v>460</v>
      </c>
      <c r="AR82" s="340">
        <v>3033</v>
      </c>
      <c r="AS82" s="340" t="s">
        <v>825</v>
      </c>
      <c r="AT82" s="340">
        <v>1</v>
      </c>
      <c r="AU82" s="340" t="s">
        <v>462</v>
      </c>
      <c r="AV82" s="343">
        <v>0.41666666666666669</v>
      </c>
      <c r="AW82" s="343">
        <v>0.58333333333333337</v>
      </c>
      <c r="AX82" s="340" t="s">
        <v>463</v>
      </c>
      <c r="AY82" s="340" t="s">
        <v>464</v>
      </c>
    </row>
    <row r="83" spans="1:51" x14ac:dyDescent="0.25">
      <c r="A83" s="339" t="s">
        <v>441</v>
      </c>
      <c r="B83" s="339" t="s">
        <v>442</v>
      </c>
      <c r="C83" s="339" t="s">
        <v>469</v>
      </c>
      <c r="D83" s="339">
        <v>4</v>
      </c>
      <c r="E83" s="339">
        <v>7</v>
      </c>
      <c r="F83" s="339">
        <v>6.5</v>
      </c>
      <c r="G83" s="340">
        <v>2012043900</v>
      </c>
      <c r="H83" s="346">
        <v>120439</v>
      </c>
      <c r="I83" s="348">
        <v>305</v>
      </c>
      <c r="J83" s="341">
        <v>176</v>
      </c>
      <c r="K83" s="341">
        <v>289</v>
      </c>
      <c r="L83" s="348">
        <f t="shared" si="4"/>
        <v>465</v>
      </c>
      <c r="M83" s="341">
        <v>549</v>
      </c>
      <c r="N83" s="340" t="s">
        <v>826</v>
      </c>
      <c r="O83" s="340">
        <v>1</v>
      </c>
      <c r="P83" s="340" t="s">
        <v>246</v>
      </c>
      <c r="Q83" s="340" t="s">
        <v>0</v>
      </c>
      <c r="R83" s="340" t="s">
        <v>446</v>
      </c>
      <c r="S83" s="340" t="s">
        <v>447</v>
      </c>
      <c r="T83" s="340">
        <v>4</v>
      </c>
      <c r="U83" s="340" t="s">
        <v>0</v>
      </c>
      <c r="V83" s="340" t="s">
        <v>498</v>
      </c>
      <c r="W83" s="340" t="s">
        <v>0</v>
      </c>
      <c r="X83" s="340" t="s">
        <v>827</v>
      </c>
      <c r="Y83" s="340" t="s">
        <v>0</v>
      </c>
      <c r="Z83" s="340" t="s">
        <v>450</v>
      </c>
      <c r="AA83" s="340" t="s">
        <v>0</v>
      </c>
      <c r="AB83" s="340" t="s">
        <v>828</v>
      </c>
      <c r="AC83" s="340" t="s">
        <v>0</v>
      </c>
      <c r="AD83" s="340">
        <v>69200</v>
      </c>
      <c r="AE83" s="340" t="s">
        <v>452</v>
      </c>
      <c r="AF83" s="340" t="s">
        <v>453</v>
      </c>
      <c r="AG83" s="340" t="s">
        <v>447</v>
      </c>
      <c r="AH83" s="342">
        <v>33402</v>
      </c>
      <c r="AI83" s="340" t="s">
        <v>454</v>
      </c>
      <c r="AJ83" s="340" t="s">
        <v>455</v>
      </c>
      <c r="AK83" s="340" t="s">
        <v>456</v>
      </c>
      <c r="AL83" s="340" t="s">
        <v>457</v>
      </c>
      <c r="AM83" s="340">
        <v>6</v>
      </c>
      <c r="AN83" s="340" t="s">
        <v>458</v>
      </c>
      <c r="AO83" s="340" t="s">
        <v>459</v>
      </c>
      <c r="AP83" s="340">
        <v>3</v>
      </c>
      <c r="AQ83" s="340" t="s">
        <v>460</v>
      </c>
      <c r="AR83" s="340">
        <v>3146</v>
      </c>
      <c r="AS83" s="340" t="s">
        <v>545</v>
      </c>
      <c r="AT83" s="340">
        <v>1</v>
      </c>
      <c r="AU83" s="340" t="s">
        <v>462</v>
      </c>
      <c r="AV83" s="343">
        <v>0.375</v>
      </c>
      <c r="AW83" s="343">
        <v>0.58333333333333337</v>
      </c>
      <c r="AX83" s="340" t="s">
        <v>463</v>
      </c>
      <c r="AY83" s="340" t="s">
        <v>464</v>
      </c>
    </row>
    <row r="84" spans="1:51" x14ac:dyDescent="0.25">
      <c r="A84" s="339" t="s">
        <v>441</v>
      </c>
      <c r="B84" s="339" t="s">
        <v>442</v>
      </c>
      <c r="C84" s="339" t="s">
        <v>469</v>
      </c>
      <c r="D84" s="339">
        <v>4</v>
      </c>
      <c r="E84" s="339">
        <v>8</v>
      </c>
      <c r="F84" s="339">
        <v>6.5</v>
      </c>
      <c r="G84" s="340">
        <v>2012044800</v>
      </c>
      <c r="H84" s="346">
        <v>120448</v>
      </c>
      <c r="I84" s="348">
        <v>250</v>
      </c>
      <c r="J84" s="341">
        <v>127</v>
      </c>
      <c r="K84" s="341">
        <v>265</v>
      </c>
      <c r="L84" s="348">
        <f t="shared" si="4"/>
        <v>392</v>
      </c>
      <c r="M84" s="341">
        <v>459</v>
      </c>
      <c r="N84" s="340" t="s">
        <v>829</v>
      </c>
      <c r="O84" s="340">
        <v>1</v>
      </c>
      <c r="P84" s="340" t="s">
        <v>829</v>
      </c>
      <c r="Q84" s="340" t="s">
        <v>0</v>
      </c>
      <c r="R84" s="340" t="s">
        <v>446</v>
      </c>
      <c r="S84" s="340" t="s">
        <v>447</v>
      </c>
      <c r="T84" s="340">
        <v>5</v>
      </c>
      <c r="U84" s="340" t="s">
        <v>0</v>
      </c>
      <c r="V84" s="340" t="s">
        <v>723</v>
      </c>
      <c r="W84" s="340" t="s">
        <v>0</v>
      </c>
      <c r="X84" s="340" t="s">
        <v>830</v>
      </c>
      <c r="Y84" s="340" t="s">
        <v>0</v>
      </c>
      <c r="Z84" s="340" t="s">
        <v>450</v>
      </c>
      <c r="AA84" s="340" t="s">
        <v>0</v>
      </c>
      <c r="AB84" s="340" t="s">
        <v>831</v>
      </c>
      <c r="AC84" s="340" t="s">
        <v>0</v>
      </c>
      <c r="AD84" s="340">
        <v>69010</v>
      </c>
      <c r="AE84" s="340" t="s">
        <v>452</v>
      </c>
      <c r="AF84" s="340" t="s">
        <v>453</v>
      </c>
      <c r="AG84" s="340" t="s">
        <v>447</v>
      </c>
      <c r="AH84" s="342">
        <v>33427</v>
      </c>
      <c r="AI84" s="340" t="s">
        <v>454</v>
      </c>
      <c r="AJ84" s="340" t="s">
        <v>455</v>
      </c>
      <c r="AK84" s="340" t="s">
        <v>456</v>
      </c>
      <c r="AL84" s="340" t="s">
        <v>457</v>
      </c>
      <c r="AM84" s="340">
        <v>6</v>
      </c>
      <c r="AN84" s="340" t="s">
        <v>458</v>
      </c>
      <c r="AO84" s="340" t="s">
        <v>459</v>
      </c>
      <c r="AP84" s="340">
        <v>3</v>
      </c>
      <c r="AQ84" s="340" t="s">
        <v>460</v>
      </c>
      <c r="AR84" s="340">
        <v>3128</v>
      </c>
      <c r="AS84" s="340" t="s">
        <v>524</v>
      </c>
      <c r="AT84" s="340">
        <v>1</v>
      </c>
      <c r="AU84" s="340" t="s">
        <v>462</v>
      </c>
      <c r="AV84" s="343">
        <v>0.375</v>
      </c>
      <c r="AW84" s="343">
        <v>0.625</v>
      </c>
      <c r="AX84" s="340" t="s">
        <v>463</v>
      </c>
      <c r="AY84" s="340" t="s">
        <v>464</v>
      </c>
    </row>
    <row r="85" spans="1:51" x14ac:dyDescent="0.25">
      <c r="A85" s="339" t="s">
        <v>441</v>
      </c>
      <c r="B85" s="339" t="s">
        <v>442</v>
      </c>
      <c r="C85" s="339" t="s">
        <v>469</v>
      </c>
      <c r="D85" s="339">
        <v>4</v>
      </c>
      <c r="E85" s="339">
        <v>8</v>
      </c>
      <c r="F85" s="339">
        <v>6.5</v>
      </c>
      <c r="G85" s="340">
        <v>2012045800</v>
      </c>
      <c r="H85" s="346">
        <v>120458</v>
      </c>
      <c r="I85" s="348">
        <v>76</v>
      </c>
      <c r="J85" s="341">
        <v>39</v>
      </c>
      <c r="K85" s="341">
        <v>79</v>
      </c>
      <c r="L85" s="348">
        <f t="shared" si="4"/>
        <v>118</v>
      </c>
      <c r="M85" s="341">
        <v>476</v>
      </c>
      <c r="N85" s="340" t="s">
        <v>832</v>
      </c>
      <c r="O85" s="340">
        <v>1</v>
      </c>
      <c r="P85" s="340" t="s">
        <v>832</v>
      </c>
      <c r="Q85" s="340" t="s">
        <v>0</v>
      </c>
      <c r="R85" s="340" t="s">
        <v>446</v>
      </c>
      <c r="S85" s="340" t="s">
        <v>447</v>
      </c>
      <c r="T85" s="340">
        <v>3</v>
      </c>
      <c r="U85" s="340" t="s">
        <v>0</v>
      </c>
      <c r="V85" s="340" t="s">
        <v>472</v>
      </c>
      <c r="W85" s="340" t="s">
        <v>0</v>
      </c>
      <c r="X85" s="340" t="s">
        <v>833</v>
      </c>
      <c r="Y85" s="340" t="s">
        <v>0</v>
      </c>
      <c r="Z85" s="340" t="s">
        <v>450</v>
      </c>
      <c r="AA85" s="340" t="s">
        <v>0</v>
      </c>
      <c r="AB85" s="340" t="s">
        <v>834</v>
      </c>
      <c r="AC85" s="340" t="s">
        <v>0</v>
      </c>
      <c r="AD85" s="340">
        <v>69060</v>
      </c>
      <c r="AE85" s="340" t="s">
        <v>452</v>
      </c>
      <c r="AF85" s="340" t="s">
        <v>453</v>
      </c>
      <c r="AG85" s="340" t="s">
        <v>447</v>
      </c>
      <c r="AH85" s="342">
        <v>33383</v>
      </c>
      <c r="AI85" s="340" t="s">
        <v>454</v>
      </c>
      <c r="AJ85" s="340" t="s">
        <v>455</v>
      </c>
      <c r="AK85" s="340" t="s">
        <v>456</v>
      </c>
      <c r="AL85" s="340" t="s">
        <v>457</v>
      </c>
      <c r="AM85" s="340">
        <v>6</v>
      </c>
      <c r="AN85" s="340" t="s">
        <v>458</v>
      </c>
      <c r="AO85" s="340" t="s">
        <v>459</v>
      </c>
      <c r="AP85" s="340">
        <v>3</v>
      </c>
      <c r="AQ85" s="340" t="s">
        <v>460</v>
      </c>
      <c r="AR85" s="340">
        <v>3128</v>
      </c>
      <c r="AS85" s="340" t="s">
        <v>524</v>
      </c>
      <c r="AT85" s="340">
        <v>1</v>
      </c>
      <c r="AU85" s="340" t="s">
        <v>462</v>
      </c>
      <c r="AV85" s="343">
        <v>0.375</v>
      </c>
      <c r="AW85" s="343">
        <v>0.58333333333333337</v>
      </c>
      <c r="AX85" s="340" t="s">
        <v>463</v>
      </c>
      <c r="AY85" s="340" t="s">
        <v>464</v>
      </c>
    </row>
    <row r="86" spans="1:51" x14ac:dyDescent="0.25">
      <c r="A86" s="339" t="s">
        <v>441</v>
      </c>
      <c r="B86" s="339" t="s">
        <v>442</v>
      </c>
      <c r="C86" s="339" t="s">
        <v>469</v>
      </c>
      <c r="D86" s="339">
        <v>2</v>
      </c>
      <c r="E86" s="339">
        <v>4</v>
      </c>
      <c r="F86" s="339">
        <v>6.5</v>
      </c>
      <c r="G86" s="340">
        <v>2012052300</v>
      </c>
      <c r="H86" s="346">
        <v>120523</v>
      </c>
      <c r="I86" s="348">
        <v>271</v>
      </c>
      <c r="J86" s="341">
        <v>134</v>
      </c>
      <c r="K86" s="341">
        <v>227</v>
      </c>
      <c r="L86" s="348">
        <f t="shared" si="4"/>
        <v>361</v>
      </c>
      <c r="M86" s="341">
        <v>318</v>
      </c>
      <c r="N86" s="340" t="s">
        <v>835</v>
      </c>
      <c r="O86" s="340">
        <v>2</v>
      </c>
      <c r="P86" s="340" t="s">
        <v>836</v>
      </c>
      <c r="Q86" s="340" t="s">
        <v>0</v>
      </c>
      <c r="R86" s="340" t="s">
        <v>446</v>
      </c>
      <c r="S86" s="340" t="s">
        <v>447</v>
      </c>
      <c r="T86" s="340">
        <v>3</v>
      </c>
      <c r="U86" s="340" t="s">
        <v>0</v>
      </c>
      <c r="V86" s="340" t="s">
        <v>472</v>
      </c>
      <c r="W86" s="340" t="s">
        <v>0</v>
      </c>
      <c r="X86" s="340" t="s">
        <v>512</v>
      </c>
      <c r="Y86" s="340" t="s">
        <v>0</v>
      </c>
      <c r="Z86" s="340" t="s">
        <v>450</v>
      </c>
      <c r="AA86" s="340" t="s">
        <v>0</v>
      </c>
      <c r="AB86" s="340" t="s">
        <v>837</v>
      </c>
      <c r="AC86" s="340" t="s">
        <v>0</v>
      </c>
      <c r="AD86" s="340">
        <v>71981</v>
      </c>
      <c r="AE86" s="340" t="s">
        <v>452</v>
      </c>
      <c r="AF86" s="340" t="s">
        <v>453</v>
      </c>
      <c r="AG86" s="340" t="s">
        <v>447</v>
      </c>
      <c r="AH86" s="342">
        <v>33482</v>
      </c>
      <c r="AI86" s="340" t="s">
        <v>454</v>
      </c>
      <c r="AJ86" s="340" t="s">
        <v>455</v>
      </c>
      <c r="AK86" s="340" t="s">
        <v>456</v>
      </c>
      <c r="AL86" s="340" t="s">
        <v>457</v>
      </c>
      <c r="AM86" s="340">
        <v>6</v>
      </c>
      <c r="AN86" s="340" t="s">
        <v>458</v>
      </c>
      <c r="AO86" s="340" t="s">
        <v>459</v>
      </c>
      <c r="AP86" s="340">
        <v>3</v>
      </c>
      <c r="AQ86" s="340" t="s">
        <v>460</v>
      </c>
      <c r="AR86" s="340">
        <v>3138</v>
      </c>
      <c r="AS86" s="340" t="s">
        <v>796</v>
      </c>
      <c r="AT86" s="340">
        <v>1</v>
      </c>
      <c r="AU86" s="340" t="s">
        <v>462</v>
      </c>
      <c r="AV86" s="343">
        <v>0.33333333333333331</v>
      </c>
      <c r="AW86" s="343">
        <v>0.54166666666666663</v>
      </c>
      <c r="AX86" s="340" t="s">
        <v>463</v>
      </c>
      <c r="AY86" s="340" t="s">
        <v>464</v>
      </c>
    </row>
    <row r="87" spans="1:51" x14ac:dyDescent="0.25">
      <c r="A87" s="339" t="s">
        <v>441</v>
      </c>
      <c r="B87" s="339" t="s">
        <v>442</v>
      </c>
      <c r="C87" s="339" t="s">
        <v>469</v>
      </c>
      <c r="D87" s="339">
        <v>2</v>
      </c>
      <c r="E87" s="339">
        <v>1</v>
      </c>
      <c r="F87" s="339">
        <v>6.5</v>
      </c>
      <c r="G87" s="340">
        <v>2012052400</v>
      </c>
      <c r="H87" s="346">
        <v>120524</v>
      </c>
      <c r="I87" s="348">
        <v>219</v>
      </c>
      <c r="J87" s="341">
        <v>150</v>
      </c>
      <c r="K87" s="341">
        <v>187</v>
      </c>
      <c r="L87" s="348">
        <f t="shared" si="4"/>
        <v>337</v>
      </c>
      <c r="M87" s="341">
        <v>318</v>
      </c>
      <c r="N87" s="340" t="s">
        <v>835</v>
      </c>
      <c r="O87" s="340">
        <v>1</v>
      </c>
      <c r="P87" s="340" t="s">
        <v>838</v>
      </c>
      <c r="Q87" s="340" t="s">
        <v>0</v>
      </c>
      <c r="R87" s="340" t="s">
        <v>446</v>
      </c>
      <c r="S87" s="340" t="s">
        <v>447</v>
      </c>
      <c r="T87" s="340">
        <v>3</v>
      </c>
      <c r="U87" s="340" t="s">
        <v>0</v>
      </c>
      <c r="V87" s="340" t="s">
        <v>472</v>
      </c>
      <c r="W87" s="340" t="s">
        <v>0</v>
      </c>
      <c r="X87" s="340" t="s">
        <v>760</v>
      </c>
      <c r="Y87" s="340" t="s">
        <v>0</v>
      </c>
      <c r="Z87" s="340" t="s">
        <v>450</v>
      </c>
      <c r="AA87" s="340" t="s">
        <v>0</v>
      </c>
      <c r="AB87" s="340" t="s">
        <v>839</v>
      </c>
      <c r="AC87" s="340" t="s">
        <v>0</v>
      </c>
      <c r="AD87" s="340">
        <v>71990</v>
      </c>
      <c r="AE87" s="340" t="s">
        <v>452</v>
      </c>
      <c r="AF87" s="340" t="s">
        <v>453</v>
      </c>
      <c r="AG87" s="340" t="s">
        <v>447</v>
      </c>
      <c r="AH87" s="342">
        <v>35321</v>
      </c>
      <c r="AI87" s="340" t="s">
        <v>454</v>
      </c>
      <c r="AJ87" s="340" t="s">
        <v>455</v>
      </c>
      <c r="AK87" s="340" t="s">
        <v>456</v>
      </c>
      <c r="AL87" s="340" t="s">
        <v>457</v>
      </c>
      <c r="AM87" s="340">
        <v>6</v>
      </c>
      <c r="AN87" s="340" t="s">
        <v>458</v>
      </c>
      <c r="AO87" s="340" t="s">
        <v>459</v>
      </c>
      <c r="AP87" s="340">
        <v>3</v>
      </c>
      <c r="AQ87" s="340" t="s">
        <v>460</v>
      </c>
      <c r="AR87" s="340">
        <v>3045</v>
      </c>
      <c r="AS87" s="340" t="s">
        <v>791</v>
      </c>
      <c r="AT87" s="340">
        <v>1</v>
      </c>
      <c r="AU87" s="340" t="s">
        <v>462</v>
      </c>
      <c r="AV87" s="343">
        <v>0.33333333333333331</v>
      </c>
      <c r="AW87" s="343">
        <v>0.625</v>
      </c>
      <c r="AX87" s="340" t="s">
        <v>463</v>
      </c>
      <c r="AY87" s="340" t="s">
        <v>464</v>
      </c>
    </row>
    <row r="88" spans="1:51" x14ac:dyDescent="0.25">
      <c r="A88" s="339" t="s">
        <v>441</v>
      </c>
      <c r="B88" s="339" t="s">
        <v>442</v>
      </c>
      <c r="C88" s="339" t="s">
        <v>469</v>
      </c>
      <c r="D88" s="339">
        <v>4</v>
      </c>
      <c r="E88" s="339">
        <v>3</v>
      </c>
      <c r="F88" s="339">
        <v>6.5</v>
      </c>
      <c r="G88" s="340">
        <v>2012053200</v>
      </c>
      <c r="H88" s="346">
        <v>120532</v>
      </c>
      <c r="I88" s="348">
        <v>69</v>
      </c>
      <c r="J88" s="341">
        <v>32</v>
      </c>
      <c r="K88" s="341">
        <v>64</v>
      </c>
      <c r="L88" s="348">
        <f t="shared" si="4"/>
        <v>96</v>
      </c>
      <c r="M88" s="341">
        <v>370</v>
      </c>
      <c r="N88" s="340" t="s">
        <v>840</v>
      </c>
      <c r="O88" s="340">
        <v>1</v>
      </c>
      <c r="P88" s="340" t="s">
        <v>840</v>
      </c>
      <c r="Q88" s="340" t="s">
        <v>0</v>
      </c>
      <c r="R88" s="340" t="s">
        <v>446</v>
      </c>
      <c r="S88" s="340" t="s">
        <v>447</v>
      </c>
      <c r="T88" s="340">
        <v>3</v>
      </c>
      <c r="U88" s="340" t="s">
        <v>0</v>
      </c>
      <c r="V88" s="340" t="s">
        <v>472</v>
      </c>
      <c r="W88" s="340" t="s">
        <v>0</v>
      </c>
      <c r="X88" s="340" t="s">
        <v>841</v>
      </c>
      <c r="Y88" s="340" t="s">
        <v>0</v>
      </c>
      <c r="Z88" s="340" t="s">
        <v>450</v>
      </c>
      <c r="AA88" s="340" t="s">
        <v>0</v>
      </c>
      <c r="AB88" s="340" t="s">
        <v>842</v>
      </c>
      <c r="AC88" s="340" t="s">
        <v>0</v>
      </c>
      <c r="AD88" s="340">
        <v>69834</v>
      </c>
      <c r="AE88" s="340" t="s">
        <v>452</v>
      </c>
      <c r="AF88" s="340" t="s">
        <v>453</v>
      </c>
      <c r="AG88" s="340" t="s">
        <v>447</v>
      </c>
      <c r="AH88" s="342">
        <v>33508</v>
      </c>
      <c r="AI88" s="340" t="s">
        <v>454</v>
      </c>
      <c r="AJ88" s="340" t="s">
        <v>455</v>
      </c>
      <c r="AK88" s="340" t="s">
        <v>456</v>
      </c>
      <c r="AL88" s="340" t="s">
        <v>457</v>
      </c>
      <c r="AM88" s="340">
        <v>6</v>
      </c>
      <c r="AN88" s="340" t="s">
        <v>458</v>
      </c>
      <c r="AO88" s="340" t="s">
        <v>459</v>
      </c>
      <c r="AP88" s="340">
        <v>3</v>
      </c>
      <c r="AQ88" s="340" t="s">
        <v>460</v>
      </c>
      <c r="AR88" s="340">
        <v>3151</v>
      </c>
      <c r="AS88" s="340" t="s">
        <v>715</v>
      </c>
      <c r="AT88" s="340">
        <v>1</v>
      </c>
      <c r="AU88" s="340" t="s">
        <v>462</v>
      </c>
      <c r="AV88" s="340" t="s">
        <v>447</v>
      </c>
      <c r="AW88" s="340" t="s">
        <v>447</v>
      </c>
      <c r="AX88" s="340" t="s">
        <v>463</v>
      </c>
      <c r="AY88" s="340" t="s">
        <v>464</v>
      </c>
    </row>
    <row r="89" spans="1:51" x14ac:dyDescent="0.25">
      <c r="A89" s="339" t="s">
        <v>441</v>
      </c>
      <c r="B89" s="339" t="s">
        <v>442</v>
      </c>
      <c r="C89" s="339" t="s">
        <v>469</v>
      </c>
      <c r="D89" s="339">
        <v>2</v>
      </c>
      <c r="E89" s="339">
        <v>5</v>
      </c>
      <c r="F89" s="339">
        <v>6.5</v>
      </c>
      <c r="G89" s="340">
        <v>2012053400</v>
      </c>
      <c r="H89" s="346">
        <v>120534</v>
      </c>
      <c r="I89" s="348">
        <v>459</v>
      </c>
      <c r="J89" s="341">
        <v>288</v>
      </c>
      <c r="K89" s="341">
        <v>398</v>
      </c>
      <c r="L89" s="348">
        <f t="shared" si="4"/>
        <v>686</v>
      </c>
      <c r="M89" s="341">
        <v>300</v>
      </c>
      <c r="N89" s="340" t="s">
        <v>843</v>
      </c>
      <c r="O89" s="340">
        <v>1</v>
      </c>
      <c r="P89" s="340" t="s">
        <v>843</v>
      </c>
      <c r="Q89" s="340" t="s">
        <v>0</v>
      </c>
      <c r="R89" s="340" t="s">
        <v>446</v>
      </c>
      <c r="S89" s="340" t="s">
        <v>447</v>
      </c>
      <c r="T89" s="340">
        <v>2</v>
      </c>
      <c r="U89" s="340" t="s">
        <v>0</v>
      </c>
      <c r="V89" s="340" t="s">
        <v>448</v>
      </c>
      <c r="W89" s="340" t="s">
        <v>0</v>
      </c>
      <c r="X89" s="340" t="s">
        <v>844</v>
      </c>
      <c r="Y89" s="340" t="s">
        <v>0</v>
      </c>
      <c r="Z89" s="340" t="s">
        <v>450</v>
      </c>
      <c r="AA89" s="340" t="s">
        <v>0</v>
      </c>
      <c r="AB89" s="340" t="s">
        <v>845</v>
      </c>
      <c r="AC89" s="340" t="s">
        <v>0</v>
      </c>
      <c r="AD89" s="340">
        <v>71070</v>
      </c>
      <c r="AE89" s="340" t="s">
        <v>452</v>
      </c>
      <c r="AF89" s="340" t="s">
        <v>453</v>
      </c>
      <c r="AG89" s="340" t="s">
        <v>447</v>
      </c>
      <c r="AH89" s="342">
        <v>33509</v>
      </c>
      <c r="AI89" s="340" t="s">
        <v>454</v>
      </c>
      <c r="AJ89" s="340" t="s">
        <v>455</v>
      </c>
      <c r="AK89" s="340" t="s">
        <v>456</v>
      </c>
      <c r="AL89" s="340" t="s">
        <v>457</v>
      </c>
      <c r="AM89" s="340">
        <v>6</v>
      </c>
      <c r="AN89" s="340" t="s">
        <v>458</v>
      </c>
      <c r="AO89" s="340" t="s">
        <v>459</v>
      </c>
      <c r="AP89" s="340">
        <v>3</v>
      </c>
      <c r="AQ89" s="340" t="s">
        <v>460</v>
      </c>
      <c r="AR89" s="340">
        <v>3042</v>
      </c>
      <c r="AS89" s="340" t="s">
        <v>846</v>
      </c>
      <c r="AT89" s="340">
        <v>1</v>
      </c>
      <c r="AU89" s="340" t="s">
        <v>462</v>
      </c>
      <c r="AV89" s="343">
        <v>0.375</v>
      </c>
      <c r="AW89" s="343">
        <v>0.58333333333333337</v>
      </c>
      <c r="AX89" s="340" t="s">
        <v>463</v>
      </c>
      <c r="AY89" s="340" t="s">
        <v>464</v>
      </c>
    </row>
    <row r="90" spans="1:51" x14ac:dyDescent="0.25">
      <c r="A90" s="339" t="s">
        <v>441</v>
      </c>
      <c r="B90" s="339" t="s">
        <v>442</v>
      </c>
      <c r="C90" s="339" t="s">
        <v>469</v>
      </c>
      <c r="D90" s="339">
        <v>2</v>
      </c>
      <c r="E90" s="339">
        <v>7</v>
      </c>
      <c r="F90" s="339">
        <v>6.5</v>
      </c>
      <c r="G90" s="340">
        <v>2012053500</v>
      </c>
      <c r="H90" s="346">
        <v>120535</v>
      </c>
      <c r="I90" s="348">
        <v>311</v>
      </c>
      <c r="J90" s="341">
        <v>232</v>
      </c>
      <c r="K90" s="341">
        <v>265</v>
      </c>
      <c r="L90" s="348">
        <f t="shared" si="4"/>
        <v>497</v>
      </c>
      <c r="M90" s="341">
        <v>447</v>
      </c>
      <c r="N90" s="340" t="s">
        <v>847</v>
      </c>
      <c r="O90" s="340">
        <v>1</v>
      </c>
      <c r="P90" s="340" t="s">
        <v>848</v>
      </c>
      <c r="Q90" s="340" t="s">
        <v>0</v>
      </c>
      <c r="R90" s="340" t="s">
        <v>446</v>
      </c>
      <c r="S90" s="340" t="s">
        <v>447</v>
      </c>
      <c r="T90" s="340">
        <v>2</v>
      </c>
      <c r="U90" s="340" t="s">
        <v>0</v>
      </c>
      <c r="V90" s="340" t="s">
        <v>448</v>
      </c>
      <c r="W90" s="340" t="s">
        <v>0</v>
      </c>
      <c r="X90" s="340" t="s">
        <v>757</v>
      </c>
      <c r="Y90" s="340" t="s">
        <v>0</v>
      </c>
      <c r="Z90" s="340" t="s">
        <v>450</v>
      </c>
      <c r="AA90" s="340" t="s">
        <v>0</v>
      </c>
      <c r="AB90" s="340" t="s">
        <v>849</v>
      </c>
      <c r="AC90" s="340" t="s">
        <v>0</v>
      </c>
      <c r="AD90" s="340">
        <v>71060</v>
      </c>
      <c r="AE90" s="340" t="s">
        <v>452</v>
      </c>
      <c r="AF90" s="340" t="s">
        <v>453</v>
      </c>
      <c r="AG90" s="340" t="s">
        <v>447</v>
      </c>
      <c r="AH90" s="342">
        <v>33508</v>
      </c>
      <c r="AI90" s="340" t="s">
        <v>454</v>
      </c>
      <c r="AJ90" s="340" t="s">
        <v>455</v>
      </c>
      <c r="AK90" s="340" t="s">
        <v>456</v>
      </c>
      <c r="AL90" s="340" t="s">
        <v>457</v>
      </c>
      <c r="AM90" s="340">
        <v>6</v>
      </c>
      <c r="AN90" s="340" t="s">
        <v>458</v>
      </c>
      <c r="AO90" s="340" t="s">
        <v>459</v>
      </c>
      <c r="AP90" s="340">
        <v>3</v>
      </c>
      <c r="AQ90" s="340" t="s">
        <v>460</v>
      </c>
      <c r="AR90" s="340">
        <v>3123</v>
      </c>
      <c r="AS90" s="340" t="s">
        <v>539</v>
      </c>
      <c r="AT90" s="340">
        <v>1</v>
      </c>
      <c r="AU90" s="340" t="s">
        <v>462</v>
      </c>
      <c r="AV90" s="343">
        <v>0.33333333333333331</v>
      </c>
      <c r="AW90" s="343">
        <v>0.54166666666666663</v>
      </c>
      <c r="AX90" s="340" t="s">
        <v>463</v>
      </c>
      <c r="AY90" s="340" t="s">
        <v>464</v>
      </c>
    </row>
    <row r="91" spans="1:51" x14ac:dyDescent="0.25">
      <c r="A91" s="339" t="s">
        <v>441</v>
      </c>
      <c r="B91" s="339" t="s">
        <v>442</v>
      </c>
      <c r="C91" s="339" t="s">
        <v>469</v>
      </c>
      <c r="D91" s="339">
        <v>1</v>
      </c>
      <c r="E91" s="339">
        <v>2</v>
      </c>
      <c r="F91" s="339">
        <v>6.5</v>
      </c>
      <c r="G91" s="340">
        <v>2012054900</v>
      </c>
      <c r="H91" s="346">
        <v>120549</v>
      </c>
      <c r="I91" s="348">
        <v>61</v>
      </c>
      <c r="J91" s="341">
        <v>23</v>
      </c>
      <c r="K91" s="341">
        <v>56</v>
      </c>
      <c r="L91" s="348">
        <f t="shared" si="4"/>
        <v>79</v>
      </c>
      <c r="M91" s="341">
        <v>206</v>
      </c>
      <c r="N91" s="340" t="s">
        <v>850</v>
      </c>
      <c r="O91" s="340">
        <v>1</v>
      </c>
      <c r="P91" s="340" t="s">
        <v>851</v>
      </c>
      <c r="Q91" s="340" t="s">
        <v>0</v>
      </c>
      <c r="R91" s="340" t="s">
        <v>446</v>
      </c>
      <c r="S91" s="340" t="s">
        <v>447</v>
      </c>
      <c r="T91" s="340">
        <v>3</v>
      </c>
      <c r="U91" s="340" t="s">
        <v>0</v>
      </c>
      <c r="V91" s="340" t="s">
        <v>472</v>
      </c>
      <c r="W91" s="340" t="s">
        <v>0</v>
      </c>
      <c r="X91" s="340" t="s">
        <v>852</v>
      </c>
      <c r="Y91" s="340" t="s">
        <v>0</v>
      </c>
      <c r="Z91" s="340" t="s">
        <v>450</v>
      </c>
      <c r="AA91" s="340" t="s">
        <v>0</v>
      </c>
      <c r="AB91" s="340" t="s">
        <v>853</v>
      </c>
      <c r="AC91" s="340" t="s">
        <v>0</v>
      </c>
      <c r="AD91" s="340">
        <v>0</v>
      </c>
      <c r="AE91" s="340" t="s">
        <v>452</v>
      </c>
      <c r="AF91" s="340" t="s">
        <v>453</v>
      </c>
      <c r="AG91" s="340" t="s">
        <v>447</v>
      </c>
      <c r="AH91" s="342">
        <v>33493</v>
      </c>
      <c r="AI91" s="340" t="s">
        <v>454</v>
      </c>
      <c r="AJ91" s="340" t="s">
        <v>455</v>
      </c>
      <c r="AK91" s="340" t="s">
        <v>456</v>
      </c>
      <c r="AL91" s="340" t="s">
        <v>457</v>
      </c>
      <c r="AM91" s="340">
        <v>6</v>
      </c>
      <c r="AN91" s="340" t="s">
        <v>458</v>
      </c>
      <c r="AO91" s="340" t="s">
        <v>459</v>
      </c>
      <c r="AP91" s="340">
        <v>3</v>
      </c>
      <c r="AQ91" s="340" t="s">
        <v>460</v>
      </c>
      <c r="AR91" s="340">
        <v>3117</v>
      </c>
      <c r="AS91" s="340" t="s">
        <v>624</v>
      </c>
      <c r="AT91" s="340">
        <v>1</v>
      </c>
      <c r="AU91" s="340" t="s">
        <v>462</v>
      </c>
      <c r="AV91" s="343">
        <v>0.375</v>
      </c>
      <c r="AW91" s="343">
        <v>0.54166666666666663</v>
      </c>
      <c r="AX91" s="340" t="s">
        <v>463</v>
      </c>
      <c r="AY91" s="340" t="s">
        <v>464</v>
      </c>
    </row>
    <row r="92" spans="1:51" x14ac:dyDescent="0.25">
      <c r="A92" s="339" t="s">
        <v>441</v>
      </c>
      <c r="B92" s="339" t="s">
        <v>442</v>
      </c>
      <c r="C92" s="339" t="s">
        <v>469</v>
      </c>
      <c r="D92" s="339">
        <v>5</v>
      </c>
      <c r="E92" s="339">
        <v>2</v>
      </c>
      <c r="F92" s="339">
        <v>6.5</v>
      </c>
      <c r="G92" s="340">
        <v>2012056200</v>
      </c>
      <c r="H92" s="346">
        <v>120562</v>
      </c>
      <c r="I92" s="348">
        <v>71</v>
      </c>
      <c r="J92" s="341">
        <v>36</v>
      </c>
      <c r="K92" s="341">
        <v>83</v>
      </c>
      <c r="L92" s="348">
        <f t="shared" si="4"/>
        <v>119</v>
      </c>
      <c r="M92" s="341">
        <v>184</v>
      </c>
      <c r="N92" s="340" t="s">
        <v>854</v>
      </c>
      <c r="O92" s="340">
        <v>215</v>
      </c>
      <c r="P92" s="340" t="s">
        <v>855</v>
      </c>
      <c r="Q92" s="340" t="s">
        <v>0</v>
      </c>
      <c r="R92" s="340" t="s">
        <v>446</v>
      </c>
      <c r="S92" s="340" t="s">
        <v>447</v>
      </c>
      <c r="T92" s="340">
        <v>2</v>
      </c>
      <c r="U92" s="340" t="s">
        <v>0</v>
      </c>
      <c r="V92" s="340" t="s">
        <v>448</v>
      </c>
      <c r="W92" s="340" t="s">
        <v>0</v>
      </c>
      <c r="X92" s="340" t="s">
        <v>856</v>
      </c>
      <c r="Y92" s="340" t="s">
        <v>0</v>
      </c>
      <c r="Z92" s="340" t="s">
        <v>450</v>
      </c>
      <c r="AA92" s="340" t="s">
        <v>0</v>
      </c>
      <c r="AB92" s="340" t="s">
        <v>857</v>
      </c>
      <c r="AC92" s="340" t="s">
        <v>0</v>
      </c>
      <c r="AD92" s="340">
        <v>68350</v>
      </c>
      <c r="AE92" s="340" t="s">
        <v>452</v>
      </c>
      <c r="AF92" s="340" t="s">
        <v>453</v>
      </c>
      <c r="AG92" s="340" t="s">
        <v>447</v>
      </c>
      <c r="AH92" s="342">
        <v>33508</v>
      </c>
      <c r="AI92" s="340" t="s">
        <v>454</v>
      </c>
      <c r="AJ92" s="340" t="s">
        <v>455</v>
      </c>
      <c r="AK92" s="340" t="s">
        <v>858</v>
      </c>
      <c r="AL92" s="340" t="s">
        <v>457</v>
      </c>
      <c r="AM92" s="340">
        <v>6</v>
      </c>
      <c r="AN92" s="340" t="s">
        <v>458</v>
      </c>
      <c r="AO92" s="340" t="s">
        <v>459</v>
      </c>
      <c r="AP92" s="340">
        <v>3</v>
      </c>
      <c r="AQ92" s="340" t="s">
        <v>460</v>
      </c>
      <c r="AR92" s="340">
        <v>3059</v>
      </c>
      <c r="AS92" s="340" t="s">
        <v>490</v>
      </c>
      <c r="AT92" s="340">
        <v>1</v>
      </c>
      <c r="AU92" s="340" t="s">
        <v>462</v>
      </c>
      <c r="AV92" s="343">
        <v>0.375</v>
      </c>
      <c r="AW92" s="343">
        <v>0.58333333333333337</v>
      </c>
      <c r="AX92" s="340" t="s">
        <v>463</v>
      </c>
      <c r="AY92" s="340" t="s">
        <v>464</v>
      </c>
    </row>
    <row r="93" spans="1:51" x14ac:dyDescent="0.25">
      <c r="A93" s="339" t="s">
        <v>441</v>
      </c>
      <c r="B93" s="339" t="s">
        <v>442</v>
      </c>
      <c r="C93" s="339" t="s">
        <v>469</v>
      </c>
      <c r="D93" s="339">
        <v>6</v>
      </c>
      <c r="E93" s="339">
        <v>1</v>
      </c>
      <c r="F93" s="339">
        <v>6.5</v>
      </c>
      <c r="G93" s="340">
        <v>2012057600</v>
      </c>
      <c r="H93" s="346">
        <v>120576</v>
      </c>
      <c r="I93" s="348">
        <v>78</v>
      </c>
      <c r="J93" s="341">
        <v>40</v>
      </c>
      <c r="K93" s="341">
        <v>61</v>
      </c>
      <c r="L93" s="348">
        <f t="shared" si="4"/>
        <v>101</v>
      </c>
      <c r="M93" s="341">
        <v>280</v>
      </c>
      <c r="N93" s="340" t="s">
        <v>859</v>
      </c>
      <c r="O93" s="340">
        <v>1</v>
      </c>
      <c r="P93" s="340" t="s">
        <v>859</v>
      </c>
      <c r="Q93" s="340" t="s">
        <v>0</v>
      </c>
      <c r="R93" s="340" t="s">
        <v>446</v>
      </c>
      <c r="S93" s="340" t="s">
        <v>447</v>
      </c>
      <c r="T93" s="340">
        <v>3</v>
      </c>
      <c r="U93" s="340" t="s">
        <v>0</v>
      </c>
      <c r="V93" s="340" t="s">
        <v>472</v>
      </c>
      <c r="W93" s="340" t="s">
        <v>0</v>
      </c>
      <c r="X93" s="340" t="s">
        <v>860</v>
      </c>
      <c r="Y93" s="340" t="s">
        <v>0</v>
      </c>
      <c r="Z93" s="340" t="s">
        <v>450</v>
      </c>
      <c r="AA93" s="340" t="s">
        <v>0</v>
      </c>
      <c r="AB93" s="340" t="s">
        <v>861</v>
      </c>
      <c r="AC93" s="340" t="s">
        <v>0</v>
      </c>
      <c r="AD93" s="340">
        <v>68820</v>
      </c>
      <c r="AE93" s="340" t="s">
        <v>452</v>
      </c>
      <c r="AF93" s="340" t="s">
        <v>453</v>
      </c>
      <c r="AG93" s="340" t="s">
        <v>447</v>
      </c>
      <c r="AH93" s="342">
        <v>33489</v>
      </c>
      <c r="AI93" s="340" t="s">
        <v>454</v>
      </c>
      <c r="AJ93" s="340" t="s">
        <v>455</v>
      </c>
      <c r="AK93" s="340" t="s">
        <v>456</v>
      </c>
      <c r="AL93" s="340" t="s">
        <v>457</v>
      </c>
      <c r="AM93" s="340">
        <v>6</v>
      </c>
      <c r="AN93" s="340" t="s">
        <v>458</v>
      </c>
      <c r="AO93" s="340" t="s">
        <v>459</v>
      </c>
      <c r="AP93" s="340">
        <v>3</v>
      </c>
      <c r="AQ93" s="340" t="s">
        <v>460</v>
      </c>
      <c r="AR93" s="340">
        <v>3032</v>
      </c>
      <c r="AS93" s="340" t="s">
        <v>578</v>
      </c>
      <c r="AT93" s="340">
        <v>1</v>
      </c>
      <c r="AU93" s="340" t="s">
        <v>462</v>
      </c>
      <c r="AV93" s="343">
        <v>0.375</v>
      </c>
      <c r="AW93" s="343">
        <v>0.58333333333333337</v>
      </c>
      <c r="AX93" s="340" t="s">
        <v>463</v>
      </c>
      <c r="AY93" s="340" t="s">
        <v>464</v>
      </c>
    </row>
    <row r="94" spans="1:51" x14ac:dyDescent="0.25">
      <c r="A94" s="339" t="s">
        <v>441</v>
      </c>
      <c r="B94" s="339" t="s">
        <v>442</v>
      </c>
      <c r="C94" s="339" t="s">
        <v>469</v>
      </c>
      <c r="D94" s="339">
        <v>2</v>
      </c>
      <c r="E94" s="339">
        <v>5</v>
      </c>
      <c r="F94" s="339">
        <v>6.5</v>
      </c>
      <c r="G94" s="340">
        <v>2012060400</v>
      </c>
      <c r="H94" s="346">
        <v>120604</v>
      </c>
      <c r="I94" s="348">
        <v>345</v>
      </c>
      <c r="J94" s="341">
        <v>264</v>
      </c>
      <c r="K94" s="341">
        <v>387</v>
      </c>
      <c r="L94" s="348">
        <f t="shared" si="4"/>
        <v>651</v>
      </c>
      <c r="M94" s="341">
        <v>185</v>
      </c>
      <c r="N94" s="340" t="s">
        <v>862</v>
      </c>
      <c r="O94" s="340">
        <v>1</v>
      </c>
      <c r="P94" s="340" t="s">
        <v>862</v>
      </c>
      <c r="Q94" s="340" t="s">
        <v>0</v>
      </c>
      <c r="R94" s="340" t="s">
        <v>446</v>
      </c>
      <c r="S94" s="340" t="s">
        <v>447</v>
      </c>
      <c r="T94" s="340">
        <v>3</v>
      </c>
      <c r="U94" s="340" t="s">
        <v>0</v>
      </c>
      <c r="V94" s="340" t="s">
        <v>472</v>
      </c>
      <c r="W94" s="340" t="s">
        <v>0</v>
      </c>
      <c r="X94" s="340" t="s">
        <v>863</v>
      </c>
      <c r="Y94" s="340" t="s">
        <v>0</v>
      </c>
      <c r="Z94" s="340" t="s">
        <v>450</v>
      </c>
      <c r="AA94" s="340" t="s">
        <v>0</v>
      </c>
      <c r="AB94" s="340" t="s">
        <v>864</v>
      </c>
      <c r="AC94" s="340" t="s">
        <v>0</v>
      </c>
      <c r="AD94" s="340">
        <v>71610</v>
      </c>
      <c r="AE94" s="340" t="s">
        <v>452</v>
      </c>
      <c r="AF94" s="340" t="s">
        <v>453</v>
      </c>
      <c r="AG94" s="340" t="s">
        <v>447</v>
      </c>
      <c r="AH94" s="342">
        <v>33863</v>
      </c>
      <c r="AI94" s="340" t="s">
        <v>454</v>
      </c>
      <c r="AJ94" s="340" t="s">
        <v>455</v>
      </c>
      <c r="AK94" s="340" t="s">
        <v>456</v>
      </c>
      <c r="AL94" s="340" t="s">
        <v>457</v>
      </c>
      <c r="AM94" s="340">
        <v>6</v>
      </c>
      <c r="AN94" s="340" t="s">
        <v>458</v>
      </c>
      <c r="AO94" s="340" t="s">
        <v>459</v>
      </c>
      <c r="AP94" s="340">
        <v>3</v>
      </c>
      <c r="AQ94" s="340" t="s">
        <v>460</v>
      </c>
      <c r="AR94" s="340">
        <v>3042</v>
      </c>
      <c r="AS94" s="340" t="s">
        <v>846</v>
      </c>
      <c r="AT94" s="340">
        <v>1</v>
      </c>
      <c r="AU94" s="340" t="s">
        <v>462</v>
      </c>
      <c r="AV94" s="343">
        <v>0.375</v>
      </c>
      <c r="AW94" s="343">
        <v>0.58333333333333337</v>
      </c>
      <c r="AX94" s="340" t="s">
        <v>463</v>
      </c>
      <c r="AY94" s="340" t="s">
        <v>464</v>
      </c>
    </row>
    <row r="95" spans="1:51" x14ac:dyDescent="0.25">
      <c r="A95" s="339" t="s">
        <v>441</v>
      </c>
      <c r="B95" s="339" t="s">
        <v>442</v>
      </c>
      <c r="C95" s="339" t="s">
        <v>443</v>
      </c>
      <c r="D95" s="339">
        <v>3</v>
      </c>
      <c r="E95" s="339">
        <v>2</v>
      </c>
      <c r="F95" s="339">
        <v>6.5</v>
      </c>
      <c r="G95" s="340">
        <v>2012410100</v>
      </c>
      <c r="H95" s="346">
        <v>124101</v>
      </c>
      <c r="I95" s="348">
        <v>78</v>
      </c>
      <c r="J95" s="341">
        <v>59</v>
      </c>
      <c r="K95" s="341">
        <v>54</v>
      </c>
      <c r="L95" s="348">
        <f t="shared" si="4"/>
        <v>113</v>
      </c>
      <c r="M95" s="341">
        <v>124</v>
      </c>
      <c r="N95" s="340" t="s">
        <v>749</v>
      </c>
      <c r="O95" s="340">
        <v>19</v>
      </c>
      <c r="P95" s="340" t="s">
        <v>865</v>
      </c>
      <c r="Q95" s="340" t="s">
        <v>0</v>
      </c>
      <c r="R95" s="340" t="s">
        <v>446</v>
      </c>
      <c r="S95" s="340" t="s">
        <v>447</v>
      </c>
      <c r="T95" s="340">
        <v>1</v>
      </c>
      <c r="U95" s="340" t="s">
        <v>0</v>
      </c>
      <c r="V95" s="340" t="s">
        <v>511</v>
      </c>
      <c r="W95" s="340" t="s">
        <v>0</v>
      </c>
      <c r="X95" s="340" t="s">
        <v>625</v>
      </c>
      <c r="Y95" s="340" t="s">
        <v>0</v>
      </c>
      <c r="Z95" s="340" t="s">
        <v>866</v>
      </c>
      <c r="AA95" s="340" t="s">
        <v>0</v>
      </c>
      <c r="AB95" s="340" t="s">
        <v>466</v>
      </c>
      <c r="AC95" s="340" t="s">
        <v>0</v>
      </c>
      <c r="AD95" s="340">
        <v>70787</v>
      </c>
      <c r="AE95" s="340" t="s">
        <v>452</v>
      </c>
      <c r="AF95" s="340" t="s">
        <v>453</v>
      </c>
      <c r="AG95" s="340" t="s">
        <v>447</v>
      </c>
      <c r="AH95" s="342">
        <v>43965</v>
      </c>
      <c r="AI95" s="340" t="s">
        <v>454</v>
      </c>
      <c r="AJ95" s="340" t="s">
        <v>455</v>
      </c>
      <c r="AK95" s="340" t="s">
        <v>456</v>
      </c>
      <c r="AL95" s="340" t="s">
        <v>457</v>
      </c>
      <c r="AM95" s="340">
        <v>6</v>
      </c>
      <c r="AN95" s="340" t="s">
        <v>458</v>
      </c>
      <c r="AO95" s="340" t="s">
        <v>459</v>
      </c>
      <c r="AP95" s="340">
        <v>3</v>
      </c>
      <c r="AQ95" s="340" t="s">
        <v>460</v>
      </c>
      <c r="AR95" s="340">
        <v>3692</v>
      </c>
      <c r="AS95" s="340" t="s">
        <v>538</v>
      </c>
      <c r="AT95" s="340">
        <v>1</v>
      </c>
      <c r="AU95" s="340" t="s">
        <v>462</v>
      </c>
      <c r="AV95" s="343">
        <v>0.33333333333333331</v>
      </c>
      <c r="AW95" s="343">
        <v>0.58333333333333337</v>
      </c>
      <c r="AX95" s="340" t="s">
        <v>463</v>
      </c>
      <c r="AY95" s="340" t="s">
        <v>464</v>
      </c>
    </row>
    <row r="96" spans="1:51" x14ac:dyDescent="0.25">
      <c r="A96" s="339" t="s">
        <v>441</v>
      </c>
      <c r="B96" s="339" t="s">
        <v>442</v>
      </c>
      <c r="C96" s="339" t="s">
        <v>443</v>
      </c>
      <c r="D96" s="339">
        <v>3</v>
      </c>
      <c r="E96" s="339">
        <v>1</v>
      </c>
      <c r="F96" s="339">
        <v>6.5</v>
      </c>
      <c r="G96" s="340">
        <v>2012410300</v>
      </c>
      <c r="H96" s="346">
        <v>124103</v>
      </c>
      <c r="I96" s="348">
        <v>54</v>
      </c>
      <c r="J96" s="341">
        <v>44</v>
      </c>
      <c r="K96" s="341">
        <v>46</v>
      </c>
      <c r="L96" s="348">
        <f t="shared" si="4"/>
        <v>90</v>
      </c>
      <c r="M96" s="341">
        <v>124</v>
      </c>
      <c r="N96" s="340" t="s">
        <v>749</v>
      </c>
      <c r="O96" s="340">
        <v>1</v>
      </c>
      <c r="P96" s="340" t="s">
        <v>749</v>
      </c>
      <c r="Q96" s="340" t="s">
        <v>0</v>
      </c>
      <c r="R96" s="340" t="s">
        <v>446</v>
      </c>
      <c r="S96" s="340" t="s">
        <v>447</v>
      </c>
      <c r="T96" s="340">
        <v>2</v>
      </c>
      <c r="U96" s="340" t="s">
        <v>0</v>
      </c>
      <c r="V96" s="340" t="s">
        <v>448</v>
      </c>
      <c r="W96" s="340" t="s">
        <v>0</v>
      </c>
      <c r="X96" s="340" t="s">
        <v>844</v>
      </c>
      <c r="Y96" s="340" t="s">
        <v>0</v>
      </c>
      <c r="Z96" s="340" t="s">
        <v>867</v>
      </c>
      <c r="AA96" s="340" t="s">
        <v>0</v>
      </c>
      <c r="AB96" s="340" t="s">
        <v>868</v>
      </c>
      <c r="AC96" s="340" t="s">
        <v>0</v>
      </c>
      <c r="AD96" s="340">
        <v>70786</v>
      </c>
      <c r="AE96" s="340" t="s">
        <v>452</v>
      </c>
      <c r="AF96" s="340" t="s">
        <v>453</v>
      </c>
      <c r="AG96" s="340" t="s">
        <v>447</v>
      </c>
      <c r="AH96" s="342">
        <v>44172</v>
      </c>
      <c r="AI96" s="340" t="s">
        <v>454</v>
      </c>
      <c r="AJ96" s="340" t="s">
        <v>455</v>
      </c>
      <c r="AK96" s="340" t="s">
        <v>456</v>
      </c>
      <c r="AL96" s="340" t="s">
        <v>457</v>
      </c>
      <c r="AM96" s="340">
        <v>6</v>
      </c>
      <c r="AN96" s="340" t="s">
        <v>458</v>
      </c>
      <c r="AO96" s="340" t="s">
        <v>459</v>
      </c>
      <c r="AP96" s="340">
        <v>3</v>
      </c>
      <c r="AQ96" s="340" t="s">
        <v>460</v>
      </c>
      <c r="AR96" s="340">
        <v>3198</v>
      </c>
      <c r="AS96" s="340" t="s">
        <v>596</v>
      </c>
      <c r="AT96" s="340">
        <v>1</v>
      </c>
      <c r="AU96" s="340" t="s">
        <v>462</v>
      </c>
      <c r="AV96" s="343">
        <v>0.375</v>
      </c>
      <c r="AW96" s="343">
        <v>0.58333333333333337</v>
      </c>
      <c r="AX96" s="340" t="s">
        <v>463</v>
      </c>
      <c r="AY96" s="340" t="s">
        <v>464</v>
      </c>
    </row>
    <row r="97" spans="1:51" x14ac:dyDescent="0.25">
      <c r="A97" s="339" t="s">
        <v>441</v>
      </c>
      <c r="B97" s="339" t="s">
        <v>442</v>
      </c>
      <c r="C97" s="339" t="s">
        <v>443</v>
      </c>
      <c r="D97" s="339">
        <v>3</v>
      </c>
      <c r="E97" s="339">
        <v>1</v>
      </c>
      <c r="F97" s="339">
        <v>6.5</v>
      </c>
      <c r="G97" s="340">
        <v>2012410400</v>
      </c>
      <c r="H97" s="346">
        <v>124104</v>
      </c>
      <c r="I97" s="348">
        <v>86</v>
      </c>
      <c r="J97" s="341">
        <v>61</v>
      </c>
      <c r="K97" s="341">
        <v>60</v>
      </c>
      <c r="L97" s="348">
        <f t="shared" si="4"/>
        <v>121</v>
      </c>
      <c r="M97" s="341">
        <v>124</v>
      </c>
      <c r="N97" s="340" t="s">
        <v>749</v>
      </c>
      <c r="O97" s="340">
        <v>18</v>
      </c>
      <c r="P97" s="340" t="s">
        <v>701</v>
      </c>
      <c r="Q97" s="340" t="s">
        <v>0</v>
      </c>
      <c r="R97" s="340" t="s">
        <v>446</v>
      </c>
      <c r="S97" s="340" t="s">
        <v>447</v>
      </c>
      <c r="T97" s="340">
        <v>2</v>
      </c>
      <c r="U97" s="340" t="s">
        <v>0</v>
      </c>
      <c r="V97" s="340" t="s">
        <v>448</v>
      </c>
      <c r="W97" s="340" t="s">
        <v>0</v>
      </c>
      <c r="X97" s="340" t="s">
        <v>869</v>
      </c>
      <c r="Y97" s="340" t="s">
        <v>0</v>
      </c>
      <c r="Z97" s="340" t="s">
        <v>870</v>
      </c>
      <c r="AA97" s="340" t="s">
        <v>0</v>
      </c>
      <c r="AB97" s="340" t="s">
        <v>571</v>
      </c>
      <c r="AC97" s="340" t="s">
        <v>0</v>
      </c>
      <c r="AD97" s="340">
        <v>70786</v>
      </c>
      <c r="AE97" s="340" t="s">
        <v>452</v>
      </c>
      <c r="AF97" s="340" t="s">
        <v>453</v>
      </c>
      <c r="AG97" s="340" t="s">
        <v>447</v>
      </c>
      <c r="AH97" s="342">
        <v>46035</v>
      </c>
      <c r="AI97" s="340" t="s">
        <v>454</v>
      </c>
      <c r="AJ97" s="340" t="s">
        <v>455</v>
      </c>
      <c r="AK97" s="340" t="s">
        <v>456</v>
      </c>
      <c r="AL97" s="340" t="s">
        <v>457</v>
      </c>
      <c r="AM97" s="340">
        <v>6</v>
      </c>
      <c r="AN97" s="340" t="s">
        <v>458</v>
      </c>
      <c r="AO97" s="340" t="s">
        <v>459</v>
      </c>
      <c r="AP97" s="340">
        <v>3</v>
      </c>
      <c r="AQ97" s="340" t="s">
        <v>460</v>
      </c>
      <c r="AR97" s="340">
        <v>3198</v>
      </c>
      <c r="AS97" s="340" t="s">
        <v>596</v>
      </c>
      <c r="AT97" s="340">
        <v>209082</v>
      </c>
      <c r="AU97" s="340" t="s">
        <v>871</v>
      </c>
      <c r="AV97" s="343">
        <v>0.375</v>
      </c>
      <c r="AW97" s="343">
        <v>0.58333333333333337</v>
      </c>
      <c r="AX97" s="340" t="s">
        <v>463</v>
      </c>
      <c r="AY97" s="340" t="s">
        <v>464</v>
      </c>
    </row>
    <row r="98" spans="1:51" x14ac:dyDescent="0.25">
      <c r="A98" s="339" t="s">
        <v>441</v>
      </c>
      <c r="B98" s="339" t="s">
        <v>442</v>
      </c>
      <c r="C98" s="339" t="s">
        <v>443</v>
      </c>
      <c r="D98" s="339">
        <v>6</v>
      </c>
      <c r="E98" s="339">
        <v>5</v>
      </c>
      <c r="F98" s="339">
        <v>6.5</v>
      </c>
      <c r="G98" s="340">
        <v>2012810100</v>
      </c>
      <c r="H98" s="346">
        <v>128101</v>
      </c>
      <c r="I98" s="348">
        <v>66</v>
      </c>
      <c r="J98" s="341">
        <v>33</v>
      </c>
      <c r="K98" s="341">
        <v>41</v>
      </c>
      <c r="L98" s="348">
        <f t="shared" ref="L98:L116" si="5">J98+K98</f>
        <v>74</v>
      </c>
      <c r="M98" s="341">
        <v>128</v>
      </c>
      <c r="N98" s="340" t="s">
        <v>873</v>
      </c>
      <c r="O98" s="340">
        <v>1</v>
      </c>
      <c r="P98" s="340" t="s">
        <v>874</v>
      </c>
      <c r="Q98" s="340" t="s">
        <v>0</v>
      </c>
      <c r="R98" s="340" t="s">
        <v>446</v>
      </c>
      <c r="S98" s="340" t="s">
        <v>447</v>
      </c>
      <c r="T98" s="340">
        <v>2</v>
      </c>
      <c r="U98" s="340" t="s">
        <v>0</v>
      </c>
      <c r="V98" s="340" t="s">
        <v>448</v>
      </c>
      <c r="W98" s="340" t="s">
        <v>0</v>
      </c>
      <c r="X98" s="340" t="s">
        <v>875</v>
      </c>
      <c r="Y98" s="340" t="s">
        <v>0</v>
      </c>
      <c r="Z98" s="340" t="s">
        <v>876</v>
      </c>
      <c r="AA98" s="340" t="s">
        <v>0</v>
      </c>
      <c r="AB98" s="340" t="s">
        <v>877</v>
      </c>
      <c r="AC98" s="340" t="s">
        <v>0</v>
      </c>
      <c r="AD98" s="340">
        <v>68830</v>
      </c>
      <c r="AE98" s="340" t="s">
        <v>452</v>
      </c>
      <c r="AF98" s="340" t="s">
        <v>453</v>
      </c>
      <c r="AG98" s="340" t="s">
        <v>447</v>
      </c>
      <c r="AH98" s="342">
        <v>43735</v>
      </c>
      <c r="AI98" s="340" t="s">
        <v>454</v>
      </c>
      <c r="AJ98" s="340" t="s">
        <v>455</v>
      </c>
      <c r="AK98" s="340" t="s">
        <v>456</v>
      </c>
      <c r="AL98" s="340" t="s">
        <v>457</v>
      </c>
      <c r="AM98" s="340">
        <v>6</v>
      </c>
      <c r="AN98" s="340" t="s">
        <v>458</v>
      </c>
      <c r="AO98" s="340" t="s">
        <v>459</v>
      </c>
      <c r="AP98" s="340">
        <v>3</v>
      </c>
      <c r="AQ98" s="340" t="s">
        <v>460</v>
      </c>
      <c r="AR98" s="340">
        <v>3040</v>
      </c>
      <c r="AS98" s="340" t="s">
        <v>657</v>
      </c>
      <c r="AT98" s="340">
        <v>1</v>
      </c>
      <c r="AU98" s="340" t="s">
        <v>462</v>
      </c>
      <c r="AV98" s="343">
        <v>0.375</v>
      </c>
      <c r="AW98" s="343">
        <v>0.58333333333333337</v>
      </c>
      <c r="AX98" s="340" t="s">
        <v>463</v>
      </c>
      <c r="AY98" s="340" t="s">
        <v>464</v>
      </c>
    </row>
    <row r="99" spans="1:51" x14ac:dyDescent="0.25">
      <c r="A99" s="339" t="s">
        <v>441</v>
      </c>
      <c r="B99" s="339" t="s">
        <v>442</v>
      </c>
      <c r="C99" s="339" t="s">
        <v>443</v>
      </c>
      <c r="D99" s="339">
        <v>3</v>
      </c>
      <c r="E99" s="339">
        <v>5</v>
      </c>
      <c r="F99" s="339">
        <v>6.5</v>
      </c>
      <c r="G99" s="340">
        <v>2013010300</v>
      </c>
      <c r="H99" s="346">
        <v>130103</v>
      </c>
      <c r="I99" s="348">
        <v>114</v>
      </c>
      <c r="J99" s="341">
        <v>71</v>
      </c>
      <c r="K99" s="341">
        <v>100</v>
      </c>
      <c r="L99" s="348">
        <f t="shared" si="5"/>
        <v>171</v>
      </c>
      <c r="M99" s="341">
        <v>130</v>
      </c>
      <c r="N99" s="340" t="s">
        <v>878</v>
      </c>
      <c r="O99" s="340">
        <v>1</v>
      </c>
      <c r="P99" s="340" t="s">
        <v>878</v>
      </c>
      <c r="Q99" s="340" t="s">
        <v>0</v>
      </c>
      <c r="R99" s="340" t="s">
        <v>446</v>
      </c>
      <c r="S99" s="340" t="s">
        <v>447</v>
      </c>
      <c r="T99" s="340">
        <v>2</v>
      </c>
      <c r="U99" s="340" t="s">
        <v>0</v>
      </c>
      <c r="V99" s="340" t="s">
        <v>448</v>
      </c>
      <c r="W99" s="340" t="s">
        <v>0</v>
      </c>
      <c r="X99" s="340" t="s">
        <v>879</v>
      </c>
      <c r="Y99" s="340" t="s">
        <v>0</v>
      </c>
      <c r="Z99" s="340" t="s">
        <v>880</v>
      </c>
      <c r="AA99" s="340" t="s">
        <v>0</v>
      </c>
      <c r="AB99" s="340" t="s">
        <v>881</v>
      </c>
      <c r="AC99" s="340" t="s">
        <v>0</v>
      </c>
      <c r="AD99" s="340">
        <v>70137</v>
      </c>
      <c r="AE99" s="340" t="s">
        <v>452</v>
      </c>
      <c r="AF99" s="340" t="s">
        <v>453</v>
      </c>
      <c r="AG99" s="340" t="s">
        <v>447</v>
      </c>
      <c r="AH99" s="342">
        <v>45062</v>
      </c>
      <c r="AI99" s="340" t="s">
        <v>454</v>
      </c>
      <c r="AJ99" s="340" t="s">
        <v>455</v>
      </c>
      <c r="AK99" s="340" t="s">
        <v>456</v>
      </c>
      <c r="AL99" s="340" t="s">
        <v>457</v>
      </c>
      <c r="AM99" s="340">
        <v>6</v>
      </c>
      <c r="AN99" s="340" t="s">
        <v>458</v>
      </c>
      <c r="AO99" s="340" t="s">
        <v>459</v>
      </c>
      <c r="AP99" s="340">
        <v>3</v>
      </c>
      <c r="AQ99" s="340" t="s">
        <v>460</v>
      </c>
      <c r="AR99" s="340">
        <v>3152</v>
      </c>
      <c r="AS99" s="340" t="s">
        <v>588</v>
      </c>
      <c r="AT99" s="340">
        <v>1</v>
      </c>
      <c r="AU99" s="340" t="s">
        <v>462</v>
      </c>
      <c r="AV99" s="343">
        <v>0.375</v>
      </c>
      <c r="AW99" s="343">
        <v>0.58333333333333337</v>
      </c>
      <c r="AX99" s="340" t="s">
        <v>463</v>
      </c>
      <c r="AY99" s="340" t="s">
        <v>464</v>
      </c>
    </row>
    <row r="100" spans="1:51" x14ac:dyDescent="0.25">
      <c r="A100" s="339" t="s">
        <v>441</v>
      </c>
      <c r="B100" s="339" t="s">
        <v>442</v>
      </c>
      <c r="C100" s="339" t="s">
        <v>443</v>
      </c>
      <c r="D100" s="339">
        <v>4</v>
      </c>
      <c r="E100" s="339">
        <v>2</v>
      </c>
      <c r="F100" s="339">
        <v>6.5</v>
      </c>
      <c r="G100" s="340">
        <v>2013310600</v>
      </c>
      <c r="H100" s="346">
        <v>133106</v>
      </c>
      <c r="I100" s="348">
        <v>221</v>
      </c>
      <c r="J100" s="341">
        <v>107</v>
      </c>
      <c r="K100" s="341">
        <v>161</v>
      </c>
      <c r="L100" s="348">
        <f t="shared" si="5"/>
        <v>268</v>
      </c>
      <c r="M100" s="341">
        <v>133</v>
      </c>
      <c r="N100" s="340" t="s">
        <v>883</v>
      </c>
      <c r="O100" s="340">
        <v>1</v>
      </c>
      <c r="P100" s="340" t="s">
        <v>883</v>
      </c>
      <c r="Q100" s="340" t="s">
        <v>0</v>
      </c>
      <c r="R100" s="340" t="s">
        <v>446</v>
      </c>
      <c r="S100" s="340" t="s">
        <v>447</v>
      </c>
      <c r="T100" s="340">
        <v>2</v>
      </c>
      <c r="U100" s="340" t="s">
        <v>0</v>
      </c>
      <c r="V100" s="340" t="s">
        <v>448</v>
      </c>
      <c r="W100" s="340" t="s">
        <v>0</v>
      </c>
      <c r="X100" s="340" t="s">
        <v>760</v>
      </c>
      <c r="Y100" s="340" t="s">
        <v>0</v>
      </c>
      <c r="Z100" s="340" t="s">
        <v>450</v>
      </c>
      <c r="AA100" s="340" t="s">
        <v>0</v>
      </c>
      <c r="AB100" s="340" t="s">
        <v>884</v>
      </c>
      <c r="AC100" s="340" t="s">
        <v>0</v>
      </c>
      <c r="AD100" s="340">
        <v>71120</v>
      </c>
      <c r="AE100" s="340" t="s">
        <v>452</v>
      </c>
      <c r="AF100" s="340" t="s">
        <v>453</v>
      </c>
      <c r="AG100" s="340" t="s">
        <v>447</v>
      </c>
      <c r="AH100" s="342">
        <v>44224</v>
      </c>
      <c r="AI100" s="340" t="s">
        <v>454</v>
      </c>
      <c r="AJ100" s="340" t="s">
        <v>455</v>
      </c>
      <c r="AK100" s="340" t="s">
        <v>456</v>
      </c>
      <c r="AL100" s="340" t="s">
        <v>457</v>
      </c>
      <c r="AM100" s="340">
        <v>6</v>
      </c>
      <c r="AN100" s="340" t="s">
        <v>458</v>
      </c>
      <c r="AO100" s="340" t="s">
        <v>459</v>
      </c>
      <c r="AP100" s="340">
        <v>3</v>
      </c>
      <c r="AQ100" s="340" t="s">
        <v>460</v>
      </c>
      <c r="AR100" s="340">
        <v>3073</v>
      </c>
      <c r="AS100" s="340" t="s">
        <v>591</v>
      </c>
      <c r="AT100" s="340">
        <v>1</v>
      </c>
      <c r="AU100" s="340" t="s">
        <v>462</v>
      </c>
      <c r="AV100" s="343">
        <v>0.375</v>
      </c>
      <c r="AW100" s="343">
        <v>0.58333333333333337</v>
      </c>
      <c r="AX100" s="340" t="s">
        <v>463</v>
      </c>
      <c r="AY100" s="340" t="s">
        <v>464</v>
      </c>
    </row>
    <row r="101" spans="1:51" x14ac:dyDescent="0.25">
      <c r="A101" s="339" t="s">
        <v>441</v>
      </c>
      <c r="B101" s="339" t="s">
        <v>442</v>
      </c>
      <c r="C101" s="339" t="s">
        <v>443</v>
      </c>
      <c r="D101" s="339">
        <v>6</v>
      </c>
      <c r="E101" s="339">
        <v>3</v>
      </c>
      <c r="F101" s="339">
        <v>6.5</v>
      </c>
      <c r="G101" s="340">
        <v>2013510300</v>
      </c>
      <c r="H101" s="346">
        <v>135103</v>
      </c>
      <c r="I101" s="348">
        <v>78</v>
      </c>
      <c r="J101" s="341">
        <v>50</v>
      </c>
      <c r="K101" s="341">
        <v>62</v>
      </c>
      <c r="L101" s="348">
        <f t="shared" si="5"/>
        <v>112</v>
      </c>
      <c r="M101" s="341">
        <v>135</v>
      </c>
      <c r="N101" s="340" t="s">
        <v>886</v>
      </c>
      <c r="O101" s="340">
        <v>1</v>
      </c>
      <c r="P101" s="340" t="s">
        <v>887</v>
      </c>
      <c r="Q101" s="340" t="s">
        <v>0</v>
      </c>
      <c r="R101" s="340" t="s">
        <v>446</v>
      </c>
      <c r="S101" s="340" t="s">
        <v>447</v>
      </c>
      <c r="T101" s="340">
        <v>2</v>
      </c>
      <c r="U101" s="340" t="s">
        <v>0</v>
      </c>
      <c r="V101" s="340" t="s">
        <v>448</v>
      </c>
      <c r="W101" s="340" t="s">
        <v>0</v>
      </c>
      <c r="X101" s="340" t="s">
        <v>888</v>
      </c>
      <c r="Y101" s="340" t="s">
        <v>0</v>
      </c>
      <c r="Z101" s="340" t="s">
        <v>889</v>
      </c>
      <c r="AA101" s="340" t="s">
        <v>0</v>
      </c>
      <c r="AB101" s="340" t="s">
        <v>890</v>
      </c>
      <c r="AC101" s="340" t="s">
        <v>0</v>
      </c>
      <c r="AD101" s="340">
        <v>68260</v>
      </c>
      <c r="AE101" s="340" t="s">
        <v>452</v>
      </c>
      <c r="AF101" s="340" t="s">
        <v>453</v>
      </c>
      <c r="AG101" s="340" t="s">
        <v>447</v>
      </c>
      <c r="AH101" s="342">
        <v>44893</v>
      </c>
      <c r="AI101" s="340" t="s">
        <v>454</v>
      </c>
      <c r="AJ101" s="340" t="s">
        <v>455</v>
      </c>
      <c r="AK101" s="340" t="s">
        <v>456</v>
      </c>
      <c r="AL101" s="340" t="s">
        <v>457</v>
      </c>
      <c r="AM101" s="340">
        <v>6</v>
      </c>
      <c r="AN101" s="340" t="s">
        <v>458</v>
      </c>
      <c r="AO101" s="340" t="s">
        <v>459</v>
      </c>
      <c r="AP101" s="340">
        <v>3</v>
      </c>
      <c r="AQ101" s="340" t="s">
        <v>460</v>
      </c>
      <c r="AR101" s="340">
        <v>3020</v>
      </c>
      <c r="AS101" s="340" t="s">
        <v>882</v>
      </c>
      <c r="AT101" s="340">
        <v>1</v>
      </c>
      <c r="AU101" s="340" t="s">
        <v>462</v>
      </c>
      <c r="AV101" s="343">
        <v>0.375</v>
      </c>
      <c r="AW101" s="343">
        <v>0.58333333333333337</v>
      </c>
      <c r="AX101" s="340" t="s">
        <v>463</v>
      </c>
      <c r="AY101" s="340" t="s">
        <v>464</v>
      </c>
    </row>
    <row r="102" spans="1:51" x14ac:dyDescent="0.25">
      <c r="A102" s="339" t="s">
        <v>441</v>
      </c>
      <c r="B102" s="339" t="s">
        <v>442</v>
      </c>
      <c r="C102" s="339" t="s">
        <v>443</v>
      </c>
      <c r="D102" s="339">
        <v>3</v>
      </c>
      <c r="E102" s="339">
        <v>5</v>
      </c>
      <c r="F102" s="339">
        <v>6.5</v>
      </c>
      <c r="G102" s="340">
        <v>2014110200</v>
      </c>
      <c r="H102" s="346">
        <v>141102</v>
      </c>
      <c r="I102" s="348">
        <v>88</v>
      </c>
      <c r="J102" s="341">
        <v>77</v>
      </c>
      <c r="K102" s="341">
        <v>67</v>
      </c>
      <c r="L102" s="348">
        <f t="shared" si="5"/>
        <v>144</v>
      </c>
      <c r="M102" s="341">
        <v>141</v>
      </c>
      <c r="N102" s="340" t="s">
        <v>892</v>
      </c>
      <c r="O102" s="340">
        <v>36</v>
      </c>
      <c r="P102" s="340" t="s">
        <v>892</v>
      </c>
      <c r="Q102" s="340" t="s">
        <v>0</v>
      </c>
      <c r="R102" s="340" t="s">
        <v>446</v>
      </c>
      <c r="S102" s="340" t="s">
        <v>447</v>
      </c>
      <c r="T102" s="340">
        <v>2</v>
      </c>
      <c r="U102" s="340" t="s">
        <v>0</v>
      </c>
      <c r="V102" s="340" t="s">
        <v>448</v>
      </c>
      <c r="W102" s="340" t="s">
        <v>0</v>
      </c>
      <c r="X102" s="340" t="s">
        <v>499</v>
      </c>
      <c r="Y102" s="340" t="s">
        <v>0</v>
      </c>
      <c r="Z102" s="340" t="s">
        <v>893</v>
      </c>
      <c r="AA102" s="340" t="s">
        <v>0</v>
      </c>
      <c r="AB102" s="340" t="s">
        <v>894</v>
      </c>
      <c r="AC102" s="340" t="s">
        <v>0</v>
      </c>
      <c r="AD102" s="340">
        <v>70146</v>
      </c>
      <c r="AE102" s="340" t="s">
        <v>452</v>
      </c>
      <c r="AF102" s="340" t="s">
        <v>453</v>
      </c>
      <c r="AG102" s="340" t="s">
        <v>447</v>
      </c>
      <c r="AH102" s="342">
        <v>44222</v>
      </c>
      <c r="AI102" s="340" t="s">
        <v>454</v>
      </c>
      <c r="AJ102" s="340" t="s">
        <v>455</v>
      </c>
      <c r="AK102" s="340" t="s">
        <v>456</v>
      </c>
      <c r="AL102" s="340" t="s">
        <v>457</v>
      </c>
      <c r="AM102" s="340">
        <v>6</v>
      </c>
      <c r="AN102" s="340" t="s">
        <v>458</v>
      </c>
      <c r="AO102" s="340" t="s">
        <v>459</v>
      </c>
      <c r="AP102" s="340">
        <v>3</v>
      </c>
      <c r="AQ102" s="340" t="s">
        <v>460</v>
      </c>
      <c r="AR102" s="340">
        <v>3152</v>
      </c>
      <c r="AS102" s="340" t="s">
        <v>588</v>
      </c>
      <c r="AT102" s="340">
        <v>1</v>
      </c>
      <c r="AU102" s="340" t="s">
        <v>462</v>
      </c>
      <c r="AV102" s="343">
        <v>0.375</v>
      </c>
      <c r="AW102" s="343">
        <v>0.58333333333333337</v>
      </c>
      <c r="AX102" s="340" t="s">
        <v>463</v>
      </c>
      <c r="AY102" s="340" t="s">
        <v>464</v>
      </c>
    </row>
    <row r="103" spans="1:51" x14ac:dyDescent="0.25">
      <c r="A103" s="339" t="s">
        <v>441</v>
      </c>
      <c r="B103" s="339" t="s">
        <v>442</v>
      </c>
      <c r="C103" s="339" t="s">
        <v>443</v>
      </c>
      <c r="D103" s="339">
        <v>3</v>
      </c>
      <c r="E103" s="339">
        <v>5</v>
      </c>
      <c r="F103" s="339">
        <v>6.5</v>
      </c>
      <c r="G103" s="340">
        <v>2014310400</v>
      </c>
      <c r="H103" s="346">
        <v>143104</v>
      </c>
      <c r="I103" s="348">
        <v>32</v>
      </c>
      <c r="J103" s="341">
        <v>15</v>
      </c>
      <c r="K103" s="341">
        <v>28</v>
      </c>
      <c r="L103" s="348">
        <f t="shared" si="5"/>
        <v>43</v>
      </c>
      <c r="M103" s="341">
        <v>143</v>
      </c>
      <c r="N103" s="340" t="s">
        <v>895</v>
      </c>
      <c r="O103" s="340">
        <v>38</v>
      </c>
      <c r="P103" s="340" t="s">
        <v>896</v>
      </c>
      <c r="Q103" s="340" t="s">
        <v>0</v>
      </c>
      <c r="R103" s="340" t="s">
        <v>446</v>
      </c>
      <c r="S103" s="340" t="s">
        <v>447</v>
      </c>
      <c r="T103" s="340">
        <v>2</v>
      </c>
      <c r="U103" s="340" t="s">
        <v>0</v>
      </c>
      <c r="V103" s="340" t="s">
        <v>448</v>
      </c>
      <c r="W103" s="340" t="s">
        <v>0</v>
      </c>
      <c r="X103" s="340" t="s">
        <v>897</v>
      </c>
      <c r="Y103" s="340" t="s">
        <v>0</v>
      </c>
      <c r="Z103" s="340" t="s">
        <v>898</v>
      </c>
      <c r="AA103" s="340" t="s">
        <v>0</v>
      </c>
      <c r="AB103" s="340" t="s">
        <v>899</v>
      </c>
      <c r="AC103" s="340" t="s">
        <v>0</v>
      </c>
      <c r="AD103" s="340">
        <v>70177</v>
      </c>
      <c r="AE103" s="340" t="s">
        <v>452</v>
      </c>
      <c r="AF103" s="340" t="s">
        <v>453</v>
      </c>
      <c r="AG103" s="340" t="s">
        <v>447</v>
      </c>
      <c r="AH103" s="342">
        <v>44896</v>
      </c>
      <c r="AI103" s="340" t="s">
        <v>454</v>
      </c>
      <c r="AJ103" s="340" t="s">
        <v>455</v>
      </c>
      <c r="AK103" s="340" t="s">
        <v>456</v>
      </c>
      <c r="AL103" s="340" t="s">
        <v>457</v>
      </c>
      <c r="AM103" s="340">
        <v>6</v>
      </c>
      <c r="AN103" s="340" t="s">
        <v>458</v>
      </c>
      <c r="AO103" s="340" t="s">
        <v>459</v>
      </c>
      <c r="AP103" s="340">
        <v>3</v>
      </c>
      <c r="AQ103" s="340" t="s">
        <v>460</v>
      </c>
      <c r="AR103" s="340">
        <v>3152</v>
      </c>
      <c r="AS103" s="340" t="s">
        <v>588</v>
      </c>
      <c r="AT103" s="340">
        <v>1</v>
      </c>
      <c r="AU103" s="340" t="s">
        <v>462</v>
      </c>
      <c r="AV103" s="343">
        <v>0.375</v>
      </c>
      <c r="AW103" s="343">
        <v>0.58333333333333337</v>
      </c>
      <c r="AX103" s="340" t="s">
        <v>463</v>
      </c>
      <c r="AY103" s="340" t="s">
        <v>464</v>
      </c>
    </row>
    <row r="104" spans="1:51" x14ac:dyDescent="0.25">
      <c r="A104" s="339" t="s">
        <v>441</v>
      </c>
      <c r="B104" s="339" t="s">
        <v>442</v>
      </c>
      <c r="C104" s="339" t="s">
        <v>443</v>
      </c>
      <c r="D104" s="339">
        <v>3</v>
      </c>
      <c r="E104" s="339">
        <v>5</v>
      </c>
      <c r="F104" s="339">
        <v>6.5</v>
      </c>
      <c r="G104" s="340">
        <v>2014310500</v>
      </c>
      <c r="H104" s="346">
        <v>143105</v>
      </c>
      <c r="I104" s="348">
        <v>106</v>
      </c>
      <c r="J104" s="341">
        <v>56</v>
      </c>
      <c r="K104" s="341">
        <v>105</v>
      </c>
      <c r="L104" s="348">
        <f t="shared" si="5"/>
        <v>161</v>
      </c>
      <c r="M104" s="341">
        <v>143</v>
      </c>
      <c r="N104" s="340" t="s">
        <v>895</v>
      </c>
      <c r="O104" s="340">
        <v>1</v>
      </c>
      <c r="P104" s="340" t="s">
        <v>900</v>
      </c>
      <c r="Q104" s="340" t="s">
        <v>0</v>
      </c>
      <c r="R104" s="340" t="s">
        <v>446</v>
      </c>
      <c r="S104" s="340" t="s">
        <v>447</v>
      </c>
      <c r="T104" s="340">
        <v>2</v>
      </c>
      <c r="U104" s="340" t="s">
        <v>0</v>
      </c>
      <c r="V104" s="340" t="s">
        <v>448</v>
      </c>
      <c r="W104" s="340" t="s">
        <v>0</v>
      </c>
      <c r="X104" s="340" t="s">
        <v>901</v>
      </c>
      <c r="Y104" s="340" t="s">
        <v>0</v>
      </c>
      <c r="Z104" s="340" t="s">
        <v>902</v>
      </c>
      <c r="AA104" s="340" t="s">
        <v>0</v>
      </c>
      <c r="AB104" s="340" t="s">
        <v>903</v>
      </c>
      <c r="AC104" s="340" t="s">
        <v>0</v>
      </c>
      <c r="AD104" s="340">
        <v>70175</v>
      </c>
      <c r="AE104" s="340" t="s">
        <v>452</v>
      </c>
      <c r="AF104" s="340" t="s">
        <v>453</v>
      </c>
      <c r="AG104" s="340" t="s">
        <v>447</v>
      </c>
      <c r="AH104" s="342">
        <v>44896</v>
      </c>
      <c r="AI104" s="340" t="s">
        <v>454</v>
      </c>
      <c r="AJ104" s="340" t="s">
        <v>455</v>
      </c>
      <c r="AK104" s="340" t="s">
        <v>456</v>
      </c>
      <c r="AL104" s="340" t="s">
        <v>457</v>
      </c>
      <c r="AM104" s="340">
        <v>6</v>
      </c>
      <c r="AN104" s="340" t="s">
        <v>458</v>
      </c>
      <c r="AO104" s="340" t="s">
        <v>459</v>
      </c>
      <c r="AP104" s="340">
        <v>3</v>
      </c>
      <c r="AQ104" s="340" t="s">
        <v>460</v>
      </c>
      <c r="AR104" s="340">
        <v>3152</v>
      </c>
      <c r="AS104" s="340" t="s">
        <v>588</v>
      </c>
      <c r="AT104" s="340">
        <v>1</v>
      </c>
      <c r="AU104" s="340" t="s">
        <v>462</v>
      </c>
      <c r="AV104" s="343">
        <v>0.375</v>
      </c>
      <c r="AW104" s="343">
        <v>0.58333333333333337</v>
      </c>
      <c r="AX104" s="340" t="s">
        <v>463</v>
      </c>
      <c r="AY104" s="340" t="s">
        <v>464</v>
      </c>
    </row>
    <row r="105" spans="1:51" x14ac:dyDescent="0.25">
      <c r="A105" s="339" t="s">
        <v>441</v>
      </c>
      <c r="B105" s="339" t="s">
        <v>442</v>
      </c>
      <c r="C105" s="339" t="s">
        <v>443</v>
      </c>
      <c r="D105" s="339">
        <v>3</v>
      </c>
      <c r="E105" s="339">
        <v>5</v>
      </c>
      <c r="F105" s="339">
        <v>6.5</v>
      </c>
      <c r="G105" s="340">
        <v>2014310600</v>
      </c>
      <c r="H105" s="346">
        <v>143106</v>
      </c>
      <c r="I105" s="348">
        <v>45</v>
      </c>
      <c r="J105" s="341">
        <v>18</v>
      </c>
      <c r="K105" s="341">
        <v>48</v>
      </c>
      <c r="L105" s="348">
        <f t="shared" si="5"/>
        <v>66</v>
      </c>
      <c r="M105" s="341">
        <v>143</v>
      </c>
      <c r="N105" s="340" t="s">
        <v>895</v>
      </c>
      <c r="O105" s="340">
        <v>5</v>
      </c>
      <c r="P105" s="340" t="s">
        <v>904</v>
      </c>
      <c r="Q105" s="340" t="s">
        <v>0</v>
      </c>
      <c r="R105" s="340" t="s">
        <v>446</v>
      </c>
      <c r="S105" s="340" t="s">
        <v>447</v>
      </c>
      <c r="T105" s="340">
        <v>2</v>
      </c>
      <c r="U105" s="340" t="s">
        <v>0</v>
      </c>
      <c r="V105" s="340" t="s">
        <v>448</v>
      </c>
      <c r="W105" s="340" t="s">
        <v>0</v>
      </c>
      <c r="X105" s="340" t="s">
        <v>681</v>
      </c>
      <c r="Y105" s="340" t="s">
        <v>0</v>
      </c>
      <c r="Z105" s="340" t="s">
        <v>765</v>
      </c>
      <c r="AA105" s="340" t="s">
        <v>0</v>
      </c>
      <c r="AB105" s="340" t="s">
        <v>905</v>
      </c>
      <c r="AC105" s="340" t="s">
        <v>0</v>
      </c>
      <c r="AD105" s="340">
        <v>70178</v>
      </c>
      <c r="AE105" s="340" t="s">
        <v>452</v>
      </c>
      <c r="AF105" s="340" t="s">
        <v>453</v>
      </c>
      <c r="AG105" s="340" t="s">
        <v>447</v>
      </c>
      <c r="AH105" s="342">
        <v>44896</v>
      </c>
      <c r="AI105" s="340" t="s">
        <v>454</v>
      </c>
      <c r="AJ105" s="340" t="s">
        <v>455</v>
      </c>
      <c r="AK105" s="340" t="s">
        <v>456</v>
      </c>
      <c r="AL105" s="340" t="s">
        <v>457</v>
      </c>
      <c r="AM105" s="340">
        <v>6</v>
      </c>
      <c r="AN105" s="340" t="s">
        <v>458</v>
      </c>
      <c r="AO105" s="340" t="s">
        <v>459</v>
      </c>
      <c r="AP105" s="340">
        <v>3</v>
      </c>
      <c r="AQ105" s="340" t="s">
        <v>460</v>
      </c>
      <c r="AR105" s="340">
        <v>3152</v>
      </c>
      <c r="AS105" s="340" t="s">
        <v>588</v>
      </c>
      <c r="AT105" s="340">
        <v>1</v>
      </c>
      <c r="AU105" s="340" t="s">
        <v>462</v>
      </c>
      <c r="AV105" s="343">
        <v>0.375</v>
      </c>
      <c r="AW105" s="343">
        <v>0.58333333333333337</v>
      </c>
      <c r="AX105" s="340" t="s">
        <v>463</v>
      </c>
      <c r="AY105" s="340" t="s">
        <v>464</v>
      </c>
    </row>
    <row r="106" spans="1:51" x14ac:dyDescent="0.25">
      <c r="A106" s="339" t="s">
        <v>441</v>
      </c>
      <c r="B106" s="339" t="s">
        <v>442</v>
      </c>
      <c r="C106" s="339" t="s">
        <v>443</v>
      </c>
      <c r="D106" s="339">
        <v>4</v>
      </c>
      <c r="E106" s="339">
        <v>5</v>
      </c>
      <c r="F106" s="339">
        <v>6.5</v>
      </c>
      <c r="G106" s="340">
        <v>2014410300</v>
      </c>
      <c r="H106" s="346">
        <v>144103</v>
      </c>
      <c r="I106" s="348">
        <v>64</v>
      </c>
      <c r="J106" s="341">
        <v>28</v>
      </c>
      <c r="K106" s="341">
        <v>53</v>
      </c>
      <c r="L106" s="348">
        <f t="shared" si="5"/>
        <v>81</v>
      </c>
      <c r="M106" s="341">
        <v>144</v>
      </c>
      <c r="N106" s="340" t="s">
        <v>906</v>
      </c>
      <c r="O106" s="340">
        <v>1</v>
      </c>
      <c r="P106" s="340" t="s">
        <v>906</v>
      </c>
      <c r="Q106" s="340" t="s">
        <v>0</v>
      </c>
      <c r="R106" s="340" t="s">
        <v>446</v>
      </c>
      <c r="S106" s="340" t="s">
        <v>447</v>
      </c>
      <c r="T106" s="340">
        <v>2</v>
      </c>
      <c r="U106" s="340" t="s">
        <v>0</v>
      </c>
      <c r="V106" s="340" t="s">
        <v>448</v>
      </c>
      <c r="W106" s="340" t="s">
        <v>0</v>
      </c>
      <c r="X106" s="340" t="s">
        <v>672</v>
      </c>
      <c r="Y106" s="340" t="s">
        <v>0</v>
      </c>
      <c r="Z106" s="340" t="s">
        <v>907</v>
      </c>
      <c r="AA106" s="340" t="s">
        <v>0</v>
      </c>
      <c r="AB106" s="340" t="s">
        <v>908</v>
      </c>
      <c r="AC106" s="340" t="s">
        <v>0</v>
      </c>
      <c r="AD106" s="340">
        <v>69935</v>
      </c>
      <c r="AE106" s="340" t="s">
        <v>452</v>
      </c>
      <c r="AF106" s="340" t="s">
        <v>453</v>
      </c>
      <c r="AG106" s="340" t="s">
        <v>447</v>
      </c>
      <c r="AH106" s="342">
        <v>44105</v>
      </c>
      <c r="AI106" s="340" t="s">
        <v>454</v>
      </c>
      <c r="AJ106" s="340" t="s">
        <v>455</v>
      </c>
      <c r="AK106" s="340" t="s">
        <v>456</v>
      </c>
      <c r="AL106" s="340" t="s">
        <v>457</v>
      </c>
      <c r="AM106" s="340">
        <v>6</v>
      </c>
      <c r="AN106" s="340" t="s">
        <v>458</v>
      </c>
      <c r="AO106" s="340" t="s">
        <v>459</v>
      </c>
      <c r="AP106" s="340">
        <v>3</v>
      </c>
      <c r="AQ106" s="340" t="s">
        <v>460</v>
      </c>
      <c r="AR106" s="340">
        <v>3033</v>
      </c>
      <c r="AS106" s="340" t="s">
        <v>825</v>
      </c>
      <c r="AT106" s="340">
        <v>1</v>
      </c>
      <c r="AU106" s="340" t="s">
        <v>462</v>
      </c>
      <c r="AV106" s="343">
        <v>0.375</v>
      </c>
      <c r="AW106" s="343">
        <v>0.58333333333333337</v>
      </c>
      <c r="AX106" s="340" t="s">
        <v>463</v>
      </c>
      <c r="AY106" s="340" t="s">
        <v>464</v>
      </c>
    </row>
    <row r="107" spans="1:51" x14ac:dyDescent="0.25">
      <c r="A107" s="339" t="s">
        <v>441</v>
      </c>
      <c r="B107" s="339" t="s">
        <v>442</v>
      </c>
      <c r="C107" s="339" t="s">
        <v>469</v>
      </c>
      <c r="D107" s="339">
        <v>2</v>
      </c>
      <c r="E107" s="339">
        <v>1</v>
      </c>
      <c r="F107" s="339">
        <v>6.5</v>
      </c>
      <c r="G107" s="340">
        <v>2015310100</v>
      </c>
      <c r="H107" s="346">
        <v>153101</v>
      </c>
      <c r="I107" s="348">
        <v>270</v>
      </c>
      <c r="J107" s="341">
        <v>173</v>
      </c>
      <c r="K107" s="341">
        <v>206</v>
      </c>
      <c r="L107" s="348">
        <f t="shared" si="5"/>
        <v>379</v>
      </c>
      <c r="M107" s="341">
        <v>153</v>
      </c>
      <c r="N107" s="340" t="s">
        <v>909</v>
      </c>
      <c r="O107" s="340">
        <v>1</v>
      </c>
      <c r="P107" s="340" t="s">
        <v>909</v>
      </c>
      <c r="Q107" s="340" t="s">
        <v>0</v>
      </c>
      <c r="R107" s="340" t="s">
        <v>446</v>
      </c>
      <c r="S107" s="340" t="s">
        <v>447</v>
      </c>
      <c r="T107" s="340">
        <v>2</v>
      </c>
      <c r="U107" s="340" t="s">
        <v>0</v>
      </c>
      <c r="V107" s="340" t="s">
        <v>448</v>
      </c>
      <c r="W107" s="340" t="s">
        <v>0</v>
      </c>
      <c r="X107" s="340" t="s">
        <v>810</v>
      </c>
      <c r="Y107" s="340" t="s">
        <v>0</v>
      </c>
      <c r="Z107" s="340" t="s">
        <v>450</v>
      </c>
      <c r="AA107" s="340" t="s">
        <v>0</v>
      </c>
      <c r="AB107" s="340" t="s">
        <v>910</v>
      </c>
      <c r="AC107" s="340" t="s">
        <v>0</v>
      </c>
      <c r="AD107" s="340">
        <v>71970</v>
      </c>
      <c r="AE107" s="340" t="s">
        <v>452</v>
      </c>
      <c r="AF107" s="340" t="s">
        <v>453</v>
      </c>
      <c r="AG107" s="340" t="s">
        <v>447</v>
      </c>
      <c r="AH107" s="342">
        <v>36551</v>
      </c>
      <c r="AI107" s="340" t="s">
        <v>454</v>
      </c>
      <c r="AJ107" s="340" t="s">
        <v>455</v>
      </c>
      <c r="AK107" s="340" t="s">
        <v>456</v>
      </c>
      <c r="AL107" s="340" t="s">
        <v>457</v>
      </c>
      <c r="AM107" s="340">
        <v>6</v>
      </c>
      <c r="AN107" s="340" t="s">
        <v>458</v>
      </c>
      <c r="AO107" s="340" t="s">
        <v>459</v>
      </c>
      <c r="AP107" s="340">
        <v>3</v>
      </c>
      <c r="AQ107" s="340" t="s">
        <v>460</v>
      </c>
      <c r="AR107" s="340">
        <v>3045</v>
      </c>
      <c r="AS107" s="340" t="s">
        <v>791</v>
      </c>
      <c r="AT107" s="340">
        <v>1</v>
      </c>
      <c r="AU107" s="340" t="s">
        <v>462</v>
      </c>
      <c r="AV107" s="343">
        <v>0.33333333333333331</v>
      </c>
      <c r="AW107" s="343">
        <v>0.5625</v>
      </c>
      <c r="AX107" s="340" t="s">
        <v>463</v>
      </c>
      <c r="AY107" s="340" t="s">
        <v>464</v>
      </c>
    </row>
    <row r="108" spans="1:51" x14ac:dyDescent="0.25">
      <c r="A108" s="339" t="s">
        <v>441</v>
      </c>
      <c r="B108" s="339" t="s">
        <v>442</v>
      </c>
      <c r="C108" s="339" t="s">
        <v>469</v>
      </c>
      <c r="D108" s="339">
        <v>6</v>
      </c>
      <c r="E108" s="339">
        <v>5</v>
      </c>
      <c r="F108" s="339">
        <v>6.5</v>
      </c>
      <c r="G108" s="340">
        <v>2015610100</v>
      </c>
      <c r="H108" s="346">
        <v>156101</v>
      </c>
      <c r="I108" s="348">
        <v>43</v>
      </c>
      <c r="J108" s="341">
        <v>22</v>
      </c>
      <c r="K108" s="341">
        <v>35</v>
      </c>
      <c r="L108" s="348">
        <f t="shared" si="5"/>
        <v>57</v>
      </c>
      <c r="M108" s="341">
        <v>156</v>
      </c>
      <c r="N108" s="340" t="s">
        <v>911</v>
      </c>
      <c r="O108" s="340">
        <v>1</v>
      </c>
      <c r="P108" s="340" t="s">
        <v>911</v>
      </c>
      <c r="Q108" s="340" t="s">
        <v>0</v>
      </c>
      <c r="R108" s="340" t="s">
        <v>446</v>
      </c>
      <c r="S108" s="340" t="s">
        <v>447</v>
      </c>
      <c r="T108" s="340">
        <v>4</v>
      </c>
      <c r="U108" s="340" t="s">
        <v>0</v>
      </c>
      <c r="V108" s="340" t="s">
        <v>498</v>
      </c>
      <c r="W108" s="340" t="s">
        <v>0</v>
      </c>
      <c r="X108" s="340" t="s">
        <v>912</v>
      </c>
      <c r="Y108" s="340" t="s">
        <v>0</v>
      </c>
      <c r="Z108" s="340" t="s">
        <v>450</v>
      </c>
      <c r="AA108" s="340" t="s">
        <v>0</v>
      </c>
      <c r="AB108" s="340" t="s">
        <v>913</v>
      </c>
      <c r="AC108" s="340" t="s">
        <v>0</v>
      </c>
      <c r="AD108" s="340">
        <v>68800</v>
      </c>
      <c r="AE108" s="340" t="s">
        <v>452</v>
      </c>
      <c r="AF108" s="340" t="s">
        <v>453</v>
      </c>
      <c r="AG108" s="340" t="s">
        <v>447</v>
      </c>
      <c r="AH108" s="342">
        <v>40844</v>
      </c>
      <c r="AI108" s="340" t="s">
        <v>454</v>
      </c>
      <c r="AJ108" s="340" t="s">
        <v>455</v>
      </c>
      <c r="AK108" s="340" t="s">
        <v>456</v>
      </c>
      <c r="AL108" s="340" t="s">
        <v>457</v>
      </c>
      <c r="AM108" s="340">
        <v>6</v>
      </c>
      <c r="AN108" s="340" t="s">
        <v>458</v>
      </c>
      <c r="AO108" s="340" t="s">
        <v>459</v>
      </c>
      <c r="AP108" s="340">
        <v>3</v>
      </c>
      <c r="AQ108" s="340" t="s">
        <v>460</v>
      </c>
      <c r="AR108" s="340">
        <v>3040</v>
      </c>
      <c r="AS108" s="340" t="s">
        <v>657</v>
      </c>
      <c r="AT108" s="340">
        <v>1</v>
      </c>
      <c r="AU108" s="340" t="s">
        <v>462</v>
      </c>
      <c r="AV108" s="343">
        <v>0.375</v>
      </c>
      <c r="AW108" s="343">
        <v>0.58333333333333337</v>
      </c>
      <c r="AX108" s="340" t="s">
        <v>463</v>
      </c>
      <c r="AY108" s="340" t="s">
        <v>464</v>
      </c>
    </row>
    <row r="109" spans="1:51" x14ac:dyDescent="0.25">
      <c r="A109" s="339" t="s">
        <v>441</v>
      </c>
      <c r="B109" s="339" t="s">
        <v>442</v>
      </c>
      <c r="C109" s="339" t="s">
        <v>443</v>
      </c>
      <c r="D109" s="339">
        <v>1</v>
      </c>
      <c r="E109" s="339">
        <v>3</v>
      </c>
      <c r="F109" s="339">
        <v>6.5</v>
      </c>
      <c r="G109" s="340">
        <v>2016310100</v>
      </c>
      <c r="H109" s="346">
        <v>163101</v>
      </c>
      <c r="I109" s="348">
        <v>38</v>
      </c>
      <c r="J109" s="341">
        <v>14</v>
      </c>
      <c r="K109" s="341">
        <v>40</v>
      </c>
      <c r="L109" s="348">
        <f t="shared" si="5"/>
        <v>54</v>
      </c>
      <c r="M109" s="341">
        <v>163</v>
      </c>
      <c r="N109" s="340" t="s">
        <v>915</v>
      </c>
      <c r="O109" s="340">
        <v>1</v>
      </c>
      <c r="P109" s="340" t="s">
        <v>916</v>
      </c>
      <c r="Q109" s="340" t="s">
        <v>0</v>
      </c>
      <c r="R109" s="340" t="s">
        <v>446</v>
      </c>
      <c r="S109" s="340" t="s">
        <v>447</v>
      </c>
      <c r="T109" s="340">
        <v>2</v>
      </c>
      <c r="U109" s="340" t="s">
        <v>0</v>
      </c>
      <c r="V109" s="340" t="s">
        <v>448</v>
      </c>
      <c r="W109" s="340" t="s">
        <v>0</v>
      </c>
      <c r="X109" s="340" t="s">
        <v>516</v>
      </c>
      <c r="Y109" s="340" t="s">
        <v>0</v>
      </c>
      <c r="Z109" s="340" t="s">
        <v>917</v>
      </c>
      <c r="AA109" s="340" t="s">
        <v>0</v>
      </c>
      <c r="AB109" s="340" t="s">
        <v>918</v>
      </c>
      <c r="AC109" s="340" t="s">
        <v>0</v>
      </c>
      <c r="AD109" s="340">
        <v>68550</v>
      </c>
      <c r="AE109" s="340" t="s">
        <v>452</v>
      </c>
      <c r="AF109" s="340" t="s">
        <v>453</v>
      </c>
      <c r="AG109" s="340" t="s">
        <v>447</v>
      </c>
      <c r="AH109" s="342">
        <v>43815</v>
      </c>
      <c r="AI109" s="340" t="s">
        <v>454</v>
      </c>
      <c r="AJ109" s="340" t="s">
        <v>455</v>
      </c>
      <c r="AK109" s="340" t="s">
        <v>456</v>
      </c>
      <c r="AL109" s="340" t="s">
        <v>457</v>
      </c>
      <c r="AM109" s="340">
        <v>6</v>
      </c>
      <c r="AN109" s="340" t="s">
        <v>458</v>
      </c>
      <c r="AO109" s="340" t="s">
        <v>459</v>
      </c>
      <c r="AP109" s="340">
        <v>3</v>
      </c>
      <c r="AQ109" s="340" t="s">
        <v>460</v>
      </c>
      <c r="AR109" s="340">
        <v>3154</v>
      </c>
      <c r="AS109" s="340" t="s">
        <v>529</v>
      </c>
      <c r="AT109" s="340">
        <v>1</v>
      </c>
      <c r="AU109" s="340" t="s">
        <v>462</v>
      </c>
      <c r="AV109" s="343">
        <v>0.375</v>
      </c>
      <c r="AW109" s="343">
        <v>0.5</v>
      </c>
      <c r="AX109" s="340" t="s">
        <v>463</v>
      </c>
      <c r="AY109" s="340" t="s">
        <v>464</v>
      </c>
    </row>
    <row r="110" spans="1:51" x14ac:dyDescent="0.25">
      <c r="A110" s="339" t="s">
        <v>441</v>
      </c>
      <c r="B110" s="339" t="s">
        <v>442</v>
      </c>
      <c r="C110" s="339" t="s">
        <v>443</v>
      </c>
      <c r="D110" s="339">
        <v>4</v>
      </c>
      <c r="E110" s="339">
        <v>7</v>
      </c>
      <c r="F110" s="339">
        <v>6.5</v>
      </c>
      <c r="G110" s="340">
        <v>2016510100</v>
      </c>
      <c r="H110" s="346">
        <v>165101</v>
      </c>
      <c r="I110" s="348">
        <v>45</v>
      </c>
      <c r="J110" s="341">
        <v>23</v>
      </c>
      <c r="K110" s="341">
        <v>42</v>
      </c>
      <c r="L110" s="348">
        <f t="shared" si="5"/>
        <v>65</v>
      </c>
      <c r="M110" s="341">
        <v>165</v>
      </c>
      <c r="N110" s="340" t="s">
        <v>919</v>
      </c>
      <c r="O110" s="340">
        <v>1</v>
      </c>
      <c r="P110" s="340" t="s">
        <v>920</v>
      </c>
      <c r="Q110" s="340" t="s">
        <v>0</v>
      </c>
      <c r="R110" s="340" t="s">
        <v>446</v>
      </c>
      <c r="S110" s="340" t="s">
        <v>447</v>
      </c>
      <c r="T110" s="340">
        <v>2</v>
      </c>
      <c r="U110" s="340" t="s">
        <v>0</v>
      </c>
      <c r="V110" s="340" t="s">
        <v>448</v>
      </c>
      <c r="W110" s="340" t="s">
        <v>0</v>
      </c>
      <c r="X110" s="340" t="s">
        <v>516</v>
      </c>
      <c r="Y110" s="340" t="s">
        <v>0</v>
      </c>
      <c r="Z110" s="340" t="s">
        <v>450</v>
      </c>
      <c r="AA110" s="340" t="s">
        <v>0</v>
      </c>
      <c r="AB110" s="340" t="s">
        <v>921</v>
      </c>
      <c r="AC110" s="340" t="s">
        <v>0</v>
      </c>
      <c r="AD110" s="340">
        <v>68216</v>
      </c>
      <c r="AE110" s="340" t="s">
        <v>452</v>
      </c>
      <c r="AF110" s="340" t="s">
        <v>453</v>
      </c>
      <c r="AG110" s="340" t="s">
        <v>447</v>
      </c>
      <c r="AH110" s="342">
        <v>42109</v>
      </c>
      <c r="AI110" s="340" t="s">
        <v>454</v>
      </c>
      <c r="AJ110" s="340" t="s">
        <v>455</v>
      </c>
      <c r="AK110" s="340" t="s">
        <v>456</v>
      </c>
      <c r="AL110" s="340" t="s">
        <v>457</v>
      </c>
      <c r="AM110" s="340">
        <v>6</v>
      </c>
      <c r="AN110" s="340" t="s">
        <v>458</v>
      </c>
      <c r="AO110" s="340" t="s">
        <v>459</v>
      </c>
      <c r="AP110" s="340">
        <v>3</v>
      </c>
      <c r="AQ110" s="340" t="s">
        <v>460</v>
      </c>
      <c r="AR110" s="340">
        <v>3146</v>
      </c>
      <c r="AS110" s="340" t="s">
        <v>545</v>
      </c>
      <c r="AT110" s="340">
        <v>1</v>
      </c>
      <c r="AU110" s="340" t="s">
        <v>462</v>
      </c>
      <c r="AV110" s="343">
        <v>0.375</v>
      </c>
      <c r="AW110" s="343">
        <v>0.58333333333333337</v>
      </c>
      <c r="AX110" s="340" t="s">
        <v>463</v>
      </c>
      <c r="AY110" s="340" t="s">
        <v>464</v>
      </c>
    </row>
    <row r="111" spans="1:51" x14ac:dyDescent="0.25">
      <c r="A111" s="339" t="s">
        <v>441</v>
      </c>
      <c r="B111" s="339" t="s">
        <v>442</v>
      </c>
      <c r="C111" s="339" t="s">
        <v>443</v>
      </c>
      <c r="D111" s="339">
        <v>5</v>
      </c>
      <c r="E111" s="339">
        <v>2</v>
      </c>
      <c r="F111" s="339">
        <v>6.5</v>
      </c>
      <c r="G111" s="340">
        <v>2016610300</v>
      </c>
      <c r="H111" s="346">
        <v>166103</v>
      </c>
      <c r="I111" s="348">
        <v>21</v>
      </c>
      <c r="J111" s="341">
        <v>8</v>
      </c>
      <c r="K111" s="341">
        <v>20</v>
      </c>
      <c r="L111" s="348">
        <f t="shared" si="5"/>
        <v>28</v>
      </c>
      <c r="M111" s="341">
        <v>166</v>
      </c>
      <c r="N111" s="340" t="s">
        <v>922</v>
      </c>
      <c r="O111" s="340">
        <v>17</v>
      </c>
      <c r="P111" s="340" t="s">
        <v>923</v>
      </c>
      <c r="Q111" s="340" t="s">
        <v>0</v>
      </c>
      <c r="R111" s="340" t="s">
        <v>446</v>
      </c>
      <c r="S111" s="340" t="s">
        <v>447</v>
      </c>
      <c r="T111" s="340">
        <v>2</v>
      </c>
      <c r="U111" s="340" t="s">
        <v>0</v>
      </c>
      <c r="V111" s="340" t="s">
        <v>448</v>
      </c>
      <c r="W111" s="340" t="s">
        <v>0</v>
      </c>
      <c r="X111" s="340" t="s">
        <v>465</v>
      </c>
      <c r="Y111" s="340" t="s">
        <v>0</v>
      </c>
      <c r="Z111" s="340" t="s">
        <v>924</v>
      </c>
      <c r="AA111" s="340" t="s">
        <v>0</v>
      </c>
      <c r="AB111" s="340" t="s">
        <v>925</v>
      </c>
      <c r="AC111" s="340" t="s">
        <v>0</v>
      </c>
      <c r="AD111" s="340">
        <v>68459</v>
      </c>
      <c r="AE111" s="340" t="s">
        <v>452</v>
      </c>
      <c r="AF111" s="340" t="s">
        <v>453</v>
      </c>
      <c r="AG111" s="340" t="s">
        <v>447</v>
      </c>
      <c r="AH111" s="342">
        <v>45043</v>
      </c>
      <c r="AI111" s="340" t="s">
        <v>454</v>
      </c>
      <c r="AJ111" s="340" t="s">
        <v>455</v>
      </c>
      <c r="AK111" s="340" t="s">
        <v>456</v>
      </c>
      <c r="AL111" s="340" t="s">
        <v>457</v>
      </c>
      <c r="AM111" s="340">
        <v>6</v>
      </c>
      <c r="AN111" s="340" t="s">
        <v>458</v>
      </c>
      <c r="AO111" s="340" t="s">
        <v>459</v>
      </c>
      <c r="AP111" s="340">
        <v>3</v>
      </c>
      <c r="AQ111" s="340" t="s">
        <v>460</v>
      </c>
      <c r="AR111" s="340">
        <v>3059</v>
      </c>
      <c r="AS111" s="340" t="s">
        <v>490</v>
      </c>
      <c r="AT111" s="340">
        <v>1</v>
      </c>
      <c r="AU111" s="340" t="s">
        <v>462</v>
      </c>
      <c r="AV111" s="343">
        <v>0.375</v>
      </c>
      <c r="AW111" s="343">
        <v>0.58333333333333337</v>
      </c>
      <c r="AX111" s="340" t="s">
        <v>463</v>
      </c>
      <c r="AY111" s="340" t="s">
        <v>464</v>
      </c>
    </row>
    <row r="112" spans="1:51" x14ac:dyDescent="0.25">
      <c r="A112" s="339" t="s">
        <v>441</v>
      </c>
      <c r="B112" s="339" t="s">
        <v>442</v>
      </c>
      <c r="C112" s="339" t="s">
        <v>443</v>
      </c>
      <c r="D112" s="339">
        <v>2</v>
      </c>
      <c r="E112" s="339">
        <v>5</v>
      </c>
      <c r="F112" s="339">
        <v>6.5</v>
      </c>
      <c r="G112" s="340">
        <v>2016810100</v>
      </c>
      <c r="H112" s="346">
        <v>168101</v>
      </c>
      <c r="I112" s="348">
        <v>115</v>
      </c>
      <c r="J112" s="341">
        <v>67</v>
      </c>
      <c r="K112" s="341">
        <v>100</v>
      </c>
      <c r="L112" s="348">
        <f t="shared" si="5"/>
        <v>167</v>
      </c>
      <c r="M112" s="341">
        <v>168</v>
      </c>
      <c r="N112" s="340" t="s">
        <v>926</v>
      </c>
      <c r="O112" s="340">
        <v>1</v>
      </c>
      <c r="P112" s="340" t="s">
        <v>927</v>
      </c>
      <c r="Q112" s="340" t="s">
        <v>0</v>
      </c>
      <c r="R112" s="340" t="s">
        <v>446</v>
      </c>
      <c r="S112" s="340" t="s">
        <v>447</v>
      </c>
      <c r="T112" s="340">
        <v>2</v>
      </c>
      <c r="U112" s="340" t="s">
        <v>0</v>
      </c>
      <c r="V112" s="340" t="s">
        <v>448</v>
      </c>
      <c r="W112" s="340" t="s">
        <v>0</v>
      </c>
      <c r="X112" s="340" t="s">
        <v>928</v>
      </c>
      <c r="Y112" s="340" t="s">
        <v>0</v>
      </c>
      <c r="Z112" s="340" t="s">
        <v>450</v>
      </c>
      <c r="AA112" s="340" t="s">
        <v>0</v>
      </c>
      <c r="AB112" s="340" t="s">
        <v>929</v>
      </c>
      <c r="AC112" s="340" t="s">
        <v>0</v>
      </c>
      <c r="AD112" s="340">
        <v>71686</v>
      </c>
      <c r="AE112" s="340" t="s">
        <v>452</v>
      </c>
      <c r="AF112" s="340" t="s">
        <v>453</v>
      </c>
      <c r="AG112" s="340" t="s">
        <v>447</v>
      </c>
      <c r="AH112" s="342">
        <v>42926</v>
      </c>
      <c r="AI112" s="340" t="s">
        <v>454</v>
      </c>
      <c r="AJ112" s="340" t="s">
        <v>455</v>
      </c>
      <c r="AK112" s="340" t="s">
        <v>456</v>
      </c>
      <c r="AL112" s="340" t="s">
        <v>457</v>
      </c>
      <c r="AM112" s="340">
        <v>6</v>
      </c>
      <c r="AN112" s="340" t="s">
        <v>458</v>
      </c>
      <c r="AO112" s="340" t="s">
        <v>459</v>
      </c>
      <c r="AP112" s="340">
        <v>3</v>
      </c>
      <c r="AQ112" s="340" t="s">
        <v>460</v>
      </c>
      <c r="AR112" s="340">
        <v>3042</v>
      </c>
      <c r="AS112" s="340" t="s">
        <v>846</v>
      </c>
      <c r="AT112" s="340">
        <v>1</v>
      </c>
      <c r="AU112" s="340" t="s">
        <v>462</v>
      </c>
      <c r="AV112" s="343">
        <v>0.33333333333333331</v>
      </c>
      <c r="AW112" s="343">
        <v>0.58333333333333337</v>
      </c>
      <c r="AX112" s="340" t="s">
        <v>463</v>
      </c>
      <c r="AY112" s="340" t="s">
        <v>464</v>
      </c>
    </row>
    <row r="113" spans="1:51" x14ac:dyDescent="0.25">
      <c r="A113" s="339" t="s">
        <v>441</v>
      </c>
      <c r="B113" s="339" t="s">
        <v>442</v>
      </c>
      <c r="C113" s="339" t="s">
        <v>443</v>
      </c>
      <c r="D113" s="339">
        <v>4</v>
      </c>
      <c r="E113" s="339">
        <v>3</v>
      </c>
      <c r="F113" s="339">
        <v>6.5</v>
      </c>
      <c r="G113" s="340">
        <v>2017210100</v>
      </c>
      <c r="H113" s="346">
        <v>172101</v>
      </c>
      <c r="I113" s="348">
        <v>62</v>
      </c>
      <c r="J113" s="341">
        <v>16</v>
      </c>
      <c r="K113" s="341">
        <v>60</v>
      </c>
      <c r="L113" s="348">
        <f t="shared" si="5"/>
        <v>76</v>
      </c>
      <c r="M113" s="341">
        <v>172</v>
      </c>
      <c r="N113" s="340" t="s">
        <v>930</v>
      </c>
      <c r="O113" s="340">
        <v>1</v>
      </c>
      <c r="P113" s="340" t="s">
        <v>930</v>
      </c>
      <c r="Q113" s="340" t="s">
        <v>0</v>
      </c>
      <c r="R113" s="340" t="s">
        <v>446</v>
      </c>
      <c r="S113" s="340" t="s">
        <v>447</v>
      </c>
      <c r="T113" s="340">
        <v>3</v>
      </c>
      <c r="U113" s="340" t="s">
        <v>0</v>
      </c>
      <c r="V113" s="340" t="s">
        <v>472</v>
      </c>
      <c r="W113" s="340" t="s">
        <v>0</v>
      </c>
      <c r="X113" s="340" t="s">
        <v>499</v>
      </c>
      <c r="Y113" s="340" t="s">
        <v>0</v>
      </c>
      <c r="Z113" s="340" t="s">
        <v>931</v>
      </c>
      <c r="AA113" s="340" t="s">
        <v>0</v>
      </c>
      <c r="AB113" s="340" t="s">
        <v>932</v>
      </c>
      <c r="AC113" s="340" t="s">
        <v>0</v>
      </c>
      <c r="AD113" s="340">
        <v>69830</v>
      </c>
      <c r="AE113" s="340" t="s">
        <v>452</v>
      </c>
      <c r="AF113" s="340" t="s">
        <v>453</v>
      </c>
      <c r="AG113" s="340" t="s">
        <v>447</v>
      </c>
      <c r="AH113" s="342">
        <v>44105</v>
      </c>
      <c r="AI113" s="340" t="s">
        <v>454</v>
      </c>
      <c r="AJ113" s="340" t="s">
        <v>455</v>
      </c>
      <c r="AK113" s="340" t="s">
        <v>456</v>
      </c>
      <c r="AL113" s="340" t="s">
        <v>457</v>
      </c>
      <c r="AM113" s="340">
        <v>6</v>
      </c>
      <c r="AN113" s="340" t="s">
        <v>458</v>
      </c>
      <c r="AO113" s="340" t="s">
        <v>459</v>
      </c>
      <c r="AP113" s="340">
        <v>3</v>
      </c>
      <c r="AQ113" s="340" t="s">
        <v>460</v>
      </c>
      <c r="AR113" s="340">
        <v>3151</v>
      </c>
      <c r="AS113" s="340" t="s">
        <v>715</v>
      </c>
      <c r="AT113" s="340">
        <v>1</v>
      </c>
      <c r="AU113" s="340" t="s">
        <v>462</v>
      </c>
      <c r="AV113" s="343">
        <v>0.375</v>
      </c>
      <c r="AW113" s="343">
        <v>0.58333333333333337</v>
      </c>
      <c r="AX113" s="340" t="s">
        <v>463</v>
      </c>
      <c r="AY113" s="340" t="s">
        <v>464</v>
      </c>
    </row>
    <row r="114" spans="1:51" x14ac:dyDescent="0.25">
      <c r="A114" s="339" t="s">
        <v>441</v>
      </c>
      <c r="B114" s="339" t="s">
        <v>442</v>
      </c>
      <c r="C114" s="339" t="s">
        <v>443</v>
      </c>
      <c r="D114" s="339">
        <v>6</v>
      </c>
      <c r="E114" s="339">
        <v>1</v>
      </c>
      <c r="F114" s="339">
        <v>6.5</v>
      </c>
      <c r="G114" s="340">
        <v>2017310100</v>
      </c>
      <c r="H114" s="346">
        <v>173101</v>
      </c>
      <c r="I114" s="348">
        <v>85</v>
      </c>
      <c r="J114" s="341">
        <v>28</v>
      </c>
      <c r="K114" s="341">
        <v>91</v>
      </c>
      <c r="L114" s="348">
        <f t="shared" si="5"/>
        <v>119</v>
      </c>
      <c r="M114" s="341">
        <v>173</v>
      </c>
      <c r="N114" s="340" t="s">
        <v>933</v>
      </c>
      <c r="O114" s="340">
        <v>1</v>
      </c>
      <c r="P114" s="340" t="s">
        <v>933</v>
      </c>
      <c r="Q114" s="340" t="s">
        <v>0</v>
      </c>
      <c r="R114" s="340" t="s">
        <v>446</v>
      </c>
      <c r="S114" s="340" t="s">
        <v>447</v>
      </c>
      <c r="T114" s="340">
        <v>3</v>
      </c>
      <c r="U114" s="340" t="s">
        <v>0</v>
      </c>
      <c r="V114" s="340" t="s">
        <v>472</v>
      </c>
      <c r="W114" s="340" t="s">
        <v>0</v>
      </c>
      <c r="X114" s="340" t="s">
        <v>934</v>
      </c>
      <c r="Y114" s="340" t="s">
        <v>0</v>
      </c>
      <c r="Z114" s="340" t="s">
        <v>935</v>
      </c>
      <c r="AA114" s="340" t="s">
        <v>0</v>
      </c>
      <c r="AB114" s="340" t="s">
        <v>936</v>
      </c>
      <c r="AC114" s="340" t="s">
        <v>0</v>
      </c>
      <c r="AD114" s="340">
        <v>68730</v>
      </c>
      <c r="AE114" s="340" t="s">
        <v>452</v>
      </c>
      <c r="AF114" s="340" t="s">
        <v>453</v>
      </c>
      <c r="AG114" s="340" t="s">
        <v>447</v>
      </c>
      <c r="AH114" s="342">
        <v>45805</v>
      </c>
      <c r="AI114" s="340" t="s">
        <v>454</v>
      </c>
      <c r="AJ114" s="340" t="s">
        <v>455</v>
      </c>
      <c r="AK114" s="340" t="s">
        <v>456</v>
      </c>
      <c r="AL114" s="340" t="s">
        <v>457</v>
      </c>
      <c r="AM114" s="340">
        <v>6</v>
      </c>
      <c r="AN114" s="340" t="s">
        <v>458</v>
      </c>
      <c r="AO114" s="340" t="s">
        <v>459</v>
      </c>
      <c r="AP114" s="340">
        <v>3</v>
      </c>
      <c r="AQ114" s="340" t="s">
        <v>460</v>
      </c>
      <c r="AR114" s="340">
        <v>3032</v>
      </c>
      <c r="AS114" s="340" t="s">
        <v>578</v>
      </c>
      <c r="AT114" s="340">
        <v>208773</v>
      </c>
      <c r="AU114" s="340" t="s">
        <v>652</v>
      </c>
      <c r="AV114" s="343">
        <v>0.375</v>
      </c>
      <c r="AW114" s="343">
        <v>0.58333333333333337</v>
      </c>
      <c r="AX114" s="340" t="s">
        <v>463</v>
      </c>
      <c r="AY114" s="340" t="s">
        <v>464</v>
      </c>
    </row>
    <row r="115" spans="1:51" x14ac:dyDescent="0.25">
      <c r="A115" s="339" t="s">
        <v>441</v>
      </c>
      <c r="B115" s="339" t="s">
        <v>442</v>
      </c>
      <c r="C115" s="339" t="s">
        <v>443</v>
      </c>
      <c r="D115" s="339">
        <v>1</v>
      </c>
      <c r="E115" s="339">
        <v>1</v>
      </c>
      <c r="F115" s="339">
        <v>6.5</v>
      </c>
      <c r="G115" s="340">
        <v>2017710300</v>
      </c>
      <c r="H115" s="346">
        <v>177103</v>
      </c>
      <c r="I115" s="348">
        <v>62</v>
      </c>
      <c r="J115" s="341">
        <v>29</v>
      </c>
      <c r="K115" s="341">
        <v>71</v>
      </c>
      <c r="L115" s="348">
        <f t="shared" si="5"/>
        <v>100</v>
      </c>
      <c r="M115" s="341">
        <v>177</v>
      </c>
      <c r="N115" s="340" t="s">
        <v>778</v>
      </c>
      <c r="O115" s="340">
        <v>8</v>
      </c>
      <c r="P115" s="340" t="s">
        <v>1</v>
      </c>
      <c r="Q115" s="340" t="s">
        <v>0</v>
      </c>
      <c r="R115" s="340" t="s">
        <v>446</v>
      </c>
      <c r="S115" s="340" t="s">
        <v>447</v>
      </c>
      <c r="T115" s="340">
        <v>2</v>
      </c>
      <c r="U115" s="340" t="s">
        <v>0</v>
      </c>
      <c r="V115" s="340" t="s">
        <v>448</v>
      </c>
      <c r="W115" s="340" t="s">
        <v>0</v>
      </c>
      <c r="X115" s="340" t="s">
        <v>844</v>
      </c>
      <c r="Y115" s="340" t="s">
        <v>0</v>
      </c>
      <c r="Z115" s="340" t="s">
        <v>937</v>
      </c>
      <c r="AA115" s="340" t="s">
        <v>0</v>
      </c>
      <c r="AB115" s="340" t="s">
        <v>668</v>
      </c>
      <c r="AC115" s="340" t="s">
        <v>0</v>
      </c>
      <c r="AD115" s="340">
        <v>68601</v>
      </c>
      <c r="AE115" s="340" t="s">
        <v>452</v>
      </c>
      <c r="AF115" s="340" t="s">
        <v>453</v>
      </c>
      <c r="AG115" s="340" t="s">
        <v>447</v>
      </c>
      <c r="AH115" s="342">
        <v>43865</v>
      </c>
      <c r="AI115" s="340" t="s">
        <v>454</v>
      </c>
      <c r="AJ115" s="340" t="s">
        <v>455</v>
      </c>
      <c r="AK115" s="340" t="s">
        <v>456</v>
      </c>
      <c r="AL115" s="340" t="s">
        <v>457</v>
      </c>
      <c r="AM115" s="340">
        <v>6</v>
      </c>
      <c r="AN115" s="340" t="s">
        <v>458</v>
      </c>
      <c r="AO115" s="340" t="s">
        <v>459</v>
      </c>
      <c r="AP115" s="340">
        <v>3</v>
      </c>
      <c r="AQ115" s="340" t="s">
        <v>460</v>
      </c>
      <c r="AR115" s="340">
        <v>3079</v>
      </c>
      <c r="AS115" s="340" t="s">
        <v>519</v>
      </c>
      <c r="AT115" s="340">
        <v>1</v>
      </c>
      <c r="AU115" s="340" t="s">
        <v>462</v>
      </c>
      <c r="AV115" s="343">
        <v>0.33333333333333331</v>
      </c>
      <c r="AW115" s="343">
        <v>0.5</v>
      </c>
      <c r="AX115" s="340" t="s">
        <v>463</v>
      </c>
      <c r="AY115" s="340" t="s">
        <v>464</v>
      </c>
    </row>
    <row r="116" spans="1:51" x14ac:dyDescent="0.25">
      <c r="A116" s="339" t="s">
        <v>441</v>
      </c>
      <c r="B116" s="339" t="s">
        <v>442</v>
      </c>
      <c r="C116" s="339" t="s">
        <v>443</v>
      </c>
      <c r="D116" s="339">
        <v>1</v>
      </c>
      <c r="E116" s="339">
        <v>1</v>
      </c>
      <c r="F116" s="339">
        <v>6.5</v>
      </c>
      <c r="G116" s="340">
        <v>2017710400</v>
      </c>
      <c r="H116" s="346">
        <v>177104</v>
      </c>
      <c r="I116" s="348">
        <v>187</v>
      </c>
      <c r="J116" s="341">
        <v>99</v>
      </c>
      <c r="K116" s="341">
        <v>201</v>
      </c>
      <c r="L116" s="348">
        <f t="shared" si="5"/>
        <v>300</v>
      </c>
      <c r="M116" s="341">
        <v>177</v>
      </c>
      <c r="N116" s="340" t="s">
        <v>778</v>
      </c>
      <c r="O116" s="340">
        <v>1</v>
      </c>
      <c r="P116" s="340" t="s">
        <v>938</v>
      </c>
      <c r="Q116" s="340" t="s">
        <v>0</v>
      </c>
      <c r="R116" s="340" t="s">
        <v>446</v>
      </c>
      <c r="S116" s="340" t="s">
        <v>447</v>
      </c>
      <c r="T116" s="340">
        <v>2</v>
      </c>
      <c r="U116" s="340" t="s">
        <v>0</v>
      </c>
      <c r="V116" s="340" t="s">
        <v>448</v>
      </c>
      <c r="W116" s="340" t="s">
        <v>0</v>
      </c>
      <c r="X116" s="340" t="s">
        <v>508</v>
      </c>
      <c r="Y116" s="340" t="s">
        <v>0</v>
      </c>
      <c r="Z116" s="340" t="s">
        <v>939</v>
      </c>
      <c r="AA116" s="340" t="s">
        <v>0</v>
      </c>
      <c r="AB116" s="340" t="s">
        <v>940</v>
      </c>
      <c r="AC116" s="340" t="s">
        <v>0</v>
      </c>
      <c r="AD116" s="340">
        <v>68606</v>
      </c>
      <c r="AE116" s="340" t="s">
        <v>452</v>
      </c>
      <c r="AF116" s="340" t="s">
        <v>453</v>
      </c>
      <c r="AG116" s="340" t="s">
        <v>447</v>
      </c>
      <c r="AH116" s="342">
        <v>43892</v>
      </c>
      <c r="AI116" s="340" t="s">
        <v>454</v>
      </c>
      <c r="AJ116" s="340" t="s">
        <v>455</v>
      </c>
      <c r="AK116" s="340" t="s">
        <v>456</v>
      </c>
      <c r="AL116" s="340" t="s">
        <v>457</v>
      </c>
      <c r="AM116" s="340">
        <v>6</v>
      </c>
      <c r="AN116" s="340" t="s">
        <v>458</v>
      </c>
      <c r="AO116" s="340" t="s">
        <v>459</v>
      </c>
      <c r="AP116" s="340">
        <v>3</v>
      </c>
      <c r="AQ116" s="340" t="s">
        <v>460</v>
      </c>
      <c r="AR116" s="340">
        <v>3079</v>
      </c>
      <c r="AS116" s="340" t="s">
        <v>519</v>
      </c>
      <c r="AT116" s="340">
        <v>1</v>
      </c>
      <c r="AU116" s="340" t="s">
        <v>462</v>
      </c>
      <c r="AV116" s="343">
        <v>0.375</v>
      </c>
      <c r="AW116" s="343">
        <v>0.54166666666666663</v>
      </c>
      <c r="AX116" s="340" t="s">
        <v>463</v>
      </c>
      <c r="AY116" s="340" t="s">
        <v>464</v>
      </c>
    </row>
    <row r="117" spans="1:51" x14ac:dyDescent="0.25">
      <c r="A117" s="339" t="s">
        <v>441</v>
      </c>
      <c r="B117" s="339" t="s">
        <v>442</v>
      </c>
      <c r="C117" s="339" t="s">
        <v>443</v>
      </c>
      <c r="D117" s="339">
        <v>5</v>
      </c>
      <c r="E117" s="339">
        <v>1</v>
      </c>
      <c r="F117" s="339">
        <v>6.5</v>
      </c>
      <c r="G117" s="340">
        <v>2018416300</v>
      </c>
      <c r="H117" s="346">
        <v>184163</v>
      </c>
      <c r="I117" s="348">
        <v>48</v>
      </c>
      <c r="J117" s="341">
        <v>16</v>
      </c>
      <c r="K117" s="341">
        <v>57</v>
      </c>
      <c r="L117" s="348">
        <f t="shared" ref="L117:L128" si="6">J117+K117</f>
        <v>73</v>
      </c>
      <c r="M117" s="341">
        <v>184</v>
      </c>
      <c r="N117" s="340" t="s">
        <v>854</v>
      </c>
      <c r="O117" s="340">
        <v>34</v>
      </c>
      <c r="P117" s="340" t="s">
        <v>941</v>
      </c>
      <c r="Q117" s="340" t="s">
        <v>0</v>
      </c>
      <c r="R117" s="340" t="s">
        <v>446</v>
      </c>
      <c r="S117" s="340" t="s">
        <v>447</v>
      </c>
      <c r="T117" s="340">
        <v>2</v>
      </c>
      <c r="U117" s="340" t="s">
        <v>0</v>
      </c>
      <c r="V117" s="340" t="s">
        <v>448</v>
      </c>
      <c r="W117" s="340" t="s">
        <v>0</v>
      </c>
      <c r="X117" s="340" t="s">
        <v>681</v>
      </c>
      <c r="Y117" s="340" t="s">
        <v>0</v>
      </c>
      <c r="Z117" s="340" t="s">
        <v>942</v>
      </c>
      <c r="AA117" s="340" t="s">
        <v>0</v>
      </c>
      <c r="AB117" s="340" t="s">
        <v>943</v>
      </c>
      <c r="AC117" s="340" t="s">
        <v>0</v>
      </c>
      <c r="AD117" s="340">
        <v>68444</v>
      </c>
      <c r="AE117" s="340" t="s">
        <v>452</v>
      </c>
      <c r="AF117" s="340" t="s">
        <v>453</v>
      </c>
      <c r="AG117" s="340" t="s">
        <v>447</v>
      </c>
      <c r="AH117" s="342">
        <v>43782</v>
      </c>
      <c r="AI117" s="340" t="s">
        <v>454</v>
      </c>
      <c r="AJ117" s="340" t="s">
        <v>455</v>
      </c>
      <c r="AK117" s="340" t="s">
        <v>456</v>
      </c>
      <c r="AL117" s="340" t="s">
        <v>457</v>
      </c>
      <c r="AM117" s="340">
        <v>6</v>
      </c>
      <c r="AN117" s="340" t="s">
        <v>458</v>
      </c>
      <c r="AO117" s="340" t="s">
        <v>459</v>
      </c>
      <c r="AP117" s="340">
        <v>3</v>
      </c>
      <c r="AQ117" s="340" t="s">
        <v>460</v>
      </c>
      <c r="AR117" s="340">
        <v>3094</v>
      </c>
      <c r="AS117" s="340" t="s">
        <v>461</v>
      </c>
      <c r="AT117" s="340">
        <v>1</v>
      </c>
      <c r="AU117" s="340" t="s">
        <v>462</v>
      </c>
      <c r="AV117" s="343">
        <v>0.375</v>
      </c>
      <c r="AW117" s="343">
        <v>0.54166666666666663</v>
      </c>
      <c r="AX117" s="340" t="s">
        <v>463</v>
      </c>
      <c r="AY117" s="340" t="s">
        <v>464</v>
      </c>
    </row>
    <row r="118" spans="1:51" x14ac:dyDescent="0.25">
      <c r="A118" s="339" t="s">
        <v>441</v>
      </c>
      <c r="B118" s="339" t="s">
        <v>442</v>
      </c>
      <c r="C118" s="339" t="s">
        <v>443</v>
      </c>
      <c r="D118" s="339">
        <v>5</v>
      </c>
      <c r="E118" s="339">
        <v>1</v>
      </c>
      <c r="F118" s="339">
        <v>6.5</v>
      </c>
      <c r="G118" s="340">
        <v>2018416400</v>
      </c>
      <c r="H118" s="346">
        <v>184164</v>
      </c>
      <c r="I118" s="348">
        <v>72</v>
      </c>
      <c r="J118" s="341">
        <v>34</v>
      </c>
      <c r="K118" s="341">
        <v>68</v>
      </c>
      <c r="L118" s="348">
        <f t="shared" si="6"/>
        <v>102</v>
      </c>
      <c r="M118" s="341">
        <v>184</v>
      </c>
      <c r="N118" s="340" t="s">
        <v>854</v>
      </c>
      <c r="O118" s="340">
        <v>71</v>
      </c>
      <c r="P118" s="340" t="s">
        <v>944</v>
      </c>
      <c r="Q118" s="340" t="s">
        <v>0</v>
      </c>
      <c r="R118" s="340" t="s">
        <v>446</v>
      </c>
      <c r="S118" s="340" t="s">
        <v>447</v>
      </c>
      <c r="T118" s="340">
        <v>2</v>
      </c>
      <c r="U118" s="340" t="s">
        <v>0</v>
      </c>
      <c r="V118" s="340" t="s">
        <v>448</v>
      </c>
      <c r="W118" s="340" t="s">
        <v>0</v>
      </c>
      <c r="X118" s="340" t="s">
        <v>465</v>
      </c>
      <c r="Y118" s="340" t="s">
        <v>0</v>
      </c>
      <c r="Z118" s="340" t="s">
        <v>945</v>
      </c>
      <c r="AA118" s="340" t="s">
        <v>0</v>
      </c>
      <c r="AB118" s="340" t="s">
        <v>946</v>
      </c>
      <c r="AC118" s="340" t="s">
        <v>0</v>
      </c>
      <c r="AD118" s="340">
        <v>68443</v>
      </c>
      <c r="AE118" s="340" t="s">
        <v>452</v>
      </c>
      <c r="AF118" s="340" t="s">
        <v>453</v>
      </c>
      <c r="AG118" s="340" t="s">
        <v>447</v>
      </c>
      <c r="AH118" s="342">
        <v>43865</v>
      </c>
      <c r="AI118" s="340" t="s">
        <v>454</v>
      </c>
      <c r="AJ118" s="340" t="s">
        <v>455</v>
      </c>
      <c r="AK118" s="340" t="s">
        <v>456</v>
      </c>
      <c r="AL118" s="340" t="s">
        <v>457</v>
      </c>
      <c r="AM118" s="340">
        <v>6</v>
      </c>
      <c r="AN118" s="340" t="s">
        <v>458</v>
      </c>
      <c r="AO118" s="340" t="s">
        <v>459</v>
      </c>
      <c r="AP118" s="340">
        <v>3</v>
      </c>
      <c r="AQ118" s="340" t="s">
        <v>460</v>
      </c>
      <c r="AR118" s="340">
        <v>3094</v>
      </c>
      <c r="AS118" s="340" t="s">
        <v>461</v>
      </c>
      <c r="AT118" s="340">
        <v>1</v>
      </c>
      <c r="AU118" s="340" t="s">
        <v>462</v>
      </c>
      <c r="AV118" s="343">
        <v>0.375</v>
      </c>
      <c r="AW118" s="343">
        <v>0.54166666666666663</v>
      </c>
      <c r="AX118" s="340" t="s">
        <v>463</v>
      </c>
      <c r="AY118" s="340" t="s">
        <v>464</v>
      </c>
    </row>
    <row r="119" spans="1:51" x14ac:dyDescent="0.25">
      <c r="A119" s="339" t="s">
        <v>441</v>
      </c>
      <c r="B119" s="339" t="s">
        <v>442</v>
      </c>
      <c r="C119" s="339" t="s">
        <v>443</v>
      </c>
      <c r="D119" s="339">
        <v>5</v>
      </c>
      <c r="E119" s="339">
        <v>1</v>
      </c>
      <c r="F119" s="339">
        <v>6.5</v>
      </c>
      <c r="G119" s="340">
        <v>2018416500</v>
      </c>
      <c r="H119" s="346">
        <v>184165</v>
      </c>
      <c r="I119" s="348">
        <v>59</v>
      </c>
      <c r="J119" s="341">
        <v>25</v>
      </c>
      <c r="K119" s="341">
        <v>48</v>
      </c>
      <c r="L119" s="348">
        <f t="shared" si="6"/>
        <v>73</v>
      </c>
      <c r="M119" s="341">
        <v>184</v>
      </c>
      <c r="N119" s="340" t="s">
        <v>854</v>
      </c>
      <c r="O119" s="340">
        <v>22</v>
      </c>
      <c r="P119" s="340" t="s">
        <v>947</v>
      </c>
      <c r="Q119" s="340" t="s">
        <v>0</v>
      </c>
      <c r="R119" s="340" t="s">
        <v>446</v>
      </c>
      <c r="S119" s="340" t="s">
        <v>447</v>
      </c>
      <c r="T119" s="340">
        <v>2</v>
      </c>
      <c r="U119" s="340" t="s">
        <v>0</v>
      </c>
      <c r="V119" s="340" t="s">
        <v>448</v>
      </c>
      <c r="W119" s="340" t="s">
        <v>0</v>
      </c>
      <c r="X119" s="340" t="s">
        <v>948</v>
      </c>
      <c r="Y119" s="340" t="s">
        <v>0</v>
      </c>
      <c r="Z119" s="340" t="s">
        <v>949</v>
      </c>
      <c r="AA119" s="340" t="s">
        <v>0</v>
      </c>
      <c r="AB119" s="340" t="s">
        <v>950</v>
      </c>
      <c r="AC119" s="340" t="s">
        <v>0</v>
      </c>
      <c r="AD119" s="340">
        <v>68446</v>
      </c>
      <c r="AE119" s="340" t="s">
        <v>452</v>
      </c>
      <c r="AF119" s="340" t="s">
        <v>453</v>
      </c>
      <c r="AG119" s="340" t="s">
        <v>447</v>
      </c>
      <c r="AH119" s="342">
        <v>43865</v>
      </c>
      <c r="AI119" s="340" t="s">
        <v>454</v>
      </c>
      <c r="AJ119" s="340" t="s">
        <v>455</v>
      </c>
      <c r="AK119" s="340" t="s">
        <v>456</v>
      </c>
      <c r="AL119" s="340" t="s">
        <v>457</v>
      </c>
      <c r="AM119" s="340">
        <v>6</v>
      </c>
      <c r="AN119" s="340" t="s">
        <v>458</v>
      </c>
      <c r="AO119" s="340" t="s">
        <v>459</v>
      </c>
      <c r="AP119" s="340">
        <v>3</v>
      </c>
      <c r="AQ119" s="340" t="s">
        <v>460</v>
      </c>
      <c r="AR119" s="340">
        <v>3094</v>
      </c>
      <c r="AS119" s="340" t="s">
        <v>461</v>
      </c>
      <c r="AT119" s="340">
        <v>1</v>
      </c>
      <c r="AU119" s="340" t="s">
        <v>462</v>
      </c>
      <c r="AV119" s="343">
        <v>0.33333333333333331</v>
      </c>
      <c r="AW119" s="343">
        <v>0.54166666666666663</v>
      </c>
      <c r="AX119" s="340" t="s">
        <v>463</v>
      </c>
      <c r="AY119" s="340" t="s">
        <v>464</v>
      </c>
    </row>
    <row r="120" spans="1:51" x14ac:dyDescent="0.25">
      <c r="A120" s="339" t="s">
        <v>441</v>
      </c>
      <c r="B120" s="339" t="s">
        <v>442</v>
      </c>
      <c r="C120" s="339" t="s">
        <v>469</v>
      </c>
      <c r="D120" s="339">
        <v>2</v>
      </c>
      <c r="E120" s="339">
        <v>5</v>
      </c>
      <c r="F120" s="339">
        <v>6.5</v>
      </c>
      <c r="G120" s="340">
        <v>2018510100</v>
      </c>
      <c r="H120" s="346">
        <v>185101</v>
      </c>
      <c r="I120" s="348">
        <v>53</v>
      </c>
      <c r="J120" s="341">
        <v>23</v>
      </c>
      <c r="K120" s="341">
        <v>37</v>
      </c>
      <c r="L120" s="348">
        <f t="shared" si="6"/>
        <v>60</v>
      </c>
      <c r="M120" s="341">
        <v>185</v>
      </c>
      <c r="N120" s="340" t="s">
        <v>862</v>
      </c>
      <c r="O120" s="340">
        <v>13</v>
      </c>
      <c r="P120" s="340" t="s">
        <v>951</v>
      </c>
      <c r="Q120" s="340" t="s">
        <v>0</v>
      </c>
      <c r="R120" s="340" t="s">
        <v>446</v>
      </c>
      <c r="S120" s="340" t="s">
        <v>447</v>
      </c>
      <c r="T120" s="340">
        <v>2</v>
      </c>
      <c r="U120" s="340" t="s">
        <v>0</v>
      </c>
      <c r="V120" s="340" t="s">
        <v>448</v>
      </c>
      <c r="W120" s="340" t="s">
        <v>0</v>
      </c>
      <c r="X120" s="340" t="s">
        <v>952</v>
      </c>
      <c r="Y120" s="340" t="s">
        <v>0</v>
      </c>
      <c r="Z120" s="340" t="s">
        <v>450</v>
      </c>
      <c r="AA120" s="340" t="s">
        <v>0</v>
      </c>
      <c r="AB120" s="340" t="s">
        <v>953</v>
      </c>
      <c r="AC120" s="340" t="s">
        <v>0</v>
      </c>
      <c r="AD120" s="340">
        <v>71720</v>
      </c>
      <c r="AE120" s="340" t="s">
        <v>452</v>
      </c>
      <c r="AF120" s="340" t="s">
        <v>453</v>
      </c>
      <c r="AG120" s="340" t="s">
        <v>447</v>
      </c>
      <c r="AH120" s="342">
        <v>34864</v>
      </c>
      <c r="AI120" s="340" t="s">
        <v>454</v>
      </c>
      <c r="AJ120" s="340" t="s">
        <v>455</v>
      </c>
      <c r="AK120" s="340" t="s">
        <v>456</v>
      </c>
      <c r="AL120" s="340" t="s">
        <v>457</v>
      </c>
      <c r="AM120" s="340">
        <v>6</v>
      </c>
      <c r="AN120" s="340" t="s">
        <v>458</v>
      </c>
      <c r="AO120" s="340" t="s">
        <v>459</v>
      </c>
      <c r="AP120" s="340">
        <v>3</v>
      </c>
      <c r="AQ120" s="340" t="s">
        <v>460</v>
      </c>
      <c r="AR120" s="340">
        <v>3042</v>
      </c>
      <c r="AS120" s="340" t="s">
        <v>846</v>
      </c>
      <c r="AT120" s="340">
        <v>1</v>
      </c>
      <c r="AU120" s="340" t="s">
        <v>462</v>
      </c>
      <c r="AV120" s="343">
        <v>0.375</v>
      </c>
      <c r="AW120" s="343">
        <v>0.58333333333333337</v>
      </c>
      <c r="AX120" s="340" t="s">
        <v>463</v>
      </c>
      <c r="AY120" s="340" t="s">
        <v>464</v>
      </c>
    </row>
    <row r="121" spans="1:51" x14ac:dyDescent="0.25">
      <c r="A121" s="339" t="s">
        <v>441</v>
      </c>
      <c r="B121" s="339" t="s">
        <v>442</v>
      </c>
      <c r="C121" s="339" t="s">
        <v>443</v>
      </c>
      <c r="D121" s="339">
        <v>3</v>
      </c>
      <c r="E121" s="339">
        <v>4</v>
      </c>
      <c r="F121" s="339">
        <v>6.5</v>
      </c>
      <c r="G121" s="340">
        <v>2019811500</v>
      </c>
      <c r="H121" s="346">
        <v>198115</v>
      </c>
      <c r="I121" s="348">
        <v>93</v>
      </c>
      <c r="J121" s="341">
        <v>43</v>
      </c>
      <c r="K121" s="341">
        <v>91</v>
      </c>
      <c r="L121" s="348">
        <f t="shared" si="6"/>
        <v>134</v>
      </c>
      <c r="M121" s="341">
        <v>198</v>
      </c>
      <c r="N121" s="340" t="s">
        <v>955</v>
      </c>
      <c r="O121" s="340">
        <v>23</v>
      </c>
      <c r="P121" s="340" t="s">
        <v>956</v>
      </c>
      <c r="Q121" s="340" t="s">
        <v>0</v>
      </c>
      <c r="R121" s="340" t="s">
        <v>446</v>
      </c>
      <c r="S121" s="340" t="s">
        <v>447</v>
      </c>
      <c r="T121" s="340">
        <v>2</v>
      </c>
      <c r="U121" s="340" t="s">
        <v>0</v>
      </c>
      <c r="V121" s="340" t="s">
        <v>448</v>
      </c>
      <c r="W121" s="340" t="s">
        <v>0</v>
      </c>
      <c r="X121" s="340" t="s">
        <v>465</v>
      </c>
      <c r="Y121" s="340" t="s">
        <v>0</v>
      </c>
      <c r="Z121" s="340" t="s">
        <v>957</v>
      </c>
      <c r="AA121" s="340" t="s">
        <v>0</v>
      </c>
      <c r="AB121" s="340" t="s">
        <v>958</v>
      </c>
      <c r="AC121" s="340" t="s">
        <v>0</v>
      </c>
      <c r="AD121" s="340">
        <v>70331</v>
      </c>
      <c r="AE121" s="340" t="s">
        <v>452</v>
      </c>
      <c r="AF121" s="340" t="s">
        <v>453</v>
      </c>
      <c r="AG121" s="340" t="s">
        <v>447</v>
      </c>
      <c r="AH121" s="342">
        <v>44750</v>
      </c>
      <c r="AI121" s="340" t="s">
        <v>454</v>
      </c>
      <c r="AJ121" s="340" t="s">
        <v>455</v>
      </c>
      <c r="AK121" s="340" t="s">
        <v>456</v>
      </c>
      <c r="AL121" s="340" t="s">
        <v>457</v>
      </c>
      <c r="AM121" s="340">
        <v>6</v>
      </c>
      <c r="AN121" s="340" t="s">
        <v>458</v>
      </c>
      <c r="AO121" s="340" t="s">
        <v>459</v>
      </c>
      <c r="AP121" s="340">
        <v>3</v>
      </c>
      <c r="AQ121" s="340" t="s">
        <v>460</v>
      </c>
      <c r="AR121" s="340">
        <v>3108</v>
      </c>
      <c r="AS121" s="340" t="s">
        <v>475</v>
      </c>
      <c r="AT121" s="340">
        <v>208781</v>
      </c>
      <c r="AU121" s="340" t="s">
        <v>485</v>
      </c>
      <c r="AV121" s="343">
        <v>0.375</v>
      </c>
      <c r="AW121" s="343">
        <v>0.58333333333333337</v>
      </c>
      <c r="AX121" s="340" t="s">
        <v>463</v>
      </c>
      <c r="AY121" s="340" t="s">
        <v>464</v>
      </c>
    </row>
    <row r="122" spans="1:51" x14ac:dyDescent="0.25">
      <c r="A122" s="339" t="s">
        <v>441</v>
      </c>
      <c r="B122" s="339" t="s">
        <v>442</v>
      </c>
      <c r="C122" s="339" t="s">
        <v>443</v>
      </c>
      <c r="D122" s="339">
        <v>3</v>
      </c>
      <c r="E122" s="339">
        <v>4</v>
      </c>
      <c r="F122" s="339">
        <v>6.5</v>
      </c>
      <c r="G122" s="340">
        <v>2019811600</v>
      </c>
      <c r="H122" s="346">
        <v>198116</v>
      </c>
      <c r="I122" s="348">
        <v>17</v>
      </c>
      <c r="J122" s="341">
        <v>16</v>
      </c>
      <c r="K122" s="341">
        <v>18</v>
      </c>
      <c r="L122" s="348">
        <f t="shared" si="6"/>
        <v>34</v>
      </c>
      <c r="M122" s="341">
        <v>198</v>
      </c>
      <c r="N122" s="340" t="s">
        <v>955</v>
      </c>
      <c r="O122" s="340">
        <v>13</v>
      </c>
      <c r="P122" s="340" t="s">
        <v>959</v>
      </c>
      <c r="Q122" s="340" t="s">
        <v>0</v>
      </c>
      <c r="R122" s="340" t="s">
        <v>446</v>
      </c>
      <c r="S122" s="340" t="s">
        <v>447</v>
      </c>
      <c r="T122" s="340">
        <v>2</v>
      </c>
      <c r="U122" s="340" t="s">
        <v>0</v>
      </c>
      <c r="V122" s="340" t="s">
        <v>448</v>
      </c>
      <c r="W122" s="340" t="s">
        <v>0</v>
      </c>
      <c r="X122" s="340" t="s">
        <v>465</v>
      </c>
      <c r="Y122" s="340" t="s">
        <v>0</v>
      </c>
      <c r="Z122" s="340" t="s">
        <v>960</v>
      </c>
      <c r="AA122" s="340" t="s">
        <v>0</v>
      </c>
      <c r="AB122" s="340" t="s">
        <v>466</v>
      </c>
      <c r="AC122" s="340" t="s">
        <v>0</v>
      </c>
      <c r="AD122" s="340">
        <v>70330</v>
      </c>
      <c r="AE122" s="340" t="s">
        <v>452</v>
      </c>
      <c r="AF122" s="340" t="s">
        <v>453</v>
      </c>
      <c r="AG122" s="340" t="s">
        <v>447</v>
      </c>
      <c r="AH122" s="342">
        <v>44830</v>
      </c>
      <c r="AI122" s="340" t="s">
        <v>454</v>
      </c>
      <c r="AJ122" s="340" t="s">
        <v>455</v>
      </c>
      <c r="AK122" s="340" t="s">
        <v>456</v>
      </c>
      <c r="AL122" s="340" t="s">
        <v>457</v>
      </c>
      <c r="AM122" s="340">
        <v>6</v>
      </c>
      <c r="AN122" s="340" t="s">
        <v>458</v>
      </c>
      <c r="AO122" s="340" t="s">
        <v>459</v>
      </c>
      <c r="AP122" s="340">
        <v>3</v>
      </c>
      <c r="AQ122" s="340" t="s">
        <v>460</v>
      </c>
      <c r="AR122" s="340">
        <v>3108</v>
      </c>
      <c r="AS122" s="340" t="s">
        <v>475</v>
      </c>
      <c r="AT122" s="340">
        <v>1</v>
      </c>
      <c r="AU122" s="340" t="s">
        <v>462</v>
      </c>
      <c r="AV122" s="343">
        <v>0.375</v>
      </c>
      <c r="AW122" s="343">
        <v>0.58333333333333337</v>
      </c>
      <c r="AX122" s="340" t="s">
        <v>463</v>
      </c>
      <c r="AY122" s="340" t="s">
        <v>464</v>
      </c>
    </row>
    <row r="123" spans="1:51" x14ac:dyDescent="0.25">
      <c r="A123" s="339" t="s">
        <v>441</v>
      </c>
      <c r="B123" s="339" t="s">
        <v>442</v>
      </c>
      <c r="C123" s="339" t="s">
        <v>443</v>
      </c>
      <c r="D123" s="339">
        <v>3</v>
      </c>
      <c r="E123" s="339">
        <v>4</v>
      </c>
      <c r="F123" s="339">
        <v>6.5</v>
      </c>
      <c r="G123" s="340">
        <v>2019811700</v>
      </c>
      <c r="H123" s="346">
        <v>198117</v>
      </c>
      <c r="I123" s="348">
        <v>45</v>
      </c>
      <c r="J123" s="341">
        <v>22</v>
      </c>
      <c r="K123" s="341">
        <v>56</v>
      </c>
      <c r="L123" s="348">
        <f t="shared" si="6"/>
        <v>78</v>
      </c>
      <c r="M123" s="341">
        <v>198</v>
      </c>
      <c r="N123" s="340" t="s">
        <v>955</v>
      </c>
      <c r="O123" s="340">
        <v>117</v>
      </c>
      <c r="P123" s="340" t="s">
        <v>961</v>
      </c>
      <c r="Q123" s="340" t="s">
        <v>0</v>
      </c>
      <c r="R123" s="340" t="s">
        <v>446</v>
      </c>
      <c r="S123" s="340" t="s">
        <v>447</v>
      </c>
      <c r="T123" s="340">
        <v>2</v>
      </c>
      <c r="U123" s="340" t="s">
        <v>0</v>
      </c>
      <c r="V123" s="340" t="s">
        <v>448</v>
      </c>
      <c r="W123" s="340" t="s">
        <v>0</v>
      </c>
      <c r="X123" s="340" t="s">
        <v>962</v>
      </c>
      <c r="Y123" s="340" t="s">
        <v>0</v>
      </c>
      <c r="Z123" s="340" t="s">
        <v>963</v>
      </c>
      <c r="AA123" s="340" t="s">
        <v>0</v>
      </c>
      <c r="AB123" s="340" t="s">
        <v>964</v>
      </c>
      <c r="AC123" s="340" t="s">
        <v>0</v>
      </c>
      <c r="AD123" s="340">
        <v>70311</v>
      </c>
      <c r="AE123" s="340" t="s">
        <v>452</v>
      </c>
      <c r="AF123" s="340" t="s">
        <v>453</v>
      </c>
      <c r="AG123" s="340" t="s">
        <v>447</v>
      </c>
      <c r="AH123" s="342">
        <v>45201</v>
      </c>
      <c r="AI123" s="340" t="s">
        <v>454</v>
      </c>
      <c r="AJ123" s="340" t="s">
        <v>455</v>
      </c>
      <c r="AK123" s="340" t="s">
        <v>456</v>
      </c>
      <c r="AL123" s="340" t="s">
        <v>457</v>
      </c>
      <c r="AM123" s="340">
        <v>6</v>
      </c>
      <c r="AN123" s="340" t="s">
        <v>458</v>
      </c>
      <c r="AO123" s="340" t="s">
        <v>459</v>
      </c>
      <c r="AP123" s="340">
        <v>3</v>
      </c>
      <c r="AQ123" s="340" t="s">
        <v>460</v>
      </c>
      <c r="AR123" s="340">
        <v>3108</v>
      </c>
      <c r="AS123" s="340" t="s">
        <v>475</v>
      </c>
      <c r="AT123" s="340">
        <v>96995</v>
      </c>
      <c r="AU123" s="340" t="s">
        <v>965</v>
      </c>
      <c r="AV123" s="343">
        <v>0.375</v>
      </c>
      <c r="AW123" s="343">
        <v>0.58333333333333337</v>
      </c>
      <c r="AX123" s="340" t="s">
        <v>463</v>
      </c>
      <c r="AY123" s="340" t="s">
        <v>464</v>
      </c>
    </row>
    <row r="124" spans="1:51" x14ac:dyDescent="0.25">
      <c r="A124" s="339" t="s">
        <v>441</v>
      </c>
      <c r="B124" s="339" t="s">
        <v>442</v>
      </c>
      <c r="C124" s="339" t="s">
        <v>443</v>
      </c>
      <c r="D124" s="339">
        <v>3</v>
      </c>
      <c r="E124" s="339">
        <v>4</v>
      </c>
      <c r="F124" s="339">
        <v>6.5</v>
      </c>
      <c r="G124" s="340">
        <v>2019811800</v>
      </c>
      <c r="H124" s="346">
        <v>198118</v>
      </c>
      <c r="I124" s="348">
        <v>66</v>
      </c>
      <c r="J124" s="341">
        <v>62</v>
      </c>
      <c r="K124" s="341">
        <v>61</v>
      </c>
      <c r="L124" s="348">
        <f t="shared" si="6"/>
        <v>123</v>
      </c>
      <c r="M124" s="341">
        <v>198</v>
      </c>
      <c r="N124" s="340" t="s">
        <v>955</v>
      </c>
      <c r="O124" s="340">
        <v>21</v>
      </c>
      <c r="P124" s="340" t="s">
        <v>966</v>
      </c>
      <c r="Q124" s="340" t="s">
        <v>0</v>
      </c>
      <c r="R124" s="340" t="s">
        <v>446</v>
      </c>
      <c r="S124" s="340" t="s">
        <v>447</v>
      </c>
      <c r="T124" s="340">
        <v>2</v>
      </c>
      <c r="U124" s="340" t="s">
        <v>0</v>
      </c>
      <c r="V124" s="340" t="s">
        <v>448</v>
      </c>
      <c r="W124" s="340" t="s">
        <v>0</v>
      </c>
      <c r="X124" s="340" t="s">
        <v>967</v>
      </c>
      <c r="Y124" s="340" t="s">
        <v>0</v>
      </c>
      <c r="Z124" s="340" t="s">
        <v>968</v>
      </c>
      <c r="AA124" s="340" t="s">
        <v>0</v>
      </c>
      <c r="AB124" s="340" t="s">
        <v>969</v>
      </c>
      <c r="AC124" s="340" t="s">
        <v>0</v>
      </c>
      <c r="AD124" s="340">
        <v>70347</v>
      </c>
      <c r="AE124" s="340" t="s">
        <v>452</v>
      </c>
      <c r="AF124" s="340" t="s">
        <v>453</v>
      </c>
      <c r="AG124" s="340" t="s">
        <v>447</v>
      </c>
      <c r="AH124" s="342">
        <v>45377</v>
      </c>
      <c r="AI124" s="340" t="s">
        <v>454</v>
      </c>
      <c r="AJ124" s="340" t="s">
        <v>455</v>
      </c>
      <c r="AK124" s="340" t="s">
        <v>456</v>
      </c>
      <c r="AL124" s="340" t="s">
        <v>457</v>
      </c>
      <c r="AM124" s="340">
        <v>6</v>
      </c>
      <c r="AN124" s="340" t="s">
        <v>458</v>
      </c>
      <c r="AO124" s="340" t="s">
        <v>459</v>
      </c>
      <c r="AP124" s="340">
        <v>3</v>
      </c>
      <c r="AQ124" s="340" t="s">
        <v>460</v>
      </c>
      <c r="AR124" s="340">
        <v>3108</v>
      </c>
      <c r="AS124" s="340" t="s">
        <v>475</v>
      </c>
      <c r="AT124" s="340">
        <v>3</v>
      </c>
      <c r="AU124" s="340" t="s">
        <v>970</v>
      </c>
      <c r="AV124" s="343">
        <v>0.375</v>
      </c>
      <c r="AW124" s="343">
        <v>0.58333333333333337</v>
      </c>
      <c r="AX124" s="340" t="s">
        <v>463</v>
      </c>
      <c r="AY124" s="340" t="s">
        <v>464</v>
      </c>
    </row>
    <row r="125" spans="1:51" x14ac:dyDescent="0.25">
      <c r="A125" s="339" t="s">
        <v>441</v>
      </c>
      <c r="B125" s="339" t="s">
        <v>442</v>
      </c>
      <c r="C125" s="339" t="s">
        <v>443</v>
      </c>
      <c r="D125" s="339">
        <v>3</v>
      </c>
      <c r="E125" s="339">
        <v>4</v>
      </c>
      <c r="F125" s="339">
        <v>6.5</v>
      </c>
      <c r="G125" s="340">
        <v>2019811900</v>
      </c>
      <c r="H125" s="346">
        <v>198119</v>
      </c>
      <c r="I125" s="348">
        <v>142</v>
      </c>
      <c r="J125" s="341">
        <v>75</v>
      </c>
      <c r="K125" s="341">
        <v>102</v>
      </c>
      <c r="L125" s="348">
        <f t="shared" si="6"/>
        <v>177</v>
      </c>
      <c r="M125" s="341">
        <v>198</v>
      </c>
      <c r="N125" s="340" t="s">
        <v>955</v>
      </c>
      <c r="O125" s="340">
        <v>18</v>
      </c>
      <c r="P125" s="340" t="s">
        <v>971</v>
      </c>
      <c r="Q125" s="340" t="s">
        <v>0</v>
      </c>
      <c r="R125" s="340" t="s">
        <v>446</v>
      </c>
      <c r="S125" s="340" t="s">
        <v>447</v>
      </c>
      <c r="T125" s="340">
        <v>2</v>
      </c>
      <c r="U125" s="340" t="s">
        <v>0</v>
      </c>
      <c r="V125" s="340" t="s">
        <v>448</v>
      </c>
      <c r="W125" s="340" t="s">
        <v>0</v>
      </c>
      <c r="X125" s="340" t="s">
        <v>465</v>
      </c>
      <c r="Y125" s="340" t="s">
        <v>0</v>
      </c>
      <c r="Z125" s="340" t="s">
        <v>972</v>
      </c>
      <c r="AA125" s="340" t="s">
        <v>0</v>
      </c>
      <c r="AB125" s="340" t="s">
        <v>973</v>
      </c>
      <c r="AC125" s="340" t="s">
        <v>0</v>
      </c>
      <c r="AD125" s="340">
        <v>70330</v>
      </c>
      <c r="AE125" s="340" t="s">
        <v>452</v>
      </c>
      <c r="AF125" s="340" t="s">
        <v>453</v>
      </c>
      <c r="AG125" s="340" t="s">
        <v>447</v>
      </c>
      <c r="AH125" s="342">
        <v>45929</v>
      </c>
      <c r="AI125" s="340" t="s">
        <v>454</v>
      </c>
      <c r="AJ125" s="340" t="s">
        <v>455</v>
      </c>
      <c r="AK125" s="340" t="s">
        <v>456</v>
      </c>
      <c r="AL125" s="340" t="s">
        <v>457</v>
      </c>
      <c r="AM125" s="340">
        <v>6</v>
      </c>
      <c r="AN125" s="340" t="s">
        <v>458</v>
      </c>
      <c r="AO125" s="340" t="s">
        <v>459</v>
      </c>
      <c r="AP125" s="340">
        <v>3</v>
      </c>
      <c r="AQ125" s="340" t="s">
        <v>460</v>
      </c>
      <c r="AR125" s="340">
        <v>3108</v>
      </c>
      <c r="AS125" s="340" t="s">
        <v>475</v>
      </c>
      <c r="AT125" s="340">
        <v>207271</v>
      </c>
      <c r="AU125" s="340" t="s">
        <v>974</v>
      </c>
      <c r="AV125" s="343">
        <v>0.375</v>
      </c>
      <c r="AW125" s="343">
        <v>0.58333333333333337</v>
      </c>
      <c r="AX125" s="340" t="s">
        <v>463</v>
      </c>
      <c r="AY125" s="340" t="s">
        <v>464</v>
      </c>
    </row>
    <row r="126" spans="1:51" x14ac:dyDescent="0.25">
      <c r="A126" s="339" t="s">
        <v>441</v>
      </c>
      <c r="B126" s="339" t="s">
        <v>442</v>
      </c>
      <c r="C126" s="339" t="s">
        <v>443</v>
      </c>
      <c r="D126" s="339">
        <v>3</v>
      </c>
      <c r="E126" s="339">
        <v>1</v>
      </c>
      <c r="F126" s="339">
        <v>6.5</v>
      </c>
      <c r="G126" s="340">
        <v>2020410100</v>
      </c>
      <c r="H126" s="346">
        <v>204101</v>
      </c>
      <c r="I126" s="348">
        <v>17</v>
      </c>
      <c r="J126" s="341">
        <v>12</v>
      </c>
      <c r="K126" s="341">
        <v>16</v>
      </c>
      <c r="L126" s="348">
        <f t="shared" si="6"/>
        <v>28</v>
      </c>
      <c r="M126" s="341">
        <v>204</v>
      </c>
      <c r="N126" s="340" t="s">
        <v>975</v>
      </c>
      <c r="O126" s="340">
        <v>1</v>
      </c>
      <c r="P126" s="340" t="s">
        <v>975</v>
      </c>
      <c r="Q126" s="340" t="s">
        <v>0</v>
      </c>
      <c r="R126" s="340" t="s">
        <v>446</v>
      </c>
      <c r="S126" s="340" t="s">
        <v>447</v>
      </c>
      <c r="T126" s="340">
        <v>2</v>
      </c>
      <c r="U126" s="340" t="s">
        <v>0</v>
      </c>
      <c r="V126" s="340" t="s">
        <v>448</v>
      </c>
      <c r="W126" s="340" t="s">
        <v>0</v>
      </c>
      <c r="X126" s="340" t="s">
        <v>521</v>
      </c>
      <c r="Y126" s="340" t="s">
        <v>0</v>
      </c>
      <c r="Z126" s="340" t="s">
        <v>976</v>
      </c>
      <c r="AA126" s="340" t="s">
        <v>0</v>
      </c>
      <c r="AB126" s="340" t="s">
        <v>466</v>
      </c>
      <c r="AC126" s="340" t="s">
        <v>0</v>
      </c>
      <c r="AD126" s="340">
        <v>70546</v>
      </c>
      <c r="AE126" s="340" t="s">
        <v>452</v>
      </c>
      <c r="AF126" s="340" t="s">
        <v>453</v>
      </c>
      <c r="AG126" s="340" t="s">
        <v>447</v>
      </c>
      <c r="AH126" s="342">
        <v>44909</v>
      </c>
      <c r="AI126" s="340" t="s">
        <v>454</v>
      </c>
      <c r="AJ126" s="340" t="s">
        <v>455</v>
      </c>
      <c r="AK126" s="340" t="s">
        <v>456</v>
      </c>
      <c r="AL126" s="340" t="s">
        <v>457</v>
      </c>
      <c r="AM126" s="340">
        <v>6</v>
      </c>
      <c r="AN126" s="340" t="s">
        <v>458</v>
      </c>
      <c r="AO126" s="340" t="s">
        <v>459</v>
      </c>
      <c r="AP126" s="340">
        <v>3</v>
      </c>
      <c r="AQ126" s="340" t="s">
        <v>460</v>
      </c>
      <c r="AR126" s="340">
        <v>3198</v>
      </c>
      <c r="AS126" s="340" t="s">
        <v>596</v>
      </c>
      <c r="AT126" s="340">
        <v>1</v>
      </c>
      <c r="AU126" s="340" t="s">
        <v>462</v>
      </c>
      <c r="AV126" s="343">
        <v>0.375</v>
      </c>
      <c r="AW126" s="343">
        <v>0.58333333333333337</v>
      </c>
      <c r="AX126" s="340" t="s">
        <v>463</v>
      </c>
      <c r="AY126" s="340" t="s">
        <v>464</v>
      </c>
    </row>
    <row r="127" spans="1:51" x14ac:dyDescent="0.25">
      <c r="A127" s="339" t="s">
        <v>441</v>
      </c>
      <c r="B127" s="339" t="s">
        <v>442</v>
      </c>
      <c r="C127" s="339" t="s">
        <v>443</v>
      </c>
      <c r="D127" s="339">
        <v>3</v>
      </c>
      <c r="E127" s="339">
        <v>4</v>
      </c>
      <c r="F127" s="339">
        <v>6.5</v>
      </c>
      <c r="G127" s="340">
        <v>2020710400</v>
      </c>
      <c r="H127" s="346">
        <v>207104</v>
      </c>
      <c r="I127" s="348">
        <v>44</v>
      </c>
      <c r="J127" s="341">
        <v>45</v>
      </c>
      <c r="K127" s="341">
        <v>50</v>
      </c>
      <c r="L127" s="348">
        <f t="shared" si="6"/>
        <v>95</v>
      </c>
      <c r="M127" s="341">
        <v>207</v>
      </c>
      <c r="N127" s="340" t="s">
        <v>977</v>
      </c>
      <c r="O127" s="340">
        <v>3</v>
      </c>
      <c r="P127" s="340" t="s">
        <v>978</v>
      </c>
      <c r="Q127" s="340" t="s">
        <v>0</v>
      </c>
      <c r="R127" s="340" t="s">
        <v>446</v>
      </c>
      <c r="S127" s="340" t="s">
        <v>447</v>
      </c>
      <c r="T127" s="340">
        <v>2</v>
      </c>
      <c r="U127" s="340" t="s">
        <v>0</v>
      </c>
      <c r="V127" s="340" t="s">
        <v>448</v>
      </c>
      <c r="W127" s="340" t="s">
        <v>0</v>
      </c>
      <c r="X127" s="340" t="s">
        <v>979</v>
      </c>
      <c r="Y127" s="340" t="s">
        <v>0</v>
      </c>
      <c r="Z127" s="340" t="s">
        <v>980</v>
      </c>
      <c r="AA127" s="340" t="s">
        <v>0</v>
      </c>
      <c r="AB127" s="340" t="s">
        <v>981</v>
      </c>
      <c r="AC127" s="340" t="s">
        <v>0</v>
      </c>
      <c r="AD127" s="340">
        <v>70247</v>
      </c>
      <c r="AE127" s="340" t="s">
        <v>452</v>
      </c>
      <c r="AF127" s="340" t="s">
        <v>453</v>
      </c>
      <c r="AG127" s="340" t="s">
        <v>447</v>
      </c>
      <c r="AH127" s="342">
        <v>45839</v>
      </c>
      <c r="AI127" s="340" t="s">
        <v>454</v>
      </c>
      <c r="AJ127" s="340" t="s">
        <v>455</v>
      </c>
      <c r="AK127" s="340" t="s">
        <v>456</v>
      </c>
      <c r="AL127" s="340" t="s">
        <v>457</v>
      </c>
      <c r="AM127" s="340">
        <v>6</v>
      </c>
      <c r="AN127" s="340" t="s">
        <v>458</v>
      </c>
      <c r="AO127" s="340" t="s">
        <v>459</v>
      </c>
      <c r="AP127" s="340">
        <v>3</v>
      </c>
      <c r="AQ127" s="340" t="s">
        <v>460</v>
      </c>
      <c r="AR127" s="340">
        <v>3108</v>
      </c>
      <c r="AS127" s="340" t="s">
        <v>475</v>
      </c>
      <c r="AT127" s="340">
        <v>208927</v>
      </c>
      <c r="AU127" s="340" t="s">
        <v>982</v>
      </c>
      <c r="AV127" s="343">
        <v>0.375</v>
      </c>
      <c r="AW127" s="343">
        <v>0.58333333333333337</v>
      </c>
      <c r="AX127" s="340" t="s">
        <v>463</v>
      </c>
      <c r="AY127" s="340" t="s">
        <v>464</v>
      </c>
    </row>
    <row r="128" spans="1:51" x14ac:dyDescent="0.25">
      <c r="A128" s="339" t="s">
        <v>441</v>
      </c>
      <c r="B128" s="339" t="s">
        <v>442</v>
      </c>
      <c r="C128" s="339" t="s">
        <v>443</v>
      </c>
      <c r="D128" s="339">
        <v>4</v>
      </c>
      <c r="E128" s="339">
        <v>4</v>
      </c>
      <c r="F128" s="339">
        <v>6.5</v>
      </c>
      <c r="G128" s="340">
        <v>2021510100</v>
      </c>
      <c r="H128" s="346">
        <v>215101</v>
      </c>
      <c r="I128" s="348">
        <v>76</v>
      </c>
      <c r="J128" s="341">
        <v>37</v>
      </c>
      <c r="K128" s="341">
        <v>75</v>
      </c>
      <c r="L128" s="348">
        <f t="shared" si="6"/>
        <v>112</v>
      </c>
      <c r="M128" s="341">
        <v>215</v>
      </c>
      <c r="N128" s="340" t="s">
        <v>985</v>
      </c>
      <c r="O128" s="340">
        <v>1</v>
      </c>
      <c r="P128" s="340" t="s">
        <v>985</v>
      </c>
      <c r="Q128" s="340" t="s">
        <v>0</v>
      </c>
      <c r="R128" s="340" t="s">
        <v>446</v>
      </c>
      <c r="S128" s="340" t="s">
        <v>447</v>
      </c>
      <c r="T128" s="340">
        <v>3</v>
      </c>
      <c r="U128" s="340" t="s">
        <v>0</v>
      </c>
      <c r="V128" s="340" t="s">
        <v>472</v>
      </c>
      <c r="W128" s="340" t="s">
        <v>0</v>
      </c>
      <c r="X128" s="340" t="s">
        <v>986</v>
      </c>
      <c r="Y128" s="340" t="s">
        <v>0</v>
      </c>
      <c r="Z128" s="340" t="s">
        <v>987</v>
      </c>
      <c r="AA128" s="340" t="s">
        <v>0</v>
      </c>
      <c r="AB128" s="340" t="s">
        <v>988</v>
      </c>
      <c r="AC128" s="340" t="s">
        <v>0</v>
      </c>
      <c r="AD128" s="340">
        <v>69675</v>
      </c>
      <c r="AE128" s="340" t="s">
        <v>452</v>
      </c>
      <c r="AF128" s="340" t="s">
        <v>453</v>
      </c>
      <c r="AG128" s="340" t="s">
        <v>447</v>
      </c>
      <c r="AH128" s="342">
        <v>44179</v>
      </c>
      <c r="AI128" s="340" t="s">
        <v>454</v>
      </c>
      <c r="AJ128" s="340" t="s">
        <v>455</v>
      </c>
      <c r="AK128" s="340" t="s">
        <v>456</v>
      </c>
      <c r="AL128" s="340" t="s">
        <v>457</v>
      </c>
      <c r="AM128" s="340">
        <v>6</v>
      </c>
      <c r="AN128" s="340" t="s">
        <v>458</v>
      </c>
      <c r="AO128" s="340" t="s">
        <v>459</v>
      </c>
      <c r="AP128" s="340">
        <v>3</v>
      </c>
      <c r="AQ128" s="340" t="s">
        <v>460</v>
      </c>
      <c r="AR128" s="340">
        <v>3147</v>
      </c>
      <c r="AS128" s="340" t="s">
        <v>518</v>
      </c>
      <c r="AT128" s="340">
        <v>1</v>
      </c>
      <c r="AU128" s="340" t="s">
        <v>462</v>
      </c>
      <c r="AV128" s="343">
        <v>0.375</v>
      </c>
      <c r="AW128" s="343">
        <v>0.58333333333333337</v>
      </c>
      <c r="AX128" s="340" t="s">
        <v>463</v>
      </c>
      <c r="AY128" s="340" t="s">
        <v>464</v>
      </c>
    </row>
    <row r="129" spans="1:51" x14ac:dyDescent="0.25">
      <c r="A129" s="339" t="s">
        <v>441</v>
      </c>
      <c r="B129" s="339" t="s">
        <v>442</v>
      </c>
      <c r="C129" s="339" t="s">
        <v>469</v>
      </c>
      <c r="D129" s="339">
        <v>4</v>
      </c>
      <c r="E129" s="339">
        <v>3</v>
      </c>
      <c r="F129" s="339">
        <v>6.5</v>
      </c>
      <c r="G129" s="340">
        <v>2022110200</v>
      </c>
      <c r="H129" s="346">
        <v>221102</v>
      </c>
      <c r="I129" s="348">
        <v>65</v>
      </c>
      <c r="J129" s="341">
        <v>31</v>
      </c>
      <c r="K129" s="341">
        <v>63</v>
      </c>
      <c r="L129" s="348">
        <f t="shared" ref="L129:L147" si="7">J129+K129</f>
        <v>94</v>
      </c>
      <c r="M129" s="341">
        <v>221</v>
      </c>
      <c r="N129" s="340" t="s">
        <v>989</v>
      </c>
      <c r="O129" s="340">
        <v>1</v>
      </c>
      <c r="P129" s="340" t="s">
        <v>989</v>
      </c>
      <c r="Q129" s="340" t="s">
        <v>0</v>
      </c>
      <c r="R129" s="340" t="s">
        <v>446</v>
      </c>
      <c r="S129" s="340" t="s">
        <v>447</v>
      </c>
      <c r="T129" s="340">
        <v>4</v>
      </c>
      <c r="U129" s="340" t="s">
        <v>0</v>
      </c>
      <c r="V129" s="340" t="s">
        <v>498</v>
      </c>
      <c r="W129" s="340" t="s">
        <v>0</v>
      </c>
      <c r="X129" s="340" t="s">
        <v>516</v>
      </c>
      <c r="Y129" s="340" t="s">
        <v>0</v>
      </c>
      <c r="Z129" s="340" t="s">
        <v>450</v>
      </c>
      <c r="AA129" s="340" t="s">
        <v>0</v>
      </c>
      <c r="AB129" s="340" t="s">
        <v>990</v>
      </c>
      <c r="AC129" s="340" t="s">
        <v>0</v>
      </c>
      <c r="AD129" s="340">
        <v>69560</v>
      </c>
      <c r="AE129" s="340" t="s">
        <v>452</v>
      </c>
      <c r="AF129" s="340" t="s">
        <v>453</v>
      </c>
      <c r="AG129" s="340" t="s">
        <v>447</v>
      </c>
      <c r="AH129" s="342">
        <v>40816</v>
      </c>
      <c r="AI129" s="340" t="s">
        <v>454</v>
      </c>
      <c r="AJ129" s="340" t="s">
        <v>455</v>
      </c>
      <c r="AK129" s="340" t="s">
        <v>456</v>
      </c>
      <c r="AL129" s="340" t="s">
        <v>457</v>
      </c>
      <c r="AM129" s="340">
        <v>6</v>
      </c>
      <c r="AN129" s="340" t="s">
        <v>458</v>
      </c>
      <c r="AO129" s="340" t="s">
        <v>459</v>
      </c>
      <c r="AP129" s="340">
        <v>3</v>
      </c>
      <c r="AQ129" s="340" t="s">
        <v>460</v>
      </c>
      <c r="AR129" s="340">
        <v>3151</v>
      </c>
      <c r="AS129" s="340" t="s">
        <v>715</v>
      </c>
      <c r="AT129" s="340">
        <v>1</v>
      </c>
      <c r="AU129" s="340" t="s">
        <v>462</v>
      </c>
      <c r="AV129" s="343">
        <v>0.375</v>
      </c>
      <c r="AW129" s="343">
        <v>0.54166666666666663</v>
      </c>
      <c r="AX129" s="340" t="s">
        <v>463</v>
      </c>
      <c r="AY129" s="340" t="s">
        <v>464</v>
      </c>
    </row>
    <row r="130" spans="1:51" x14ac:dyDescent="0.25">
      <c r="A130" s="339" t="s">
        <v>441</v>
      </c>
      <c r="B130" s="339" t="s">
        <v>442</v>
      </c>
      <c r="C130" s="339" t="s">
        <v>469</v>
      </c>
      <c r="D130" s="339">
        <v>4</v>
      </c>
      <c r="E130" s="339">
        <v>5</v>
      </c>
      <c r="F130" s="339">
        <v>6.5</v>
      </c>
      <c r="G130" s="340">
        <v>2022410200</v>
      </c>
      <c r="H130" s="346">
        <v>224102</v>
      </c>
      <c r="I130" s="348">
        <v>115</v>
      </c>
      <c r="J130" s="341">
        <v>41</v>
      </c>
      <c r="K130" s="341">
        <v>119</v>
      </c>
      <c r="L130" s="348">
        <f t="shared" si="7"/>
        <v>160</v>
      </c>
      <c r="M130" s="341">
        <v>404</v>
      </c>
      <c r="N130" s="340" t="s">
        <v>991</v>
      </c>
      <c r="O130" s="340">
        <v>1</v>
      </c>
      <c r="P130" s="340" t="s">
        <v>992</v>
      </c>
      <c r="Q130" s="340" t="s">
        <v>0</v>
      </c>
      <c r="R130" s="340" t="s">
        <v>446</v>
      </c>
      <c r="S130" s="340" t="s">
        <v>447</v>
      </c>
      <c r="T130" s="340">
        <v>3</v>
      </c>
      <c r="U130" s="340" t="s">
        <v>0</v>
      </c>
      <c r="V130" s="340" t="s">
        <v>472</v>
      </c>
      <c r="W130" s="340" t="s">
        <v>0</v>
      </c>
      <c r="X130" s="340" t="s">
        <v>521</v>
      </c>
      <c r="Y130" s="340" t="s">
        <v>0</v>
      </c>
      <c r="Z130" s="340" t="s">
        <v>450</v>
      </c>
      <c r="AA130" s="340" t="s">
        <v>0</v>
      </c>
      <c r="AB130" s="340" t="s">
        <v>993</v>
      </c>
      <c r="AC130" s="340" t="s">
        <v>0</v>
      </c>
      <c r="AD130" s="340">
        <v>69630</v>
      </c>
      <c r="AE130" s="340" t="s">
        <v>452</v>
      </c>
      <c r="AF130" s="340" t="s">
        <v>453</v>
      </c>
      <c r="AG130" s="340" t="s">
        <v>447</v>
      </c>
      <c r="AH130" s="342">
        <v>41942</v>
      </c>
      <c r="AI130" s="340" t="s">
        <v>454</v>
      </c>
      <c r="AJ130" s="340" t="s">
        <v>455</v>
      </c>
      <c r="AK130" s="340" t="s">
        <v>456</v>
      </c>
      <c r="AL130" s="340" t="s">
        <v>457</v>
      </c>
      <c r="AM130" s="340">
        <v>6</v>
      </c>
      <c r="AN130" s="340" t="s">
        <v>458</v>
      </c>
      <c r="AO130" s="340" t="s">
        <v>459</v>
      </c>
      <c r="AP130" s="340">
        <v>3</v>
      </c>
      <c r="AQ130" s="340" t="s">
        <v>460</v>
      </c>
      <c r="AR130" s="340">
        <v>3033</v>
      </c>
      <c r="AS130" s="340" t="s">
        <v>825</v>
      </c>
      <c r="AT130" s="340">
        <v>1</v>
      </c>
      <c r="AU130" s="340" t="s">
        <v>462</v>
      </c>
      <c r="AV130" s="343">
        <v>0.375</v>
      </c>
      <c r="AW130" s="343">
        <v>0.58333333333333337</v>
      </c>
      <c r="AX130" s="340" t="s">
        <v>463</v>
      </c>
      <c r="AY130" s="340" t="s">
        <v>464</v>
      </c>
    </row>
    <row r="131" spans="1:51" x14ac:dyDescent="0.25">
      <c r="A131" s="339" t="s">
        <v>441</v>
      </c>
      <c r="B131" s="339" t="s">
        <v>442</v>
      </c>
      <c r="C131" s="339" t="s">
        <v>469</v>
      </c>
      <c r="D131" s="339">
        <v>4</v>
      </c>
      <c r="E131" s="339">
        <v>7</v>
      </c>
      <c r="F131" s="339">
        <v>6.5</v>
      </c>
      <c r="G131" s="340">
        <v>2023710100</v>
      </c>
      <c r="H131" s="346">
        <v>237101</v>
      </c>
      <c r="I131" s="348">
        <v>67</v>
      </c>
      <c r="J131" s="341">
        <v>31</v>
      </c>
      <c r="K131" s="341">
        <v>76</v>
      </c>
      <c r="L131" s="348">
        <f t="shared" si="7"/>
        <v>107</v>
      </c>
      <c r="M131" s="341">
        <v>237</v>
      </c>
      <c r="N131" s="340" t="s">
        <v>994</v>
      </c>
      <c r="O131" s="340">
        <v>1</v>
      </c>
      <c r="P131" s="340" t="s">
        <v>994</v>
      </c>
      <c r="Q131" s="340" t="s">
        <v>0</v>
      </c>
      <c r="R131" s="340" t="s">
        <v>446</v>
      </c>
      <c r="S131" s="340" t="s">
        <v>447</v>
      </c>
      <c r="T131" s="340">
        <v>3</v>
      </c>
      <c r="U131" s="340" t="s">
        <v>0</v>
      </c>
      <c r="V131" s="340" t="s">
        <v>472</v>
      </c>
      <c r="W131" s="340" t="s">
        <v>0</v>
      </c>
      <c r="X131" s="340" t="s">
        <v>995</v>
      </c>
      <c r="Y131" s="340" t="s">
        <v>0</v>
      </c>
      <c r="Z131" s="340" t="s">
        <v>450</v>
      </c>
      <c r="AA131" s="340" t="s">
        <v>0</v>
      </c>
      <c r="AB131" s="340" t="s">
        <v>996</v>
      </c>
      <c r="AC131" s="340" t="s">
        <v>0</v>
      </c>
      <c r="AD131" s="340">
        <v>69270</v>
      </c>
      <c r="AE131" s="340" t="s">
        <v>452</v>
      </c>
      <c r="AF131" s="340" t="s">
        <v>453</v>
      </c>
      <c r="AG131" s="340" t="s">
        <v>447</v>
      </c>
      <c r="AH131" s="342">
        <v>36760</v>
      </c>
      <c r="AI131" s="340" t="s">
        <v>454</v>
      </c>
      <c r="AJ131" s="340" t="s">
        <v>455</v>
      </c>
      <c r="AK131" s="340" t="s">
        <v>456</v>
      </c>
      <c r="AL131" s="340" t="s">
        <v>457</v>
      </c>
      <c r="AM131" s="340">
        <v>6</v>
      </c>
      <c r="AN131" s="340" t="s">
        <v>458</v>
      </c>
      <c r="AO131" s="340" t="s">
        <v>459</v>
      </c>
      <c r="AP131" s="340">
        <v>3</v>
      </c>
      <c r="AQ131" s="340" t="s">
        <v>460</v>
      </c>
      <c r="AR131" s="340">
        <v>3146</v>
      </c>
      <c r="AS131" s="340" t="s">
        <v>545</v>
      </c>
      <c r="AT131" s="340">
        <v>1</v>
      </c>
      <c r="AU131" s="340" t="s">
        <v>462</v>
      </c>
      <c r="AV131" s="343">
        <v>0.39583333333333331</v>
      </c>
      <c r="AW131" s="343">
        <v>0.58333333333333337</v>
      </c>
      <c r="AX131" s="340" t="s">
        <v>463</v>
      </c>
      <c r="AY131" s="340" t="s">
        <v>464</v>
      </c>
    </row>
    <row r="132" spans="1:51" x14ac:dyDescent="0.25">
      <c r="A132" s="339" t="s">
        <v>441</v>
      </c>
      <c r="B132" s="339" t="s">
        <v>442</v>
      </c>
      <c r="C132" s="339" t="s">
        <v>443</v>
      </c>
      <c r="D132" s="339">
        <v>4</v>
      </c>
      <c r="E132" s="339">
        <v>3</v>
      </c>
      <c r="F132" s="339">
        <v>6.5</v>
      </c>
      <c r="G132" s="340">
        <v>2023910100</v>
      </c>
      <c r="H132" s="346">
        <v>239101</v>
      </c>
      <c r="I132" s="348">
        <v>49</v>
      </c>
      <c r="J132" s="341">
        <v>18</v>
      </c>
      <c r="K132" s="341">
        <v>52</v>
      </c>
      <c r="L132" s="348">
        <f t="shared" si="7"/>
        <v>70</v>
      </c>
      <c r="M132" s="341">
        <v>239</v>
      </c>
      <c r="N132" s="340" t="s">
        <v>997</v>
      </c>
      <c r="O132" s="340">
        <v>1</v>
      </c>
      <c r="P132" s="340" t="s">
        <v>998</v>
      </c>
      <c r="Q132" s="340" t="s">
        <v>0</v>
      </c>
      <c r="R132" s="340" t="s">
        <v>446</v>
      </c>
      <c r="S132" s="340" t="s">
        <v>447</v>
      </c>
      <c r="T132" s="340">
        <v>2</v>
      </c>
      <c r="U132" s="340" t="s">
        <v>0</v>
      </c>
      <c r="V132" s="340" t="s">
        <v>448</v>
      </c>
      <c r="W132" s="340" t="s">
        <v>0</v>
      </c>
      <c r="X132" s="340" t="s">
        <v>999</v>
      </c>
      <c r="Y132" s="340" t="s">
        <v>0</v>
      </c>
      <c r="Z132" s="340" t="s">
        <v>1000</v>
      </c>
      <c r="AA132" s="340" t="s">
        <v>0</v>
      </c>
      <c r="AB132" s="340" t="s">
        <v>1001</v>
      </c>
      <c r="AC132" s="340" t="s">
        <v>0</v>
      </c>
      <c r="AD132" s="340">
        <v>69815</v>
      </c>
      <c r="AE132" s="340" t="s">
        <v>452</v>
      </c>
      <c r="AF132" s="340" t="s">
        <v>453</v>
      </c>
      <c r="AG132" s="340" t="s">
        <v>447</v>
      </c>
      <c r="AH132" s="342">
        <v>44148</v>
      </c>
      <c r="AI132" s="340" t="s">
        <v>454</v>
      </c>
      <c r="AJ132" s="340" t="s">
        <v>455</v>
      </c>
      <c r="AK132" s="340" t="s">
        <v>456</v>
      </c>
      <c r="AL132" s="340" t="s">
        <v>457</v>
      </c>
      <c r="AM132" s="340">
        <v>6</v>
      </c>
      <c r="AN132" s="340" t="s">
        <v>458</v>
      </c>
      <c r="AO132" s="340" t="s">
        <v>459</v>
      </c>
      <c r="AP132" s="340">
        <v>3</v>
      </c>
      <c r="AQ132" s="340" t="s">
        <v>460</v>
      </c>
      <c r="AR132" s="340">
        <v>3151</v>
      </c>
      <c r="AS132" s="340" t="s">
        <v>715</v>
      </c>
      <c r="AT132" s="340">
        <v>1</v>
      </c>
      <c r="AU132" s="340" t="s">
        <v>462</v>
      </c>
      <c r="AV132" s="343">
        <v>0.375</v>
      </c>
      <c r="AW132" s="343">
        <v>0.58333333333333337</v>
      </c>
      <c r="AX132" s="340" t="s">
        <v>463</v>
      </c>
      <c r="AY132" s="340" t="s">
        <v>464</v>
      </c>
    </row>
    <row r="133" spans="1:51" x14ac:dyDescent="0.25">
      <c r="A133" s="339" t="s">
        <v>441</v>
      </c>
      <c r="B133" s="339" t="s">
        <v>442</v>
      </c>
      <c r="C133" s="339" t="s">
        <v>443</v>
      </c>
      <c r="D133" s="339">
        <v>6</v>
      </c>
      <c r="E133" s="339">
        <v>1</v>
      </c>
      <c r="F133" s="339">
        <v>6.5</v>
      </c>
      <c r="G133" s="340">
        <v>2024710100</v>
      </c>
      <c r="H133" s="346">
        <v>247101</v>
      </c>
      <c r="I133" s="348">
        <v>57</v>
      </c>
      <c r="J133" s="341">
        <v>30</v>
      </c>
      <c r="K133" s="341">
        <v>48</v>
      </c>
      <c r="L133" s="348">
        <f t="shared" si="7"/>
        <v>78</v>
      </c>
      <c r="M133" s="341">
        <v>247</v>
      </c>
      <c r="N133" s="340" t="s">
        <v>1002</v>
      </c>
      <c r="O133" s="340">
        <v>1</v>
      </c>
      <c r="P133" s="340" t="s">
        <v>1003</v>
      </c>
      <c r="Q133" s="340" t="s">
        <v>0</v>
      </c>
      <c r="R133" s="340" t="s">
        <v>446</v>
      </c>
      <c r="S133" s="340" t="s">
        <v>447</v>
      </c>
      <c r="T133" s="340">
        <v>4</v>
      </c>
      <c r="U133" s="340" t="s">
        <v>0</v>
      </c>
      <c r="V133" s="340" t="s">
        <v>498</v>
      </c>
      <c r="W133" s="340" t="s">
        <v>0</v>
      </c>
      <c r="X133" s="340" t="s">
        <v>1004</v>
      </c>
      <c r="Y133" s="340" t="s">
        <v>0</v>
      </c>
      <c r="Z133" s="340" t="s">
        <v>1005</v>
      </c>
      <c r="AA133" s="340" t="s">
        <v>0</v>
      </c>
      <c r="AB133" s="340" t="s">
        <v>1006</v>
      </c>
      <c r="AC133" s="340" t="s">
        <v>0</v>
      </c>
      <c r="AD133" s="340">
        <v>68760</v>
      </c>
      <c r="AE133" s="340" t="s">
        <v>452</v>
      </c>
      <c r="AF133" s="340" t="s">
        <v>453</v>
      </c>
      <c r="AG133" s="340" t="s">
        <v>447</v>
      </c>
      <c r="AH133" s="342">
        <v>44545</v>
      </c>
      <c r="AI133" s="340" t="s">
        <v>454</v>
      </c>
      <c r="AJ133" s="340" t="s">
        <v>455</v>
      </c>
      <c r="AK133" s="340" t="s">
        <v>456</v>
      </c>
      <c r="AL133" s="340" t="s">
        <v>457</v>
      </c>
      <c r="AM133" s="340">
        <v>6</v>
      </c>
      <c r="AN133" s="340" t="s">
        <v>458</v>
      </c>
      <c r="AO133" s="340" t="s">
        <v>459</v>
      </c>
      <c r="AP133" s="340">
        <v>3</v>
      </c>
      <c r="AQ133" s="340" t="s">
        <v>460</v>
      </c>
      <c r="AR133" s="340">
        <v>3032</v>
      </c>
      <c r="AS133" s="340" t="s">
        <v>578</v>
      </c>
      <c r="AT133" s="340">
        <v>1</v>
      </c>
      <c r="AU133" s="340" t="s">
        <v>462</v>
      </c>
      <c r="AV133" s="343">
        <v>0.375</v>
      </c>
      <c r="AW133" s="343">
        <v>0.58333333333333337</v>
      </c>
      <c r="AX133" s="340" t="s">
        <v>463</v>
      </c>
      <c r="AY133" s="340" t="s">
        <v>464</v>
      </c>
    </row>
    <row r="134" spans="1:51" x14ac:dyDescent="0.25">
      <c r="A134" s="339" t="s">
        <v>441</v>
      </c>
      <c r="B134" s="339" t="s">
        <v>442</v>
      </c>
      <c r="C134" s="339" t="s">
        <v>469</v>
      </c>
      <c r="D134" s="339">
        <v>1</v>
      </c>
      <c r="E134" s="339">
        <v>3</v>
      </c>
      <c r="F134" s="339">
        <v>6.5</v>
      </c>
      <c r="G134" s="340">
        <v>2024910100</v>
      </c>
      <c r="H134" s="346">
        <v>249101</v>
      </c>
      <c r="I134" s="348">
        <v>89</v>
      </c>
      <c r="J134" s="341">
        <v>59</v>
      </c>
      <c r="K134" s="341">
        <v>48</v>
      </c>
      <c r="L134" s="348">
        <f t="shared" si="7"/>
        <v>107</v>
      </c>
      <c r="M134" s="341">
        <v>249</v>
      </c>
      <c r="N134" s="340" t="s">
        <v>1008</v>
      </c>
      <c r="O134" s="340">
        <v>1</v>
      </c>
      <c r="P134" s="340" t="s">
        <v>1009</v>
      </c>
      <c r="Q134" s="340" t="s">
        <v>0</v>
      </c>
      <c r="R134" s="340" t="s">
        <v>446</v>
      </c>
      <c r="S134" s="340" t="s">
        <v>447</v>
      </c>
      <c r="T134" s="340">
        <v>2</v>
      </c>
      <c r="U134" s="340" t="s">
        <v>0</v>
      </c>
      <c r="V134" s="340" t="s">
        <v>448</v>
      </c>
      <c r="W134" s="340" t="s">
        <v>0</v>
      </c>
      <c r="X134" s="340" t="s">
        <v>1010</v>
      </c>
      <c r="Y134" s="340" t="s">
        <v>0</v>
      </c>
      <c r="Z134" s="340" t="s">
        <v>1011</v>
      </c>
      <c r="AA134" s="340" t="s">
        <v>0</v>
      </c>
      <c r="AB134" s="340" t="s">
        <v>1012</v>
      </c>
      <c r="AC134" s="340" t="s">
        <v>0</v>
      </c>
      <c r="AD134" s="340">
        <v>68575</v>
      </c>
      <c r="AE134" s="340" t="s">
        <v>452</v>
      </c>
      <c r="AF134" s="340" t="s">
        <v>453</v>
      </c>
      <c r="AG134" s="340" t="s">
        <v>447</v>
      </c>
      <c r="AH134" s="342">
        <v>39630</v>
      </c>
      <c r="AI134" s="340" t="s">
        <v>454</v>
      </c>
      <c r="AJ134" s="340" t="s">
        <v>455</v>
      </c>
      <c r="AK134" s="340" t="s">
        <v>456</v>
      </c>
      <c r="AL134" s="340" t="s">
        <v>457</v>
      </c>
      <c r="AM134" s="340">
        <v>6</v>
      </c>
      <c r="AN134" s="340" t="s">
        <v>458</v>
      </c>
      <c r="AO134" s="340" t="s">
        <v>459</v>
      </c>
      <c r="AP134" s="340">
        <v>3</v>
      </c>
      <c r="AQ134" s="340" t="s">
        <v>460</v>
      </c>
      <c r="AR134" s="340">
        <v>3154</v>
      </c>
      <c r="AS134" s="340" t="s">
        <v>529</v>
      </c>
      <c r="AT134" s="340">
        <v>1</v>
      </c>
      <c r="AU134" s="340" t="s">
        <v>462</v>
      </c>
      <c r="AV134" s="343">
        <v>0.375</v>
      </c>
      <c r="AW134" s="343">
        <v>0.58333333333333337</v>
      </c>
      <c r="AX134" s="340" t="s">
        <v>463</v>
      </c>
      <c r="AY134" s="340" t="s">
        <v>464</v>
      </c>
    </row>
    <row r="135" spans="1:51" x14ac:dyDescent="0.25">
      <c r="A135" s="339" t="s">
        <v>441</v>
      </c>
      <c r="B135" s="339" t="s">
        <v>442</v>
      </c>
      <c r="C135" s="339" t="s">
        <v>443</v>
      </c>
      <c r="D135" s="339">
        <v>1</v>
      </c>
      <c r="E135" s="339">
        <v>3</v>
      </c>
      <c r="F135" s="339">
        <v>6.5</v>
      </c>
      <c r="G135" s="340">
        <v>2024910200</v>
      </c>
      <c r="H135" s="346">
        <v>249102</v>
      </c>
      <c r="I135" s="348">
        <v>61</v>
      </c>
      <c r="J135" s="341">
        <v>34</v>
      </c>
      <c r="K135" s="341">
        <v>48</v>
      </c>
      <c r="L135" s="348">
        <f t="shared" si="7"/>
        <v>82</v>
      </c>
      <c r="M135" s="341">
        <v>249</v>
      </c>
      <c r="N135" s="340" t="s">
        <v>1008</v>
      </c>
      <c r="O135" s="340">
        <v>2</v>
      </c>
      <c r="P135" s="340" t="s">
        <v>1013</v>
      </c>
      <c r="Q135" s="340" t="s">
        <v>0</v>
      </c>
      <c r="R135" s="340" t="s">
        <v>446</v>
      </c>
      <c r="S135" s="340" t="s">
        <v>447</v>
      </c>
      <c r="T135" s="340">
        <v>2</v>
      </c>
      <c r="U135" s="340" t="s">
        <v>0</v>
      </c>
      <c r="V135" s="340" t="s">
        <v>448</v>
      </c>
      <c r="W135" s="340" t="s">
        <v>0</v>
      </c>
      <c r="X135" s="340" t="s">
        <v>516</v>
      </c>
      <c r="Y135" s="340" t="s">
        <v>0</v>
      </c>
      <c r="Z135" s="340" t="s">
        <v>1014</v>
      </c>
      <c r="AA135" s="340" t="s">
        <v>0</v>
      </c>
      <c r="AB135" s="340" t="s">
        <v>908</v>
      </c>
      <c r="AC135" s="340" t="s">
        <v>0</v>
      </c>
      <c r="AD135" s="340">
        <v>68575</v>
      </c>
      <c r="AE135" s="340" t="s">
        <v>452</v>
      </c>
      <c r="AF135" s="340" t="s">
        <v>453</v>
      </c>
      <c r="AG135" s="340" t="s">
        <v>447</v>
      </c>
      <c r="AH135" s="342">
        <v>44825</v>
      </c>
      <c r="AI135" s="340" t="s">
        <v>454</v>
      </c>
      <c r="AJ135" s="340" t="s">
        <v>455</v>
      </c>
      <c r="AK135" s="340" t="s">
        <v>456</v>
      </c>
      <c r="AL135" s="340" t="s">
        <v>457</v>
      </c>
      <c r="AM135" s="340">
        <v>6</v>
      </c>
      <c r="AN135" s="340" t="s">
        <v>458</v>
      </c>
      <c r="AO135" s="340" t="s">
        <v>459</v>
      </c>
      <c r="AP135" s="340">
        <v>3</v>
      </c>
      <c r="AQ135" s="340" t="s">
        <v>460</v>
      </c>
      <c r="AR135" s="340">
        <v>3154</v>
      </c>
      <c r="AS135" s="340" t="s">
        <v>529</v>
      </c>
      <c r="AT135" s="340">
        <v>1</v>
      </c>
      <c r="AU135" s="340" t="s">
        <v>462</v>
      </c>
      <c r="AV135" s="343">
        <v>0.375</v>
      </c>
      <c r="AW135" s="343">
        <v>0.58333333333333337</v>
      </c>
      <c r="AX135" s="340" t="s">
        <v>463</v>
      </c>
      <c r="AY135" s="340" t="s">
        <v>464</v>
      </c>
    </row>
    <row r="136" spans="1:51" x14ac:dyDescent="0.25">
      <c r="A136" s="339" t="s">
        <v>441</v>
      </c>
      <c r="B136" s="339" t="s">
        <v>442</v>
      </c>
      <c r="C136" s="339" t="s">
        <v>443</v>
      </c>
      <c r="D136" s="339">
        <v>4</v>
      </c>
      <c r="E136" s="339">
        <v>5</v>
      </c>
      <c r="F136" s="339">
        <v>6.5</v>
      </c>
      <c r="G136" s="340">
        <v>2025010100</v>
      </c>
      <c r="H136" s="346">
        <v>250101</v>
      </c>
      <c r="I136" s="348">
        <v>83</v>
      </c>
      <c r="J136" s="341">
        <v>43</v>
      </c>
      <c r="K136" s="341">
        <v>68</v>
      </c>
      <c r="L136" s="348">
        <f t="shared" si="7"/>
        <v>111</v>
      </c>
      <c r="M136" s="341">
        <v>250</v>
      </c>
      <c r="N136" s="340" t="s">
        <v>1015</v>
      </c>
      <c r="O136" s="340">
        <v>1</v>
      </c>
      <c r="P136" s="340" t="s">
        <v>1015</v>
      </c>
      <c r="Q136" s="340" t="s">
        <v>0</v>
      </c>
      <c r="R136" s="340" t="s">
        <v>446</v>
      </c>
      <c r="S136" s="340" t="s">
        <v>447</v>
      </c>
      <c r="T136" s="340">
        <v>2</v>
      </c>
      <c r="U136" s="340" t="s">
        <v>0</v>
      </c>
      <c r="V136" s="340" t="s">
        <v>448</v>
      </c>
      <c r="W136" s="340" t="s">
        <v>0</v>
      </c>
      <c r="X136" s="340" t="s">
        <v>1016</v>
      </c>
      <c r="Y136" s="340" t="s">
        <v>0</v>
      </c>
      <c r="Z136" s="340" t="s">
        <v>450</v>
      </c>
      <c r="AA136" s="340" t="s">
        <v>0</v>
      </c>
      <c r="AB136" s="340" t="s">
        <v>1017</v>
      </c>
      <c r="AC136" s="340" t="s">
        <v>0</v>
      </c>
      <c r="AD136" s="340">
        <v>69690</v>
      </c>
      <c r="AE136" s="340" t="s">
        <v>452</v>
      </c>
      <c r="AF136" s="340" t="s">
        <v>453</v>
      </c>
      <c r="AG136" s="340" t="s">
        <v>447</v>
      </c>
      <c r="AH136" s="342">
        <v>44504</v>
      </c>
      <c r="AI136" s="340" t="s">
        <v>454</v>
      </c>
      <c r="AJ136" s="340" t="s">
        <v>455</v>
      </c>
      <c r="AK136" s="340" t="s">
        <v>456</v>
      </c>
      <c r="AL136" s="340" t="s">
        <v>457</v>
      </c>
      <c r="AM136" s="340">
        <v>6</v>
      </c>
      <c r="AN136" s="340" t="s">
        <v>458</v>
      </c>
      <c r="AO136" s="340" t="s">
        <v>459</v>
      </c>
      <c r="AP136" s="340">
        <v>3</v>
      </c>
      <c r="AQ136" s="340" t="s">
        <v>460</v>
      </c>
      <c r="AR136" s="340">
        <v>3033</v>
      </c>
      <c r="AS136" s="340" t="s">
        <v>825</v>
      </c>
      <c r="AT136" s="340">
        <v>1</v>
      </c>
      <c r="AU136" s="340" t="s">
        <v>462</v>
      </c>
      <c r="AV136" s="343">
        <v>0.375</v>
      </c>
      <c r="AW136" s="343">
        <v>0.58333333333333337</v>
      </c>
      <c r="AX136" s="340" t="s">
        <v>463</v>
      </c>
      <c r="AY136" s="340" t="s">
        <v>464</v>
      </c>
    </row>
    <row r="137" spans="1:51" x14ac:dyDescent="0.25">
      <c r="A137" s="339" t="s">
        <v>441</v>
      </c>
      <c r="B137" s="339" t="s">
        <v>442</v>
      </c>
      <c r="C137" s="339" t="s">
        <v>443</v>
      </c>
      <c r="D137" s="339">
        <v>6</v>
      </c>
      <c r="E137" s="339">
        <v>5</v>
      </c>
      <c r="F137" s="339">
        <v>6.5</v>
      </c>
      <c r="G137" s="340">
        <v>2026210200</v>
      </c>
      <c r="H137" s="346">
        <v>262102</v>
      </c>
      <c r="I137" s="348">
        <v>54</v>
      </c>
      <c r="J137" s="341">
        <v>42</v>
      </c>
      <c r="K137" s="341">
        <v>32</v>
      </c>
      <c r="L137" s="348">
        <f t="shared" si="7"/>
        <v>74</v>
      </c>
      <c r="M137" s="341">
        <v>262</v>
      </c>
      <c r="N137" s="340" t="s">
        <v>1018</v>
      </c>
      <c r="O137" s="340">
        <v>2</v>
      </c>
      <c r="P137" s="340" t="s">
        <v>1019</v>
      </c>
      <c r="Q137" s="340" t="s">
        <v>0</v>
      </c>
      <c r="R137" s="340" t="s">
        <v>446</v>
      </c>
      <c r="S137" s="340" t="s">
        <v>447</v>
      </c>
      <c r="T137" s="340">
        <v>2</v>
      </c>
      <c r="U137" s="340" t="s">
        <v>0</v>
      </c>
      <c r="V137" s="340" t="s">
        <v>448</v>
      </c>
      <c r="W137" s="340" t="s">
        <v>0</v>
      </c>
      <c r="X137" s="340" t="s">
        <v>532</v>
      </c>
      <c r="Y137" s="340" t="s">
        <v>0</v>
      </c>
      <c r="Z137" s="340" t="s">
        <v>1020</v>
      </c>
      <c r="AA137" s="340" t="s">
        <v>0</v>
      </c>
      <c r="AB137" s="340" t="s">
        <v>1021</v>
      </c>
      <c r="AC137" s="340" t="s">
        <v>0</v>
      </c>
      <c r="AD137" s="340">
        <v>68785</v>
      </c>
      <c r="AE137" s="340" t="s">
        <v>452</v>
      </c>
      <c r="AF137" s="340" t="s">
        <v>453</v>
      </c>
      <c r="AG137" s="340" t="s">
        <v>447</v>
      </c>
      <c r="AH137" s="342">
        <v>43773</v>
      </c>
      <c r="AI137" s="340" t="s">
        <v>454</v>
      </c>
      <c r="AJ137" s="340" t="s">
        <v>455</v>
      </c>
      <c r="AK137" s="340" t="s">
        <v>456</v>
      </c>
      <c r="AL137" s="340" t="s">
        <v>457</v>
      </c>
      <c r="AM137" s="340">
        <v>6</v>
      </c>
      <c r="AN137" s="340" t="s">
        <v>458</v>
      </c>
      <c r="AO137" s="340" t="s">
        <v>459</v>
      </c>
      <c r="AP137" s="340">
        <v>3</v>
      </c>
      <c r="AQ137" s="340" t="s">
        <v>460</v>
      </c>
      <c r="AR137" s="340">
        <v>3040</v>
      </c>
      <c r="AS137" s="340" t="s">
        <v>657</v>
      </c>
      <c r="AT137" s="340">
        <v>1</v>
      </c>
      <c r="AU137" s="340" t="s">
        <v>462</v>
      </c>
      <c r="AV137" s="343">
        <v>0.375</v>
      </c>
      <c r="AW137" s="343">
        <v>0.54166666666666663</v>
      </c>
      <c r="AX137" s="340" t="s">
        <v>463</v>
      </c>
      <c r="AY137" s="340" t="s">
        <v>464</v>
      </c>
    </row>
    <row r="138" spans="1:51" x14ac:dyDescent="0.25">
      <c r="A138" s="339" t="s">
        <v>441</v>
      </c>
      <c r="B138" s="339" t="s">
        <v>442</v>
      </c>
      <c r="C138" s="339" t="s">
        <v>443</v>
      </c>
      <c r="D138" s="339">
        <v>6</v>
      </c>
      <c r="E138" s="339">
        <v>1</v>
      </c>
      <c r="F138" s="339">
        <v>6.5</v>
      </c>
      <c r="G138" s="340">
        <v>2026210300</v>
      </c>
      <c r="H138" s="346">
        <v>262103</v>
      </c>
      <c r="I138" s="348">
        <v>24</v>
      </c>
      <c r="J138" s="341">
        <v>12</v>
      </c>
      <c r="K138" s="341">
        <v>22</v>
      </c>
      <c r="L138" s="348">
        <f t="shared" si="7"/>
        <v>34</v>
      </c>
      <c r="M138" s="341">
        <v>262</v>
      </c>
      <c r="N138" s="340" t="s">
        <v>1018</v>
      </c>
      <c r="O138" s="340">
        <v>1</v>
      </c>
      <c r="P138" s="340" t="s">
        <v>1022</v>
      </c>
      <c r="Q138" s="340" t="s">
        <v>0</v>
      </c>
      <c r="R138" s="340" t="s">
        <v>446</v>
      </c>
      <c r="S138" s="340" t="s">
        <v>447</v>
      </c>
      <c r="T138" s="340">
        <v>3</v>
      </c>
      <c r="U138" s="340" t="s">
        <v>0</v>
      </c>
      <c r="V138" s="340" t="s">
        <v>472</v>
      </c>
      <c r="W138" s="340" t="s">
        <v>0</v>
      </c>
      <c r="X138" s="340" t="s">
        <v>810</v>
      </c>
      <c r="Y138" s="340" t="s">
        <v>0</v>
      </c>
      <c r="Z138" s="340" t="s">
        <v>1023</v>
      </c>
      <c r="AA138" s="340" t="s">
        <v>0</v>
      </c>
      <c r="AB138" s="340" t="s">
        <v>1024</v>
      </c>
      <c r="AC138" s="340" t="s">
        <v>0</v>
      </c>
      <c r="AD138" s="340">
        <v>68786</v>
      </c>
      <c r="AE138" s="340" t="s">
        <v>452</v>
      </c>
      <c r="AF138" s="340" t="s">
        <v>453</v>
      </c>
      <c r="AG138" s="340" t="s">
        <v>447</v>
      </c>
      <c r="AH138" s="342">
        <v>44172</v>
      </c>
      <c r="AI138" s="340" t="s">
        <v>454</v>
      </c>
      <c r="AJ138" s="340" t="s">
        <v>455</v>
      </c>
      <c r="AK138" s="340" t="s">
        <v>456</v>
      </c>
      <c r="AL138" s="340" t="s">
        <v>457</v>
      </c>
      <c r="AM138" s="340">
        <v>6</v>
      </c>
      <c r="AN138" s="340" t="s">
        <v>458</v>
      </c>
      <c r="AO138" s="340" t="s">
        <v>459</v>
      </c>
      <c r="AP138" s="340">
        <v>3</v>
      </c>
      <c r="AQ138" s="340" t="s">
        <v>460</v>
      </c>
      <c r="AR138" s="340">
        <v>3032</v>
      </c>
      <c r="AS138" s="340" t="s">
        <v>578</v>
      </c>
      <c r="AT138" s="340">
        <v>1</v>
      </c>
      <c r="AU138" s="340" t="s">
        <v>462</v>
      </c>
      <c r="AV138" s="343">
        <v>0.375</v>
      </c>
      <c r="AW138" s="343">
        <v>0.58333333333333337</v>
      </c>
      <c r="AX138" s="340" t="s">
        <v>463</v>
      </c>
      <c r="AY138" s="340" t="s">
        <v>464</v>
      </c>
    </row>
    <row r="139" spans="1:51" x14ac:dyDescent="0.25">
      <c r="A139" s="339" t="s">
        <v>441</v>
      </c>
      <c r="B139" s="339" t="s">
        <v>442</v>
      </c>
      <c r="C139" s="339" t="s">
        <v>443</v>
      </c>
      <c r="D139" s="339">
        <v>3</v>
      </c>
      <c r="E139" s="339">
        <v>5</v>
      </c>
      <c r="F139" s="339">
        <v>6.5</v>
      </c>
      <c r="G139" s="340">
        <v>2026510200</v>
      </c>
      <c r="H139" s="346">
        <v>265102</v>
      </c>
      <c r="I139" s="348">
        <v>49</v>
      </c>
      <c r="J139" s="341">
        <v>23</v>
      </c>
      <c r="K139" s="341">
        <v>35</v>
      </c>
      <c r="L139" s="348">
        <f t="shared" si="7"/>
        <v>58</v>
      </c>
      <c r="M139" s="341">
        <v>265</v>
      </c>
      <c r="N139" s="340" t="s">
        <v>1025</v>
      </c>
      <c r="O139" s="340">
        <v>1</v>
      </c>
      <c r="P139" s="340" t="s">
        <v>1025</v>
      </c>
      <c r="Q139" s="340" t="s">
        <v>0</v>
      </c>
      <c r="R139" s="340" t="s">
        <v>446</v>
      </c>
      <c r="S139" s="340" t="s">
        <v>447</v>
      </c>
      <c r="T139" s="340">
        <v>2</v>
      </c>
      <c r="U139" s="340" t="s">
        <v>0</v>
      </c>
      <c r="V139" s="340" t="s">
        <v>448</v>
      </c>
      <c r="W139" s="340" t="s">
        <v>0</v>
      </c>
      <c r="X139" s="340" t="s">
        <v>875</v>
      </c>
      <c r="Y139" s="340" t="s">
        <v>0</v>
      </c>
      <c r="Z139" s="340" t="s">
        <v>1026</v>
      </c>
      <c r="AA139" s="340" t="s">
        <v>0</v>
      </c>
      <c r="AB139" s="340" t="s">
        <v>1027</v>
      </c>
      <c r="AC139" s="340" t="s">
        <v>0</v>
      </c>
      <c r="AD139" s="340">
        <v>70155</v>
      </c>
      <c r="AE139" s="340" t="s">
        <v>452</v>
      </c>
      <c r="AF139" s="340" t="s">
        <v>453</v>
      </c>
      <c r="AG139" s="340" t="s">
        <v>447</v>
      </c>
      <c r="AH139" s="342">
        <v>44874</v>
      </c>
      <c r="AI139" s="340" t="s">
        <v>454</v>
      </c>
      <c r="AJ139" s="340" t="s">
        <v>455</v>
      </c>
      <c r="AK139" s="340" t="s">
        <v>456</v>
      </c>
      <c r="AL139" s="340" t="s">
        <v>457</v>
      </c>
      <c r="AM139" s="340">
        <v>6</v>
      </c>
      <c r="AN139" s="340" t="s">
        <v>458</v>
      </c>
      <c r="AO139" s="340" t="s">
        <v>459</v>
      </c>
      <c r="AP139" s="340">
        <v>3</v>
      </c>
      <c r="AQ139" s="340" t="s">
        <v>460</v>
      </c>
      <c r="AR139" s="340">
        <v>3152</v>
      </c>
      <c r="AS139" s="340" t="s">
        <v>588</v>
      </c>
      <c r="AT139" s="340">
        <v>1</v>
      </c>
      <c r="AU139" s="340" t="s">
        <v>462</v>
      </c>
      <c r="AV139" s="343">
        <v>0.375</v>
      </c>
      <c r="AW139" s="343">
        <v>0.58333333333333337</v>
      </c>
      <c r="AX139" s="340" t="s">
        <v>463</v>
      </c>
      <c r="AY139" s="340" t="s">
        <v>464</v>
      </c>
    </row>
    <row r="140" spans="1:51" x14ac:dyDescent="0.25">
      <c r="A140" s="339" t="s">
        <v>441</v>
      </c>
      <c r="B140" s="339" t="s">
        <v>442</v>
      </c>
      <c r="C140" s="339" t="s">
        <v>443</v>
      </c>
      <c r="D140" s="339">
        <v>3</v>
      </c>
      <c r="E140" s="339">
        <v>5</v>
      </c>
      <c r="F140" s="339">
        <v>6.5</v>
      </c>
      <c r="G140" s="340">
        <v>2026510300</v>
      </c>
      <c r="H140" s="346">
        <v>265103</v>
      </c>
      <c r="I140" s="348">
        <v>32</v>
      </c>
      <c r="J140" s="341">
        <v>21</v>
      </c>
      <c r="K140" s="341">
        <v>22</v>
      </c>
      <c r="L140" s="348">
        <f t="shared" si="7"/>
        <v>43</v>
      </c>
      <c r="M140" s="341">
        <v>265</v>
      </c>
      <c r="N140" s="340" t="s">
        <v>1025</v>
      </c>
      <c r="O140" s="340">
        <v>2</v>
      </c>
      <c r="P140" s="340" t="s">
        <v>1028</v>
      </c>
      <c r="Q140" s="340" t="s">
        <v>0</v>
      </c>
      <c r="R140" s="340" t="s">
        <v>446</v>
      </c>
      <c r="S140" s="340" t="s">
        <v>447</v>
      </c>
      <c r="T140" s="340">
        <v>2</v>
      </c>
      <c r="U140" s="340" t="s">
        <v>0</v>
      </c>
      <c r="V140" s="340" t="s">
        <v>448</v>
      </c>
      <c r="W140" s="340" t="s">
        <v>0</v>
      </c>
      <c r="X140" s="340" t="s">
        <v>465</v>
      </c>
      <c r="Y140" s="340" t="s">
        <v>0</v>
      </c>
      <c r="Z140" s="340" t="s">
        <v>1029</v>
      </c>
      <c r="AA140" s="340" t="s">
        <v>0</v>
      </c>
      <c r="AB140" s="340" t="s">
        <v>466</v>
      </c>
      <c r="AC140" s="340" t="s">
        <v>0</v>
      </c>
      <c r="AD140" s="340">
        <v>70157</v>
      </c>
      <c r="AE140" s="340" t="s">
        <v>452</v>
      </c>
      <c r="AF140" s="340" t="s">
        <v>453</v>
      </c>
      <c r="AG140" s="340" t="s">
        <v>447</v>
      </c>
      <c r="AH140" s="342">
        <v>45062</v>
      </c>
      <c r="AI140" s="340" t="s">
        <v>454</v>
      </c>
      <c r="AJ140" s="340" t="s">
        <v>455</v>
      </c>
      <c r="AK140" s="340" t="s">
        <v>456</v>
      </c>
      <c r="AL140" s="340" t="s">
        <v>457</v>
      </c>
      <c r="AM140" s="340">
        <v>6</v>
      </c>
      <c r="AN140" s="340" t="s">
        <v>458</v>
      </c>
      <c r="AO140" s="340" t="s">
        <v>459</v>
      </c>
      <c r="AP140" s="340">
        <v>3</v>
      </c>
      <c r="AQ140" s="340" t="s">
        <v>460</v>
      </c>
      <c r="AR140" s="340">
        <v>3152</v>
      </c>
      <c r="AS140" s="340" t="s">
        <v>588</v>
      </c>
      <c r="AT140" s="340">
        <v>1</v>
      </c>
      <c r="AU140" s="340" t="s">
        <v>462</v>
      </c>
      <c r="AV140" s="343">
        <v>0.375</v>
      </c>
      <c r="AW140" s="343">
        <v>0.58333333333333337</v>
      </c>
      <c r="AX140" s="340" t="s">
        <v>463</v>
      </c>
      <c r="AY140" s="340" t="s">
        <v>464</v>
      </c>
    </row>
    <row r="141" spans="1:51" x14ac:dyDescent="0.25">
      <c r="A141" s="339" t="s">
        <v>441</v>
      </c>
      <c r="B141" s="339" t="s">
        <v>442</v>
      </c>
      <c r="C141" s="339" t="s">
        <v>443</v>
      </c>
      <c r="D141" s="339">
        <v>3</v>
      </c>
      <c r="E141" s="339">
        <v>5</v>
      </c>
      <c r="F141" s="339">
        <v>6.5</v>
      </c>
      <c r="G141" s="340">
        <v>2026510400</v>
      </c>
      <c r="H141" s="346">
        <v>265104</v>
      </c>
      <c r="I141" s="348">
        <v>42</v>
      </c>
      <c r="J141" s="341">
        <v>12</v>
      </c>
      <c r="K141" s="341">
        <v>45</v>
      </c>
      <c r="L141" s="348">
        <f t="shared" si="7"/>
        <v>57</v>
      </c>
      <c r="M141" s="341">
        <v>265</v>
      </c>
      <c r="N141" s="340" t="s">
        <v>1025</v>
      </c>
      <c r="O141" s="340">
        <v>9</v>
      </c>
      <c r="P141" s="340" t="s">
        <v>1030</v>
      </c>
      <c r="Q141" s="340" t="s">
        <v>0</v>
      </c>
      <c r="R141" s="340" t="s">
        <v>446</v>
      </c>
      <c r="S141" s="340" t="s">
        <v>447</v>
      </c>
      <c r="T141" s="340">
        <v>2</v>
      </c>
      <c r="U141" s="340" t="s">
        <v>0</v>
      </c>
      <c r="V141" s="340" t="s">
        <v>448</v>
      </c>
      <c r="W141" s="340" t="s">
        <v>0</v>
      </c>
      <c r="X141" s="340" t="s">
        <v>465</v>
      </c>
      <c r="Y141" s="340" t="s">
        <v>0</v>
      </c>
      <c r="Z141" s="340" t="s">
        <v>1031</v>
      </c>
      <c r="AA141" s="340" t="s">
        <v>0</v>
      </c>
      <c r="AB141" s="340" t="s">
        <v>466</v>
      </c>
      <c r="AC141" s="340" t="s">
        <v>0</v>
      </c>
      <c r="AD141" s="340">
        <v>70157</v>
      </c>
      <c r="AE141" s="340" t="s">
        <v>452</v>
      </c>
      <c r="AF141" s="340" t="s">
        <v>453</v>
      </c>
      <c r="AG141" s="340" t="s">
        <v>447</v>
      </c>
      <c r="AH141" s="342">
        <v>45110</v>
      </c>
      <c r="AI141" s="340" t="s">
        <v>454</v>
      </c>
      <c r="AJ141" s="340" t="s">
        <v>455</v>
      </c>
      <c r="AK141" s="340" t="s">
        <v>456</v>
      </c>
      <c r="AL141" s="340" t="s">
        <v>457</v>
      </c>
      <c r="AM141" s="340">
        <v>6</v>
      </c>
      <c r="AN141" s="340" t="s">
        <v>458</v>
      </c>
      <c r="AO141" s="340" t="s">
        <v>459</v>
      </c>
      <c r="AP141" s="340">
        <v>3</v>
      </c>
      <c r="AQ141" s="340" t="s">
        <v>460</v>
      </c>
      <c r="AR141" s="340">
        <v>3152</v>
      </c>
      <c r="AS141" s="340" t="s">
        <v>588</v>
      </c>
      <c r="AT141" s="340">
        <v>1</v>
      </c>
      <c r="AU141" s="340" t="s">
        <v>462</v>
      </c>
      <c r="AV141" s="343">
        <v>0.375</v>
      </c>
      <c r="AW141" s="343">
        <v>0.58333333333333337</v>
      </c>
      <c r="AX141" s="340" t="s">
        <v>463</v>
      </c>
      <c r="AY141" s="340" t="s">
        <v>464</v>
      </c>
    </row>
    <row r="142" spans="1:51" x14ac:dyDescent="0.25">
      <c r="A142" s="339" t="s">
        <v>441</v>
      </c>
      <c r="B142" s="339" t="s">
        <v>442</v>
      </c>
      <c r="C142" s="339" t="s">
        <v>443</v>
      </c>
      <c r="D142" s="339">
        <v>3</v>
      </c>
      <c r="E142" s="339">
        <v>5</v>
      </c>
      <c r="F142" s="339">
        <v>6.5</v>
      </c>
      <c r="G142" s="340">
        <v>2026510500</v>
      </c>
      <c r="H142" s="346">
        <v>265105</v>
      </c>
      <c r="I142" s="348">
        <v>41</v>
      </c>
      <c r="J142" s="341">
        <v>16</v>
      </c>
      <c r="K142" s="341">
        <v>41</v>
      </c>
      <c r="L142" s="348">
        <f t="shared" si="7"/>
        <v>57</v>
      </c>
      <c r="M142" s="341">
        <v>265</v>
      </c>
      <c r="N142" s="340" t="s">
        <v>1025</v>
      </c>
      <c r="O142" s="340">
        <v>6</v>
      </c>
      <c r="P142" s="340" t="s">
        <v>1032</v>
      </c>
      <c r="Q142" s="340" t="s">
        <v>0</v>
      </c>
      <c r="R142" s="340" t="s">
        <v>446</v>
      </c>
      <c r="S142" s="340" t="s">
        <v>447</v>
      </c>
      <c r="T142" s="340">
        <v>2</v>
      </c>
      <c r="U142" s="340" t="s">
        <v>0</v>
      </c>
      <c r="V142" s="340" t="s">
        <v>448</v>
      </c>
      <c r="W142" s="340" t="s">
        <v>0</v>
      </c>
      <c r="X142" s="340" t="s">
        <v>465</v>
      </c>
      <c r="Y142" s="340" t="s">
        <v>0</v>
      </c>
      <c r="Z142" s="340" t="s">
        <v>1033</v>
      </c>
      <c r="AA142" s="340" t="s">
        <v>0</v>
      </c>
      <c r="AB142" s="340" t="s">
        <v>466</v>
      </c>
      <c r="AC142" s="340" t="s">
        <v>0</v>
      </c>
      <c r="AD142" s="340">
        <v>70156</v>
      </c>
      <c r="AE142" s="340" t="s">
        <v>452</v>
      </c>
      <c r="AF142" s="340" t="s">
        <v>453</v>
      </c>
      <c r="AG142" s="340" t="s">
        <v>447</v>
      </c>
      <c r="AH142" s="342">
        <v>45079</v>
      </c>
      <c r="AI142" s="340" t="s">
        <v>454</v>
      </c>
      <c r="AJ142" s="340" t="s">
        <v>455</v>
      </c>
      <c r="AK142" s="340" t="s">
        <v>456</v>
      </c>
      <c r="AL142" s="340" t="s">
        <v>457</v>
      </c>
      <c r="AM142" s="340">
        <v>6</v>
      </c>
      <c r="AN142" s="340" t="s">
        <v>458</v>
      </c>
      <c r="AO142" s="340" t="s">
        <v>459</v>
      </c>
      <c r="AP142" s="340">
        <v>3</v>
      </c>
      <c r="AQ142" s="340" t="s">
        <v>460</v>
      </c>
      <c r="AR142" s="340">
        <v>3152</v>
      </c>
      <c r="AS142" s="340" t="s">
        <v>588</v>
      </c>
      <c r="AT142" s="340">
        <v>1</v>
      </c>
      <c r="AU142" s="340" t="s">
        <v>462</v>
      </c>
      <c r="AV142" s="343">
        <v>0.375</v>
      </c>
      <c r="AW142" s="343">
        <v>0.58333333333333337</v>
      </c>
      <c r="AX142" s="340" t="s">
        <v>463</v>
      </c>
      <c r="AY142" s="340" t="s">
        <v>464</v>
      </c>
    </row>
    <row r="143" spans="1:51" x14ac:dyDescent="0.25">
      <c r="A143" s="339" t="s">
        <v>441</v>
      </c>
      <c r="B143" s="339" t="s">
        <v>442</v>
      </c>
      <c r="C143" s="339" t="s">
        <v>443</v>
      </c>
      <c r="D143" s="339">
        <v>3</v>
      </c>
      <c r="E143" s="339">
        <v>5</v>
      </c>
      <c r="F143" s="339">
        <v>6.5</v>
      </c>
      <c r="G143" s="340">
        <v>2026510600</v>
      </c>
      <c r="H143" s="346">
        <v>265106</v>
      </c>
      <c r="I143" s="348">
        <v>27</v>
      </c>
      <c r="J143" s="341">
        <v>25</v>
      </c>
      <c r="K143" s="341">
        <v>19</v>
      </c>
      <c r="L143" s="348">
        <f t="shared" si="7"/>
        <v>44</v>
      </c>
      <c r="M143" s="341">
        <v>265</v>
      </c>
      <c r="N143" s="340" t="s">
        <v>1025</v>
      </c>
      <c r="O143" s="340">
        <v>4</v>
      </c>
      <c r="P143" s="340" t="s">
        <v>1034</v>
      </c>
      <c r="Q143" s="340" t="s">
        <v>0</v>
      </c>
      <c r="R143" s="340" t="s">
        <v>446</v>
      </c>
      <c r="S143" s="340" t="s">
        <v>447</v>
      </c>
      <c r="T143" s="340">
        <v>2</v>
      </c>
      <c r="U143" s="340" t="s">
        <v>0</v>
      </c>
      <c r="V143" s="340" t="s">
        <v>448</v>
      </c>
      <c r="W143" s="340" t="s">
        <v>0</v>
      </c>
      <c r="X143" s="340" t="s">
        <v>465</v>
      </c>
      <c r="Y143" s="340" t="s">
        <v>0</v>
      </c>
      <c r="Z143" s="340" t="s">
        <v>1035</v>
      </c>
      <c r="AA143" s="340" t="s">
        <v>0</v>
      </c>
      <c r="AB143" s="340" t="s">
        <v>466</v>
      </c>
      <c r="AC143" s="340" t="s">
        <v>0</v>
      </c>
      <c r="AD143" s="340">
        <v>70156</v>
      </c>
      <c r="AE143" s="340" t="s">
        <v>452</v>
      </c>
      <c r="AF143" s="340" t="s">
        <v>453</v>
      </c>
      <c r="AG143" s="340" t="s">
        <v>447</v>
      </c>
      <c r="AH143" s="342">
        <v>45079</v>
      </c>
      <c r="AI143" s="340" t="s">
        <v>454</v>
      </c>
      <c r="AJ143" s="340" t="s">
        <v>455</v>
      </c>
      <c r="AK143" s="340" t="s">
        <v>456</v>
      </c>
      <c r="AL143" s="340" t="s">
        <v>457</v>
      </c>
      <c r="AM143" s="340">
        <v>6</v>
      </c>
      <c r="AN143" s="340" t="s">
        <v>458</v>
      </c>
      <c r="AO143" s="340" t="s">
        <v>459</v>
      </c>
      <c r="AP143" s="340">
        <v>3</v>
      </c>
      <c r="AQ143" s="340" t="s">
        <v>460</v>
      </c>
      <c r="AR143" s="340">
        <v>3152</v>
      </c>
      <c r="AS143" s="340" t="s">
        <v>588</v>
      </c>
      <c r="AT143" s="340">
        <v>1</v>
      </c>
      <c r="AU143" s="340" t="s">
        <v>462</v>
      </c>
      <c r="AV143" s="343">
        <v>0.375</v>
      </c>
      <c r="AW143" s="343">
        <v>0.58333333333333337</v>
      </c>
      <c r="AX143" s="340" t="s">
        <v>463</v>
      </c>
      <c r="AY143" s="340" t="s">
        <v>464</v>
      </c>
    </row>
    <row r="144" spans="1:51" x14ac:dyDescent="0.25">
      <c r="A144" s="339" t="s">
        <v>441</v>
      </c>
      <c r="B144" s="339" t="s">
        <v>442</v>
      </c>
      <c r="C144" s="339" t="s">
        <v>443</v>
      </c>
      <c r="D144" s="339">
        <v>3</v>
      </c>
      <c r="E144" s="339">
        <v>5</v>
      </c>
      <c r="F144" s="339">
        <v>6.5</v>
      </c>
      <c r="G144" s="340">
        <v>2026510700</v>
      </c>
      <c r="H144" s="346">
        <v>265107</v>
      </c>
      <c r="I144" s="348">
        <v>40</v>
      </c>
      <c r="J144" s="341">
        <v>41</v>
      </c>
      <c r="K144" s="341">
        <v>27</v>
      </c>
      <c r="L144" s="348">
        <f t="shared" si="7"/>
        <v>68</v>
      </c>
      <c r="M144" s="341">
        <v>265</v>
      </c>
      <c r="N144" s="340" t="s">
        <v>1025</v>
      </c>
      <c r="O144" s="340">
        <v>43</v>
      </c>
      <c r="P144" s="340" t="s">
        <v>1036</v>
      </c>
      <c r="Q144" s="340" t="s">
        <v>0</v>
      </c>
      <c r="R144" s="340" t="s">
        <v>446</v>
      </c>
      <c r="S144" s="340" t="s">
        <v>447</v>
      </c>
      <c r="T144" s="340">
        <v>1</v>
      </c>
      <c r="U144" s="340" t="s">
        <v>0</v>
      </c>
      <c r="V144" s="340" t="s">
        <v>511</v>
      </c>
      <c r="W144" s="340" t="s">
        <v>0</v>
      </c>
      <c r="X144" s="340" t="s">
        <v>465</v>
      </c>
      <c r="Y144" s="340" t="s">
        <v>0</v>
      </c>
      <c r="Z144" s="340" t="s">
        <v>1037</v>
      </c>
      <c r="AA144" s="340" t="s">
        <v>0</v>
      </c>
      <c r="AB144" s="340" t="s">
        <v>1038</v>
      </c>
      <c r="AC144" s="340" t="s">
        <v>0</v>
      </c>
      <c r="AD144" s="340">
        <v>70157</v>
      </c>
      <c r="AE144" s="340" t="s">
        <v>452</v>
      </c>
      <c r="AF144" s="340" t="s">
        <v>453</v>
      </c>
      <c r="AG144" s="340" t="s">
        <v>447</v>
      </c>
      <c r="AH144" s="342">
        <v>45194</v>
      </c>
      <c r="AI144" s="340" t="s">
        <v>454</v>
      </c>
      <c r="AJ144" s="340" t="s">
        <v>455</v>
      </c>
      <c r="AK144" s="340" t="s">
        <v>456</v>
      </c>
      <c r="AL144" s="340" t="s">
        <v>457</v>
      </c>
      <c r="AM144" s="340">
        <v>6</v>
      </c>
      <c r="AN144" s="340" t="s">
        <v>458</v>
      </c>
      <c r="AO144" s="340" t="s">
        <v>459</v>
      </c>
      <c r="AP144" s="340">
        <v>3</v>
      </c>
      <c r="AQ144" s="340" t="s">
        <v>460</v>
      </c>
      <c r="AR144" s="340">
        <v>3152</v>
      </c>
      <c r="AS144" s="340" t="s">
        <v>588</v>
      </c>
      <c r="AT144" s="340">
        <v>208413</v>
      </c>
      <c r="AU144" s="340" t="s">
        <v>626</v>
      </c>
      <c r="AV144" s="343">
        <v>0.375</v>
      </c>
      <c r="AW144" s="343">
        <v>0.58333333333333337</v>
      </c>
      <c r="AX144" s="340" t="s">
        <v>463</v>
      </c>
      <c r="AY144" s="340" t="s">
        <v>464</v>
      </c>
    </row>
    <row r="145" spans="1:51" x14ac:dyDescent="0.25">
      <c r="A145" s="339" t="s">
        <v>441</v>
      </c>
      <c r="B145" s="339" t="s">
        <v>442</v>
      </c>
      <c r="C145" s="339" t="s">
        <v>443</v>
      </c>
      <c r="D145" s="339">
        <v>3</v>
      </c>
      <c r="E145" s="339">
        <v>5</v>
      </c>
      <c r="F145" s="339">
        <v>6.5</v>
      </c>
      <c r="G145" s="340">
        <v>2026510800</v>
      </c>
      <c r="H145" s="346">
        <v>265108</v>
      </c>
      <c r="I145" s="348">
        <v>57</v>
      </c>
      <c r="J145" s="341">
        <v>56</v>
      </c>
      <c r="K145" s="341">
        <v>46</v>
      </c>
      <c r="L145" s="348">
        <f t="shared" si="7"/>
        <v>102</v>
      </c>
      <c r="M145" s="341">
        <v>265</v>
      </c>
      <c r="N145" s="340" t="s">
        <v>1025</v>
      </c>
      <c r="O145" s="340">
        <v>35</v>
      </c>
      <c r="P145" s="340" t="s">
        <v>1039</v>
      </c>
      <c r="Q145" s="340" t="s">
        <v>0</v>
      </c>
      <c r="R145" s="340" t="s">
        <v>446</v>
      </c>
      <c r="S145" s="340" t="s">
        <v>447</v>
      </c>
      <c r="T145" s="340">
        <v>2</v>
      </c>
      <c r="U145" s="340" t="s">
        <v>0</v>
      </c>
      <c r="V145" s="340" t="s">
        <v>448</v>
      </c>
      <c r="W145" s="340" t="s">
        <v>0</v>
      </c>
      <c r="X145" s="340" t="s">
        <v>465</v>
      </c>
      <c r="Y145" s="340" t="s">
        <v>0</v>
      </c>
      <c r="Z145" s="340" t="s">
        <v>1040</v>
      </c>
      <c r="AA145" s="340" t="s">
        <v>0</v>
      </c>
      <c r="AB145" s="340" t="s">
        <v>1041</v>
      </c>
      <c r="AC145" s="340" t="s">
        <v>0</v>
      </c>
      <c r="AD145" s="340">
        <v>70157</v>
      </c>
      <c r="AE145" s="340" t="s">
        <v>452</v>
      </c>
      <c r="AF145" s="340" t="s">
        <v>453</v>
      </c>
      <c r="AG145" s="340" t="s">
        <v>447</v>
      </c>
      <c r="AH145" s="342">
        <v>45194</v>
      </c>
      <c r="AI145" s="340" t="s">
        <v>454</v>
      </c>
      <c r="AJ145" s="340" t="s">
        <v>455</v>
      </c>
      <c r="AK145" s="340" t="s">
        <v>456</v>
      </c>
      <c r="AL145" s="340" t="s">
        <v>457</v>
      </c>
      <c r="AM145" s="340">
        <v>6</v>
      </c>
      <c r="AN145" s="340" t="s">
        <v>458</v>
      </c>
      <c r="AO145" s="340" t="s">
        <v>459</v>
      </c>
      <c r="AP145" s="340">
        <v>3</v>
      </c>
      <c r="AQ145" s="340" t="s">
        <v>460</v>
      </c>
      <c r="AR145" s="340">
        <v>3152</v>
      </c>
      <c r="AS145" s="340" t="s">
        <v>588</v>
      </c>
      <c r="AT145" s="340">
        <v>208781</v>
      </c>
      <c r="AU145" s="340" t="s">
        <v>485</v>
      </c>
      <c r="AV145" s="343">
        <v>0.375</v>
      </c>
      <c r="AW145" s="343">
        <v>0.58333333333333337</v>
      </c>
      <c r="AX145" s="340" t="s">
        <v>463</v>
      </c>
      <c r="AY145" s="340" t="s">
        <v>464</v>
      </c>
    </row>
    <row r="146" spans="1:51" x14ac:dyDescent="0.25">
      <c r="A146" s="339" t="s">
        <v>441</v>
      </c>
      <c r="B146" s="339" t="s">
        <v>442</v>
      </c>
      <c r="C146" s="339" t="s">
        <v>443</v>
      </c>
      <c r="D146" s="339">
        <v>4</v>
      </c>
      <c r="E146" s="339">
        <v>1</v>
      </c>
      <c r="F146" s="339">
        <v>6.5</v>
      </c>
      <c r="G146" s="340">
        <v>2026910300</v>
      </c>
      <c r="H146" s="346">
        <v>269103</v>
      </c>
      <c r="I146" s="348">
        <v>61</v>
      </c>
      <c r="J146" s="341">
        <v>36</v>
      </c>
      <c r="K146" s="341">
        <v>47</v>
      </c>
      <c r="L146" s="348">
        <f t="shared" si="7"/>
        <v>83</v>
      </c>
      <c r="M146" s="341">
        <v>269</v>
      </c>
      <c r="N146" s="340" t="s">
        <v>1042</v>
      </c>
      <c r="O146" s="340">
        <v>1</v>
      </c>
      <c r="P146" s="340" t="s">
        <v>1042</v>
      </c>
      <c r="Q146" s="340" t="s">
        <v>0</v>
      </c>
      <c r="R146" s="340" t="s">
        <v>446</v>
      </c>
      <c r="S146" s="340" t="s">
        <v>447</v>
      </c>
      <c r="T146" s="340">
        <v>2</v>
      </c>
      <c r="U146" s="340" t="s">
        <v>0</v>
      </c>
      <c r="V146" s="340" t="s">
        <v>448</v>
      </c>
      <c r="W146" s="340" t="s">
        <v>0</v>
      </c>
      <c r="X146" s="340" t="s">
        <v>810</v>
      </c>
      <c r="Y146" s="340" t="s">
        <v>0</v>
      </c>
      <c r="Z146" s="340" t="s">
        <v>1043</v>
      </c>
      <c r="AA146" s="340" t="s">
        <v>0</v>
      </c>
      <c r="AB146" s="340" t="s">
        <v>1044</v>
      </c>
      <c r="AC146" s="340" t="s">
        <v>0</v>
      </c>
      <c r="AD146" s="340">
        <v>71140</v>
      </c>
      <c r="AE146" s="340" t="s">
        <v>452</v>
      </c>
      <c r="AF146" s="340" t="s">
        <v>453</v>
      </c>
      <c r="AG146" s="340" t="s">
        <v>447</v>
      </c>
      <c r="AH146" s="342">
        <v>44133</v>
      </c>
      <c r="AI146" s="340" t="s">
        <v>454</v>
      </c>
      <c r="AJ146" s="340" t="s">
        <v>455</v>
      </c>
      <c r="AK146" s="340" t="s">
        <v>456</v>
      </c>
      <c r="AL146" s="340" t="s">
        <v>457</v>
      </c>
      <c r="AM146" s="340">
        <v>6</v>
      </c>
      <c r="AN146" s="340" t="s">
        <v>458</v>
      </c>
      <c r="AO146" s="340" t="s">
        <v>459</v>
      </c>
      <c r="AP146" s="340">
        <v>3</v>
      </c>
      <c r="AQ146" s="340" t="s">
        <v>460</v>
      </c>
      <c r="AR146" s="340">
        <v>3150</v>
      </c>
      <c r="AS146" s="340" t="s">
        <v>706</v>
      </c>
      <c r="AT146" s="340">
        <v>1</v>
      </c>
      <c r="AU146" s="340" t="s">
        <v>462</v>
      </c>
      <c r="AV146" s="343">
        <v>0.375</v>
      </c>
      <c r="AW146" s="343">
        <v>0.58333333333333337</v>
      </c>
      <c r="AX146" s="340" t="s">
        <v>463</v>
      </c>
      <c r="AY146" s="340" t="s">
        <v>464</v>
      </c>
    </row>
    <row r="147" spans="1:51" x14ac:dyDescent="0.25">
      <c r="A147" s="339" t="s">
        <v>441</v>
      </c>
      <c r="B147" s="339" t="s">
        <v>442</v>
      </c>
      <c r="C147" s="339" t="s">
        <v>443</v>
      </c>
      <c r="D147" s="339">
        <v>6</v>
      </c>
      <c r="E147" s="339">
        <v>4</v>
      </c>
      <c r="F147" s="339">
        <v>6.5</v>
      </c>
      <c r="G147" s="340">
        <v>2027410200</v>
      </c>
      <c r="H147" s="346">
        <v>274102</v>
      </c>
      <c r="I147" s="348">
        <v>39</v>
      </c>
      <c r="J147" s="341">
        <v>26</v>
      </c>
      <c r="K147" s="341">
        <v>33</v>
      </c>
      <c r="L147" s="348">
        <f t="shared" si="7"/>
        <v>59</v>
      </c>
      <c r="M147" s="341">
        <v>274</v>
      </c>
      <c r="N147" s="340" t="s">
        <v>1045</v>
      </c>
      <c r="O147" s="340">
        <v>1</v>
      </c>
      <c r="P147" s="340" t="s">
        <v>1045</v>
      </c>
      <c r="Q147" s="340" t="s">
        <v>0</v>
      </c>
      <c r="R147" s="340" t="s">
        <v>446</v>
      </c>
      <c r="S147" s="340" t="s">
        <v>447</v>
      </c>
      <c r="T147" s="340">
        <v>2</v>
      </c>
      <c r="U147" s="340" t="s">
        <v>0</v>
      </c>
      <c r="V147" s="340" t="s">
        <v>448</v>
      </c>
      <c r="W147" s="340" t="s">
        <v>0</v>
      </c>
      <c r="X147" s="340" t="s">
        <v>1046</v>
      </c>
      <c r="Y147" s="340" t="s">
        <v>0</v>
      </c>
      <c r="Z147" s="340" t="s">
        <v>1047</v>
      </c>
      <c r="AA147" s="340" t="s">
        <v>0</v>
      </c>
      <c r="AB147" s="340" t="s">
        <v>1048</v>
      </c>
      <c r="AC147" s="340" t="s">
        <v>0</v>
      </c>
      <c r="AD147" s="340">
        <v>69990</v>
      </c>
      <c r="AE147" s="340" t="s">
        <v>452</v>
      </c>
      <c r="AF147" s="340" t="s">
        <v>453</v>
      </c>
      <c r="AG147" s="340" t="s">
        <v>447</v>
      </c>
      <c r="AH147" s="342">
        <v>44105</v>
      </c>
      <c r="AI147" s="340" t="s">
        <v>454</v>
      </c>
      <c r="AJ147" s="340" t="s">
        <v>455</v>
      </c>
      <c r="AK147" s="340" t="s">
        <v>456</v>
      </c>
      <c r="AL147" s="340" t="s">
        <v>457</v>
      </c>
      <c r="AM147" s="340">
        <v>6</v>
      </c>
      <c r="AN147" s="340" t="s">
        <v>458</v>
      </c>
      <c r="AO147" s="340" t="s">
        <v>459</v>
      </c>
      <c r="AP147" s="340">
        <v>3</v>
      </c>
      <c r="AQ147" s="340" t="s">
        <v>460</v>
      </c>
      <c r="AR147" s="340">
        <v>3018</v>
      </c>
      <c r="AS147" s="340" t="s">
        <v>744</v>
      </c>
      <c r="AT147" s="340">
        <v>1</v>
      </c>
      <c r="AU147" s="340" t="s">
        <v>462</v>
      </c>
      <c r="AV147" s="343">
        <v>0.375</v>
      </c>
      <c r="AW147" s="343">
        <v>0.58333333333333337</v>
      </c>
      <c r="AX147" s="340" t="s">
        <v>463</v>
      </c>
      <c r="AY147" s="340" t="s">
        <v>464</v>
      </c>
    </row>
    <row r="148" spans="1:51" x14ac:dyDescent="0.25">
      <c r="A148" s="339" t="s">
        <v>441</v>
      </c>
      <c r="B148" s="339" t="s">
        <v>442</v>
      </c>
      <c r="C148" s="339" t="s">
        <v>469</v>
      </c>
      <c r="D148" s="339">
        <v>5</v>
      </c>
      <c r="E148" s="339">
        <v>1</v>
      </c>
      <c r="F148" s="339">
        <v>6.5</v>
      </c>
      <c r="G148" s="340">
        <v>2027810200</v>
      </c>
      <c r="H148" s="346">
        <v>278102</v>
      </c>
      <c r="I148" s="348">
        <v>58</v>
      </c>
      <c r="J148" s="341">
        <v>14</v>
      </c>
      <c r="K148" s="341">
        <v>56</v>
      </c>
      <c r="L148" s="348">
        <f t="shared" ref="L148:L174" si="8">J148+K148</f>
        <v>70</v>
      </c>
      <c r="M148" s="341">
        <v>278</v>
      </c>
      <c r="N148" s="340" t="s">
        <v>1050</v>
      </c>
      <c r="O148" s="340">
        <v>8</v>
      </c>
      <c r="P148" s="340" t="s">
        <v>1051</v>
      </c>
      <c r="Q148" s="340" t="s">
        <v>0</v>
      </c>
      <c r="R148" s="340" t="s">
        <v>446</v>
      </c>
      <c r="S148" s="340" t="s">
        <v>447</v>
      </c>
      <c r="T148" s="340">
        <v>3</v>
      </c>
      <c r="U148" s="340" t="s">
        <v>0</v>
      </c>
      <c r="V148" s="340" t="s">
        <v>472</v>
      </c>
      <c r="W148" s="340" t="s">
        <v>0</v>
      </c>
      <c r="X148" s="340" t="s">
        <v>550</v>
      </c>
      <c r="Y148" s="340" t="s">
        <v>0</v>
      </c>
      <c r="Z148" s="340" t="s">
        <v>450</v>
      </c>
      <c r="AA148" s="340" t="s">
        <v>0</v>
      </c>
      <c r="AB148" s="340" t="s">
        <v>1052</v>
      </c>
      <c r="AC148" s="340" t="s">
        <v>0</v>
      </c>
      <c r="AD148" s="340">
        <v>68430</v>
      </c>
      <c r="AE148" s="340" t="s">
        <v>452</v>
      </c>
      <c r="AF148" s="340" t="s">
        <v>453</v>
      </c>
      <c r="AG148" s="340" t="s">
        <v>447</v>
      </c>
      <c r="AH148" s="342">
        <v>40450</v>
      </c>
      <c r="AI148" s="340" t="s">
        <v>454</v>
      </c>
      <c r="AJ148" s="340" t="s">
        <v>455</v>
      </c>
      <c r="AK148" s="340" t="s">
        <v>456</v>
      </c>
      <c r="AL148" s="340" t="s">
        <v>457</v>
      </c>
      <c r="AM148" s="340">
        <v>6</v>
      </c>
      <c r="AN148" s="340" t="s">
        <v>458</v>
      </c>
      <c r="AO148" s="340" t="s">
        <v>459</v>
      </c>
      <c r="AP148" s="340">
        <v>3</v>
      </c>
      <c r="AQ148" s="340" t="s">
        <v>460</v>
      </c>
      <c r="AR148" s="340">
        <v>3094</v>
      </c>
      <c r="AS148" s="340" t="s">
        <v>461</v>
      </c>
      <c r="AT148" s="340">
        <v>1</v>
      </c>
      <c r="AU148" s="340" t="s">
        <v>462</v>
      </c>
      <c r="AV148" s="340" t="s">
        <v>447</v>
      </c>
      <c r="AW148" s="340" t="s">
        <v>447</v>
      </c>
      <c r="AX148" s="340" t="s">
        <v>463</v>
      </c>
      <c r="AY148" s="340" t="s">
        <v>464</v>
      </c>
    </row>
    <row r="149" spans="1:51" x14ac:dyDescent="0.25">
      <c r="A149" s="339" t="s">
        <v>441</v>
      </c>
      <c r="B149" s="339" t="s">
        <v>442</v>
      </c>
      <c r="C149" s="339" t="s">
        <v>443</v>
      </c>
      <c r="D149" s="339">
        <v>7</v>
      </c>
      <c r="E149" s="339">
        <v>1</v>
      </c>
      <c r="F149" s="339">
        <v>6.5</v>
      </c>
      <c r="G149" s="340">
        <v>2027910200</v>
      </c>
      <c r="H149" s="346">
        <v>279102</v>
      </c>
      <c r="I149" s="348">
        <v>88</v>
      </c>
      <c r="J149" s="341">
        <v>65</v>
      </c>
      <c r="K149" s="341">
        <v>36</v>
      </c>
      <c r="L149" s="348">
        <f t="shared" si="8"/>
        <v>101</v>
      </c>
      <c r="M149" s="341">
        <v>279</v>
      </c>
      <c r="N149" s="340" t="s">
        <v>1053</v>
      </c>
      <c r="O149" s="340">
        <v>1</v>
      </c>
      <c r="P149" s="340" t="s">
        <v>1053</v>
      </c>
      <c r="Q149" s="340" t="s">
        <v>0</v>
      </c>
      <c r="R149" s="340" t="s">
        <v>446</v>
      </c>
      <c r="S149" s="340" t="s">
        <v>447</v>
      </c>
      <c r="T149" s="340">
        <v>2</v>
      </c>
      <c r="U149" s="340" t="s">
        <v>0</v>
      </c>
      <c r="V149" s="340" t="s">
        <v>448</v>
      </c>
      <c r="W149" s="340" t="s">
        <v>0</v>
      </c>
      <c r="X149" s="340" t="s">
        <v>508</v>
      </c>
      <c r="Y149" s="340" t="s">
        <v>0</v>
      </c>
      <c r="Z149" s="340" t="s">
        <v>1054</v>
      </c>
      <c r="AA149" s="340" t="s">
        <v>0</v>
      </c>
      <c r="AB149" s="340" t="s">
        <v>1055</v>
      </c>
      <c r="AC149" s="340" t="s">
        <v>0</v>
      </c>
      <c r="AD149" s="340">
        <v>70880</v>
      </c>
      <c r="AE149" s="340" t="s">
        <v>452</v>
      </c>
      <c r="AF149" s="340" t="s">
        <v>453</v>
      </c>
      <c r="AG149" s="340" t="s">
        <v>447</v>
      </c>
      <c r="AH149" s="342">
        <v>45201</v>
      </c>
      <c r="AI149" s="340" t="s">
        <v>454</v>
      </c>
      <c r="AJ149" s="340" t="s">
        <v>455</v>
      </c>
      <c r="AK149" s="340" t="s">
        <v>456</v>
      </c>
      <c r="AL149" s="340" t="s">
        <v>457</v>
      </c>
      <c r="AM149" s="340">
        <v>6</v>
      </c>
      <c r="AN149" s="340" t="s">
        <v>458</v>
      </c>
      <c r="AO149" s="340" t="s">
        <v>459</v>
      </c>
      <c r="AP149" s="340">
        <v>3</v>
      </c>
      <c r="AQ149" s="340" t="s">
        <v>460</v>
      </c>
      <c r="AR149" s="340">
        <v>3047</v>
      </c>
      <c r="AS149" s="340" t="s">
        <v>636</v>
      </c>
      <c r="AT149" s="340">
        <v>209083</v>
      </c>
      <c r="AU149" s="340" t="s">
        <v>1056</v>
      </c>
      <c r="AV149" s="343">
        <v>0.375</v>
      </c>
      <c r="AW149" s="343">
        <v>0.58333333333333337</v>
      </c>
      <c r="AX149" s="340" t="s">
        <v>463</v>
      </c>
      <c r="AY149" s="340" t="s">
        <v>464</v>
      </c>
    </row>
    <row r="150" spans="1:51" x14ac:dyDescent="0.25">
      <c r="A150" s="339" t="s">
        <v>441</v>
      </c>
      <c r="B150" s="339" t="s">
        <v>442</v>
      </c>
      <c r="C150" s="339" t="s">
        <v>443</v>
      </c>
      <c r="D150" s="339">
        <v>4</v>
      </c>
      <c r="E150" s="339">
        <v>5</v>
      </c>
      <c r="F150" s="339">
        <v>6.5</v>
      </c>
      <c r="G150" s="340">
        <v>2028310100</v>
      </c>
      <c r="H150" s="346">
        <v>283101</v>
      </c>
      <c r="I150" s="348">
        <v>91</v>
      </c>
      <c r="J150" s="341">
        <v>55</v>
      </c>
      <c r="K150" s="341">
        <v>72</v>
      </c>
      <c r="L150" s="348">
        <f t="shared" si="8"/>
        <v>127</v>
      </c>
      <c r="M150" s="341">
        <v>283</v>
      </c>
      <c r="N150" s="340" t="s">
        <v>1057</v>
      </c>
      <c r="O150" s="340">
        <v>1</v>
      </c>
      <c r="P150" s="340" t="s">
        <v>1057</v>
      </c>
      <c r="Q150" s="340" t="s">
        <v>0</v>
      </c>
      <c r="R150" s="340" t="s">
        <v>446</v>
      </c>
      <c r="S150" s="340" t="s">
        <v>447</v>
      </c>
      <c r="T150" s="340">
        <v>2</v>
      </c>
      <c r="U150" s="340" t="s">
        <v>0</v>
      </c>
      <c r="V150" s="340" t="s">
        <v>448</v>
      </c>
      <c r="W150" s="340" t="s">
        <v>0</v>
      </c>
      <c r="X150" s="340" t="s">
        <v>487</v>
      </c>
      <c r="Y150" s="340" t="s">
        <v>0</v>
      </c>
      <c r="Z150" s="340" t="s">
        <v>1058</v>
      </c>
      <c r="AA150" s="340" t="s">
        <v>0</v>
      </c>
      <c r="AB150" s="340" t="s">
        <v>1059</v>
      </c>
      <c r="AC150" s="340" t="s">
        <v>0</v>
      </c>
      <c r="AD150" s="340">
        <v>69360</v>
      </c>
      <c r="AE150" s="340" t="s">
        <v>452</v>
      </c>
      <c r="AF150" s="340" t="s">
        <v>453</v>
      </c>
      <c r="AG150" s="340" t="s">
        <v>447</v>
      </c>
      <c r="AH150" s="342">
        <v>44635</v>
      </c>
      <c r="AI150" s="340" t="s">
        <v>454</v>
      </c>
      <c r="AJ150" s="340" t="s">
        <v>455</v>
      </c>
      <c r="AK150" s="340" t="s">
        <v>456</v>
      </c>
      <c r="AL150" s="340" t="s">
        <v>457</v>
      </c>
      <c r="AM150" s="340">
        <v>6</v>
      </c>
      <c r="AN150" s="340" t="s">
        <v>458</v>
      </c>
      <c r="AO150" s="340" t="s">
        <v>459</v>
      </c>
      <c r="AP150" s="340">
        <v>3</v>
      </c>
      <c r="AQ150" s="340" t="s">
        <v>460</v>
      </c>
      <c r="AR150" s="340">
        <v>3033</v>
      </c>
      <c r="AS150" s="340" t="s">
        <v>825</v>
      </c>
      <c r="AT150" s="340">
        <v>1</v>
      </c>
      <c r="AU150" s="340" t="s">
        <v>462</v>
      </c>
      <c r="AV150" s="343">
        <v>0.375</v>
      </c>
      <c r="AW150" s="343">
        <v>0.58333333333333337</v>
      </c>
      <c r="AX150" s="340" t="s">
        <v>463</v>
      </c>
      <c r="AY150" s="340" t="s">
        <v>464</v>
      </c>
    </row>
    <row r="151" spans="1:51" x14ac:dyDescent="0.25">
      <c r="A151" s="339" t="s">
        <v>441</v>
      </c>
      <c r="B151" s="339" t="s">
        <v>442</v>
      </c>
      <c r="C151" s="339" t="s">
        <v>443</v>
      </c>
      <c r="D151" s="339">
        <v>4</v>
      </c>
      <c r="E151" s="339">
        <v>9</v>
      </c>
      <c r="F151" s="339">
        <v>6.5</v>
      </c>
      <c r="G151" s="340">
        <v>2029010200</v>
      </c>
      <c r="H151" s="346">
        <v>290102</v>
      </c>
      <c r="I151" s="348">
        <v>74</v>
      </c>
      <c r="J151" s="341">
        <v>41</v>
      </c>
      <c r="K151" s="341">
        <v>64</v>
      </c>
      <c r="L151" s="348">
        <f t="shared" si="8"/>
        <v>105</v>
      </c>
      <c r="M151" s="341">
        <v>290</v>
      </c>
      <c r="N151" s="340" t="s">
        <v>1061</v>
      </c>
      <c r="O151" s="340">
        <v>1</v>
      </c>
      <c r="P151" s="340" t="s">
        <v>1062</v>
      </c>
      <c r="Q151" s="340" t="s">
        <v>0</v>
      </c>
      <c r="R151" s="340" t="s">
        <v>446</v>
      </c>
      <c r="S151" s="340" t="s">
        <v>447</v>
      </c>
      <c r="T151" s="340">
        <v>2</v>
      </c>
      <c r="U151" s="340" t="s">
        <v>0</v>
      </c>
      <c r="V151" s="340" t="s">
        <v>448</v>
      </c>
      <c r="W151" s="340" t="s">
        <v>0</v>
      </c>
      <c r="X151" s="340" t="s">
        <v>521</v>
      </c>
      <c r="Y151" s="340" t="s">
        <v>0</v>
      </c>
      <c r="Z151" s="340" t="s">
        <v>1063</v>
      </c>
      <c r="AA151" s="340" t="s">
        <v>0</v>
      </c>
      <c r="AB151" s="340" t="s">
        <v>1064</v>
      </c>
      <c r="AC151" s="340" t="s">
        <v>0</v>
      </c>
      <c r="AD151" s="340">
        <v>69140</v>
      </c>
      <c r="AE151" s="340" t="s">
        <v>452</v>
      </c>
      <c r="AF151" s="340" t="s">
        <v>453</v>
      </c>
      <c r="AG151" s="340" t="s">
        <v>447</v>
      </c>
      <c r="AH151" s="342">
        <v>45337</v>
      </c>
      <c r="AI151" s="340" t="s">
        <v>454</v>
      </c>
      <c r="AJ151" s="340" t="s">
        <v>455</v>
      </c>
      <c r="AK151" s="340" t="s">
        <v>456</v>
      </c>
      <c r="AL151" s="340" t="s">
        <v>457</v>
      </c>
      <c r="AM151" s="340">
        <v>6</v>
      </c>
      <c r="AN151" s="340" t="s">
        <v>458</v>
      </c>
      <c r="AO151" s="340" t="s">
        <v>459</v>
      </c>
      <c r="AP151" s="340">
        <v>3</v>
      </c>
      <c r="AQ151" s="340" t="s">
        <v>460</v>
      </c>
      <c r="AR151" s="340">
        <v>3142</v>
      </c>
      <c r="AS151" s="340" t="s">
        <v>507</v>
      </c>
      <c r="AT151" s="340">
        <v>208653</v>
      </c>
      <c r="AU151" s="340" t="s">
        <v>495</v>
      </c>
      <c r="AV151" s="343">
        <v>0.375</v>
      </c>
      <c r="AW151" s="343">
        <v>0.58333333333333337</v>
      </c>
      <c r="AX151" s="340" t="s">
        <v>463</v>
      </c>
      <c r="AY151" s="340" t="s">
        <v>464</v>
      </c>
    </row>
    <row r="152" spans="1:51" x14ac:dyDescent="0.25">
      <c r="A152" s="339" t="s">
        <v>441</v>
      </c>
      <c r="B152" s="339" t="s">
        <v>442</v>
      </c>
      <c r="C152" s="339" t="s">
        <v>469</v>
      </c>
      <c r="D152" s="339">
        <v>7</v>
      </c>
      <c r="E152" s="339">
        <v>3</v>
      </c>
      <c r="F152" s="339">
        <v>6.5</v>
      </c>
      <c r="G152" s="340">
        <v>2030110100</v>
      </c>
      <c r="H152" s="346">
        <v>301101</v>
      </c>
      <c r="I152" s="348">
        <v>53</v>
      </c>
      <c r="J152" s="341">
        <v>19</v>
      </c>
      <c r="K152" s="341">
        <v>50</v>
      </c>
      <c r="L152" s="348">
        <f t="shared" si="8"/>
        <v>69</v>
      </c>
      <c r="M152" s="341">
        <v>301</v>
      </c>
      <c r="N152" s="340" t="s">
        <v>1065</v>
      </c>
      <c r="O152" s="340">
        <v>1</v>
      </c>
      <c r="P152" s="340" t="s">
        <v>1066</v>
      </c>
      <c r="Q152" s="340" t="s">
        <v>0</v>
      </c>
      <c r="R152" s="340" t="s">
        <v>446</v>
      </c>
      <c r="S152" s="340" t="s">
        <v>447</v>
      </c>
      <c r="T152" s="340">
        <v>2</v>
      </c>
      <c r="U152" s="340" t="s">
        <v>0</v>
      </c>
      <c r="V152" s="340" t="s">
        <v>448</v>
      </c>
      <c r="W152" s="340" t="s">
        <v>0</v>
      </c>
      <c r="X152" s="340" t="s">
        <v>1067</v>
      </c>
      <c r="Y152" s="340" t="s">
        <v>0</v>
      </c>
      <c r="Z152" s="340" t="s">
        <v>450</v>
      </c>
      <c r="AA152" s="340" t="s">
        <v>0</v>
      </c>
      <c r="AB152" s="340" t="s">
        <v>845</v>
      </c>
      <c r="AC152" s="340" t="s">
        <v>0</v>
      </c>
      <c r="AD152" s="340">
        <v>71540</v>
      </c>
      <c r="AE152" s="340" t="s">
        <v>452</v>
      </c>
      <c r="AF152" s="340" t="s">
        <v>453</v>
      </c>
      <c r="AG152" s="340" t="s">
        <v>447</v>
      </c>
      <c r="AH152" s="342">
        <v>35334</v>
      </c>
      <c r="AI152" s="340" t="s">
        <v>454</v>
      </c>
      <c r="AJ152" s="340" t="s">
        <v>455</v>
      </c>
      <c r="AK152" s="340" t="s">
        <v>456</v>
      </c>
      <c r="AL152" s="340" t="s">
        <v>457</v>
      </c>
      <c r="AM152" s="340">
        <v>6</v>
      </c>
      <c r="AN152" s="340" t="s">
        <v>458</v>
      </c>
      <c r="AO152" s="340" t="s">
        <v>459</v>
      </c>
      <c r="AP152" s="340">
        <v>3</v>
      </c>
      <c r="AQ152" s="340" t="s">
        <v>460</v>
      </c>
      <c r="AR152" s="340">
        <v>4517</v>
      </c>
      <c r="AS152" s="340" t="s">
        <v>513</v>
      </c>
      <c r="AT152" s="340">
        <v>1</v>
      </c>
      <c r="AU152" s="340" t="s">
        <v>462</v>
      </c>
      <c r="AV152" s="343">
        <v>0.375</v>
      </c>
      <c r="AW152" s="343">
        <v>0.58333333333333337</v>
      </c>
      <c r="AX152" s="340" t="s">
        <v>463</v>
      </c>
      <c r="AY152" s="340" t="s">
        <v>464</v>
      </c>
    </row>
    <row r="153" spans="1:51" x14ac:dyDescent="0.25">
      <c r="A153" s="339" t="s">
        <v>441</v>
      </c>
      <c r="B153" s="339" t="s">
        <v>442</v>
      </c>
      <c r="C153" s="339" t="s">
        <v>443</v>
      </c>
      <c r="D153" s="339">
        <v>3</v>
      </c>
      <c r="E153" s="339">
        <v>3</v>
      </c>
      <c r="F153" s="339">
        <v>6.5</v>
      </c>
      <c r="G153" s="340">
        <v>2030510200</v>
      </c>
      <c r="H153" s="346">
        <v>305102</v>
      </c>
      <c r="I153" s="348">
        <v>87</v>
      </c>
      <c r="J153" s="341">
        <v>49</v>
      </c>
      <c r="K153" s="341">
        <v>91</v>
      </c>
      <c r="L153" s="348">
        <f t="shared" si="8"/>
        <v>140</v>
      </c>
      <c r="M153" s="341">
        <v>305</v>
      </c>
      <c r="N153" s="340" t="s">
        <v>1069</v>
      </c>
      <c r="O153" s="340">
        <v>1</v>
      </c>
      <c r="P153" s="340" t="s">
        <v>1069</v>
      </c>
      <c r="Q153" s="340" t="s">
        <v>0</v>
      </c>
      <c r="R153" s="340" t="s">
        <v>446</v>
      </c>
      <c r="S153" s="340" t="s">
        <v>447</v>
      </c>
      <c r="T153" s="340">
        <v>4</v>
      </c>
      <c r="U153" s="340" t="s">
        <v>0</v>
      </c>
      <c r="V153" s="340" t="s">
        <v>498</v>
      </c>
      <c r="W153" s="340" t="s">
        <v>0</v>
      </c>
      <c r="X153" s="340" t="s">
        <v>1070</v>
      </c>
      <c r="Y153" s="340" t="s">
        <v>0</v>
      </c>
      <c r="Z153" s="340" t="s">
        <v>1071</v>
      </c>
      <c r="AA153" s="340" t="s">
        <v>0</v>
      </c>
      <c r="AB153" s="340" t="s">
        <v>1072</v>
      </c>
      <c r="AC153" s="340" t="s">
        <v>0</v>
      </c>
      <c r="AD153" s="340">
        <v>76750</v>
      </c>
      <c r="AE153" s="340" t="s">
        <v>452</v>
      </c>
      <c r="AF153" s="340" t="s">
        <v>453</v>
      </c>
      <c r="AG153" s="340" t="s">
        <v>447</v>
      </c>
      <c r="AH153" s="342">
        <v>43070</v>
      </c>
      <c r="AI153" s="340" t="s">
        <v>454</v>
      </c>
      <c r="AJ153" s="340" t="s">
        <v>455</v>
      </c>
      <c r="AK153" s="340" t="s">
        <v>456</v>
      </c>
      <c r="AL153" s="340" t="s">
        <v>457</v>
      </c>
      <c r="AM153" s="340">
        <v>4</v>
      </c>
      <c r="AN153" s="340" t="s">
        <v>1073</v>
      </c>
      <c r="AO153" s="340" t="s">
        <v>459</v>
      </c>
      <c r="AP153" s="340">
        <v>8</v>
      </c>
      <c r="AQ153" s="340" t="s">
        <v>1074</v>
      </c>
      <c r="AR153" s="340">
        <v>3148</v>
      </c>
      <c r="AS153" s="340" t="s">
        <v>484</v>
      </c>
      <c r="AT153" s="340">
        <v>97905</v>
      </c>
      <c r="AU153" s="340" t="s">
        <v>1075</v>
      </c>
      <c r="AV153" s="343">
        <v>0.375</v>
      </c>
      <c r="AW153" s="343">
        <v>0.5</v>
      </c>
      <c r="AX153" s="340" t="s">
        <v>463</v>
      </c>
      <c r="AY153" s="340" t="s">
        <v>464</v>
      </c>
    </row>
    <row r="154" spans="1:51" x14ac:dyDescent="0.25">
      <c r="A154" s="339" t="s">
        <v>441</v>
      </c>
      <c r="B154" s="339" t="s">
        <v>442</v>
      </c>
      <c r="C154" s="339" t="s">
        <v>443</v>
      </c>
      <c r="D154" s="339">
        <v>3</v>
      </c>
      <c r="E154" s="339">
        <v>2</v>
      </c>
      <c r="F154" s="339">
        <v>6.5</v>
      </c>
      <c r="G154" s="340">
        <v>2030710700</v>
      </c>
      <c r="H154" s="346">
        <v>307107</v>
      </c>
      <c r="I154" s="348">
        <v>119</v>
      </c>
      <c r="J154" s="341">
        <v>71</v>
      </c>
      <c r="K154" s="341">
        <v>84</v>
      </c>
      <c r="L154" s="348">
        <f t="shared" si="8"/>
        <v>155</v>
      </c>
      <c r="M154" s="341">
        <v>307</v>
      </c>
      <c r="N154" s="340" t="s">
        <v>1076</v>
      </c>
      <c r="O154" s="340">
        <v>1</v>
      </c>
      <c r="P154" s="340" t="s">
        <v>1076</v>
      </c>
      <c r="Q154" s="340" t="s">
        <v>0</v>
      </c>
      <c r="R154" s="340" t="s">
        <v>446</v>
      </c>
      <c r="S154" s="340" t="s">
        <v>447</v>
      </c>
      <c r="T154" s="340">
        <v>2</v>
      </c>
      <c r="U154" s="340" t="s">
        <v>0</v>
      </c>
      <c r="V154" s="340" t="s">
        <v>448</v>
      </c>
      <c r="W154" s="340" t="s">
        <v>0</v>
      </c>
      <c r="X154" s="340" t="s">
        <v>1007</v>
      </c>
      <c r="Y154" s="340" t="s">
        <v>0</v>
      </c>
      <c r="Z154" s="340" t="s">
        <v>450</v>
      </c>
      <c r="AA154" s="340" t="s">
        <v>0</v>
      </c>
      <c r="AB154" s="340" t="s">
        <v>1077</v>
      </c>
      <c r="AC154" s="340" t="s">
        <v>0</v>
      </c>
      <c r="AD154" s="340">
        <v>70770</v>
      </c>
      <c r="AE154" s="340" t="s">
        <v>452</v>
      </c>
      <c r="AF154" s="340" t="s">
        <v>453</v>
      </c>
      <c r="AG154" s="340" t="s">
        <v>447</v>
      </c>
      <c r="AH154" s="342">
        <v>43080</v>
      </c>
      <c r="AI154" s="340" t="s">
        <v>454</v>
      </c>
      <c r="AJ154" s="340" t="s">
        <v>455</v>
      </c>
      <c r="AK154" s="340" t="s">
        <v>456</v>
      </c>
      <c r="AL154" s="340" t="s">
        <v>457</v>
      </c>
      <c r="AM154" s="340">
        <v>6</v>
      </c>
      <c r="AN154" s="340" t="s">
        <v>458</v>
      </c>
      <c r="AO154" s="340" t="s">
        <v>459</v>
      </c>
      <c r="AP154" s="340">
        <v>3</v>
      </c>
      <c r="AQ154" s="340" t="s">
        <v>460</v>
      </c>
      <c r="AR154" s="340">
        <v>3692</v>
      </c>
      <c r="AS154" s="340" t="s">
        <v>538</v>
      </c>
      <c r="AT154" s="340">
        <v>1</v>
      </c>
      <c r="AU154" s="340" t="s">
        <v>462</v>
      </c>
      <c r="AV154" s="343">
        <v>0.375</v>
      </c>
      <c r="AW154" s="343">
        <v>0.5</v>
      </c>
      <c r="AX154" s="340" t="s">
        <v>463</v>
      </c>
      <c r="AY154" s="340" t="s">
        <v>464</v>
      </c>
    </row>
    <row r="155" spans="1:51" x14ac:dyDescent="0.25">
      <c r="A155" s="339" t="s">
        <v>441</v>
      </c>
      <c r="B155" s="339" t="s">
        <v>442</v>
      </c>
      <c r="C155" s="339" t="s">
        <v>469</v>
      </c>
      <c r="D155" s="339">
        <v>3</v>
      </c>
      <c r="E155" s="339">
        <v>2</v>
      </c>
      <c r="F155" s="339">
        <v>6.5</v>
      </c>
      <c r="G155" s="340">
        <v>2030810100</v>
      </c>
      <c r="H155" s="346">
        <v>308101</v>
      </c>
      <c r="I155" s="348">
        <v>106</v>
      </c>
      <c r="J155" s="341">
        <v>59</v>
      </c>
      <c r="K155" s="341">
        <v>84</v>
      </c>
      <c r="L155" s="348">
        <f t="shared" si="8"/>
        <v>143</v>
      </c>
      <c r="M155" s="341">
        <v>308</v>
      </c>
      <c r="N155" s="340" t="s">
        <v>1078</v>
      </c>
      <c r="O155" s="340">
        <v>1</v>
      </c>
      <c r="P155" s="340" t="s">
        <v>1078</v>
      </c>
      <c r="Q155" s="340" t="s">
        <v>0</v>
      </c>
      <c r="R155" s="340" t="s">
        <v>446</v>
      </c>
      <c r="S155" s="340" t="s">
        <v>447</v>
      </c>
      <c r="T155" s="340">
        <v>2</v>
      </c>
      <c r="U155" s="340" t="s">
        <v>0</v>
      </c>
      <c r="V155" s="340" t="s">
        <v>448</v>
      </c>
      <c r="W155" s="340" t="s">
        <v>0</v>
      </c>
      <c r="X155" s="340" t="s">
        <v>516</v>
      </c>
      <c r="Y155" s="340" t="s">
        <v>0</v>
      </c>
      <c r="Z155" s="340" t="s">
        <v>450</v>
      </c>
      <c r="AA155" s="340" t="s">
        <v>0</v>
      </c>
      <c r="AB155" s="340" t="s">
        <v>1079</v>
      </c>
      <c r="AC155" s="340" t="s">
        <v>0</v>
      </c>
      <c r="AD155" s="340">
        <v>70077</v>
      </c>
      <c r="AE155" s="340" t="s">
        <v>452</v>
      </c>
      <c r="AF155" s="340" t="s">
        <v>453</v>
      </c>
      <c r="AG155" s="340" t="s">
        <v>447</v>
      </c>
      <c r="AH155" s="342">
        <v>40816</v>
      </c>
      <c r="AI155" s="340" t="s">
        <v>454</v>
      </c>
      <c r="AJ155" s="340" t="s">
        <v>455</v>
      </c>
      <c r="AK155" s="340" t="s">
        <v>456</v>
      </c>
      <c r="AL155" s="340" t="s">
        <v>457</v>
      </c>
      <c r="AM155" s="340">
        <v>6</v>
      </c>
      <c r="AN155" s="340" t="s">
        <v>458</v>
      </c>
      <c r="AO155" s="340" t="s">
        <v>459</v>
      </c>
      <c r="AP155" s="340">
        <v>3</v>
      </c>
      <c r="AQ155" s="340" t="s">
        <v>460</v>
      </c>
      <c r="AR155" s="340">
        <v>3692</v>
      </c>
      <c r="AS155" s="340" t="s">
        <v>538</v>
      </c>
      <c r="AT155" s="340">
        <v>1</v>
      </c>
      <c r="AU155" s="340" t="s">
        <v>462</v>
      </c>
      <c r="AV155" s="343">
        <v>0.375</v>
      </c>
      <c r="AW155" s="343">
        <v>0.54166666666666663</v>
      </c>
      <c r="AX155" s="340" t="s">
        <v>463</v>
      </c>
      <c r="AY155" s="340" t="s">
        <v>464</v>
      </c>
    </row>
    <row r="156" spans="1:51" x14ac:dyDescent="0.25">
      <c r="A156" s="339" t="s">
        <v>441</v>
      </c>
      <c r="B156" s="339" t="s">
        <v>442</v>
      </c>
      <c r="C156" s="339" t="s">
        <v>469</v>
      </c>
      <c r="D156" s="339">
        <v>2</v>
      </c>
      <c r="E156" s="339">
        <v>1</v>
      </c>
      <c r="F156" s="339">
        <v>6.5</v>
      </c>
      <c r="G156" s="340">
        <v>2031410100</v>
      </c>
      <c r="H156" s="346">
        <v>314101</v>
      </c>
      <c r="I156" s="348">
        <v>186</v>
      </c>
      <c r="J156" s="341">
        <v>122</v>
      </c>
      <c r="K156" s="341">
        <v>126</v>
      </c>
      <c r="L156" s="348">
        <f t="shared" si="8"/>
        <v>248</v>
      </c>
      <c r="M156" s="341">
        <v>314</v>
      </c>
      <c r="N156" s="340" t="s">
        <v>1080</v>
      </c>
      <c r="O156" s="340">
        <v>1</v>
      </c>
      <c r="P156" s="340" t="s">
        <v>1080</v>
      </c>
      <c r="Q156" s="340" t="s">
        <v>0</v>
      </c>
      <c r="R156" s="340" t="s">
        <v>446</v>
      </c>
      <c r="S156" s="340" t="s">
        <v>447</v>
      </c>
      <c r="T156" s="340">
        <v>3</v>
      </c>
      <c r="U156" s="340" t="s">
        <v>0</v>
      </c>
      <c r="V156" s="340" t="s">
        <v>472</v>
      </c>
      <c r="W156" s="340" t="s">
        <v>0</v>
      </c>
      <c r="X156" s="340" t="s">
        <v>1068</v>
      </c>
      <c r="Y156" s="340" t="s">
        <v>0</v>
      </c>
      <c r="Z156" s="340" t="s">
        <v>450</v>
      </c>
      <c r="AA156" s="340" t="s">
        <v>0</v>
      </c>
      <c r="AB156" s="340" t="s">
        <v>1081</v>
      </c>
      <c r="AC156" s="340" t="s">
        <v>0</v>
      </c>
      <c r="AD156" s="340">
        <v>71920</v>
      </c>
      <c r="AE156" s="340" t="s">
        <v>452</v>
      </c>
      <c r="AF156" s="340" t="s">
        <v>453</v>
      </c>
      <c r="AG156" s="340" t="s">
        <v>447</v>
      </c>
      <c r="AH156" s="342">
        <v>36811</v>
      </c>
      <c r="AI156" s="340" t="s">
        <v>454</v>
      </c>
      <c r="AJ156" s="340" t="s">
        <v>455</v>
      </c>
      <c r="AK156" s="340" t="s">
        <v>456</v>
      </c>
      <c r="AL156" s="340" t="s">
        <v>457</v>
      </c>
      <c r="AM156" s="340">
        <v>6</v>
      </c>
      <c r="AN156" s="340" t="s">
        <v>458</v>
      </c>
      <c r="AO156" s="340" t="s">
        <v>459</v>
      </c>
      <c r="AP156" s="340">
        <v>3</v>
      </c>
      <c r="AQ156" s="340" t="s">
        <v>460</v>
      </c>
      <c r="AR156" s="340">
        <v>3045</v>
      </c>
      <c r="AS156" s="340" t="s">
        <v>791</v>
      </c>
      <c r="AT156" s="340">
        <v>1</v>
      </c>
      <c r="AU156" s="340" t="s">
        <v>462</v>
      </c>
      <c r="AV156" s="343">
        <v>0.33333333333333331</v>
      </c>
      <c r="AW156" s="343">
        <v>0.58333333333333337</v>
      </c>
      <c r="AX156" s="340" t="s">
        <v>463</v>
      </c>
      <c r="AY156" s="340" t="s">
        <v>464</v>
      </c>
    </row>
    <row r="157" spans="1:51" x14ac:dyDescent="0.25">
      <c r="A157" s="339" t="s">
        <v>441</v>
      </c>
      <c r="B157" s="339" t="s">
        <v>442</v>
      </c>
      <c r="C157" s="339" t="s">
        <v>443</v>
      </c>
      <c r="D157" s="339">
        <v>4</v>
      </c>
      <c r="E157" s="339">
        <v>3</v>
      </c>
      <c r="F157" s="339">
        <v>6.5</v>
      </c>
      <c r="G157" s="340">
        <v>2031710200</v>
      </c>
      <c r="H157" s="346">
        <v>317102</v>
      </c>
      <c r="I157" s="348">
        <v>86</v>
      </c>
      <c r="J157" s="341">
        <v>44</v>
      </c>
      <c r="K157" s="341">
        <v>103</v>
      </c>
      <c r="L157" s="348">
        <f t="shared" si="8"/>
        <v>147</v>
      </c>
      <c r="M157" s="341">
        <v>317</v>
      </c>
      <c r="N157" s="340" t="s">
        <v>1082</v>
      </c>
      <c r="O157" s="340">
        <v>1</v>
      </c>
      <c r="P157" s="340" t="s">
        <v>1083</v>
      </c>
      <c r="Q157" s="340" t="s">
        <v>0</v>
      </c>
      <c r="R157" s="340" t="s">
        <v>446</v>
      </c>
      <c r="S157" s="340" t="s">
        <v>447</v>
      </c>
      <c r="T157" s="340">
        <v>2</v>
      </c>
      <c r="U157" s="340" t="s">
        <v>0</v>
      </c>
      <c r="V157" s="340" t="s">
        <v>448</v>
      </c>
      <c r="W157" s="340" t="s">
        <v>0</v>
      </c>
      <c r="X157" s="340" t="s">
        <v>521</v>
      </c>
      <c r="Y157" s="340" t="s">
        <v>0</v>
      </c>
      <c r="Z157" s="340" t="s">
        <v>1084</v>
      </c>
      <c r="AA157" s="340" t="s">
        <v>0</v>
      </c>
      <c r="AB157" s="340" t="s">
        <v>1085</v>
      </c>
      <c r="AC157" s="340" t="s">
        <v>0</v>
      </c>
      <c r="AD157" s="340">
        <v>69812</v>
      </c>
      <c r="AE157" s="340" t="s">
        <v>452</v>
      </c>
      <c r="AF157" s="340" t="s">
        <v>453</v>
      </c>
      <c r="AG157" s="340" t="s">
        <v>447</v>
      </c>
      <c r="AH157" s="342">
        <v>44124</v>
      </c>
      <c r="AI157" s="340" t="s">
        <v>454</v>
      </c>
      <c r="AJ157" s="340" t="s">
        <v>455</v>
      </c>
      <c r="AK157" s="340" t="s">
        <v>456</v>
      </c>
      <c r="AL157" s="340" t="s">
        <v>457</v>
      </c>
      <c r="AM157" s="340">
        <v>6</v>
      </c>
      <c r="AN157" s="340" t="s">
        <v>458</v>
      </c>
      <c r="AO157" s="340" t="s">
        <v>459</v>
      </c>
      <c r="AP157" s="340">
        <v>3</v>
      </c>
      <c r="AQ157" s="340" t="s">
        <v>460</v>
      </c>
      <c r="AR157" s="340">
        <v>3151</v>
      </c>
      <c r="AS157" s="340" t="s">
        <v>715</v>
      </c>
      <c r="AT157" s="340">
        <v>1</v>
      </c>
      <c r="AU157" s="340" t="s">
        <v>462</v>
      </c>
      <c r="AV157" s="343">
        <v>0.375</v>
      </c>
      <c r="AW157" s="343">
        <v>0.58333333333333337</v>
      </c>
      <c r="AX157" s="340" t="s">
        <v>463</v>
      </c>
      <c r="AY157" s="340" t="s">
        <v>464</v>
      </c>
    </row>
    <row r="158" spans="1:51" x14ac:dyDescent="0.25">
      <c r="A158" s="339" t="s">
        <v>441</v>
      </c>
      <c r="B158" s="339" t="s">
        <v>442</v>
      </c>
      <c r="C158" s="339" t="s">
        <v>469</v>
      </c>
      <c r="D158" s="339">
        <v>2</v>
      </c>
      <c r="E158" s="339">
        <v>1</v>
      </c>
      <c r="F158" s="339">
        <v>6.5</v>
      </c>
      <c r="G158" s="340">
        <v>2031810300</v>
      </c>
      <c r="H158" s="346">
        <v>318103</v>
      </c>
      <c r="I158" s="348">
        <v>51</v>
      </c>
      <c r="J158" s="341">
        <v>20</v>
      </c>
      <c r="K158" s="341">
        <v>53</v>
      </c>
      <c r="L158" s="348">
        <f t="shared" si="8"/>
        <v>73</v>
      </c>
      <c r="M158" s="341">
        <v>318</v>
      </c>
      <c r="N158" s="340" t="s">
        <v>835</v>
      </c>
      <c r="O158" s="340">
        <v>5</v>
      </c>
      <c r="P158" s="340" t="s">
        <v>1086</v>
      </c>
      <c r="Q158" s="340" t="s">
        <v>0</v>
      </c>
      <c r="R158" s="340" t="s">
        <v>446</v>
      </c>
      <c r="S158" s="340" t="s">
        <v>447</v>
      </c>
      <c r="T158" s="340">
        <v>1</v>
      </c>
      <c r="U158" s="340" t="s">
        <v>0</v>
      </c>
      <c r="V158" s="340" t="s">
        <v>511</v>
      </c>
      <c r="W158" s="340" t="s">
        <v>0</v>
      </c>
      <c r="X158" s="340" t="s">
        <v>623</v>
      </c>
      <c r="Y158" s="340" t="s">
        <v>0</v>
      </c>
      <c r="Z158" s="340" t="s">
        <v>450</v>
      </c>
      <c r="AA158" s="340" t="s">
        <v>0</v>
      </c>
      <c r="AB158" s="340" t="s">
        <v>984</v>
      </c>
      <c r="AC158" s="340" t="s">
        <v>0</v>
      </c>
      <c r="AD158" s="340">
        <v>71990</v>
      </c>
      <c r="AE158" s="340" t="s">
        <v>452</v>
      </c>
      <c r="AF158" s="340" t="s">
        <v>453</v>
      </c>
      <c r="AG158" s="340" t="s">
        <v>447</v>
      </c>
      <c r="AH158" s="342">
        <v>37888</v>
      </c>
      <c r="AI158" s="340" t="s">
        <v>454</v>
      </c>
      <c r="AJ158" s="340" t="s">
        <v>455</v>
      </c>
      <c r="AK158" s="340" t="s">
        <v>456</v>
      </c>
      <c r="AL158" s="340" t="s">
        <v>457</v>
      </c>
      <c r="AM158" s="340">
        <v>6</v>
      </c>
      <c r="AN158" s="340" t="s">
        <v>458</v>
      </c>
      <c r="AO158" s="340" t="s">
        <v>459</v>
      </c>
      <c r="AP158" s="340">
        <v>3</v>
      </c>
      <c r="AQ158" s="340" t="s">
        <v>460</v>
      </c>
      <c r="AR158" s="340">
        <v>3045</v>
      </c>
      <c r="AS158" s="340" t="s">
        <v>791</v>
      </c>
      <c r="AT158" s="340">
        <v>1</v>
      </c>
      <c r="AU158" s="340" t="s">
        <v>462</v>
      </c>
      <c r="AV158" s="343">
        <v>0.33333333333333331</v>
      </c>
      <c r="AW158" s="343">
        <v>0.58333333333333337</v>
      </c>
      <c r="AX158" s="340" t="s">
        <v>463</v>
      </c>
      <c r="AY158" s="340" t="s">
        <v>464</v>
      </c>
    </row>
    <row r="159" spans="1:51" x14ac:dyDescent="0.25">
      <c r="A159" s="339" t="s">
        <v>589</v>
      </c>
      <c r="B159" s="339" t="s">
        <v>442</v>
      </c>
      <c r="C159" s="339" t="s">
        <v>443</v>
      </c>
      <c r="D159" s="339">
        <v>2</v>
      </c>
      <c r="E159" s="339">
        <v>4</v>
      </c>
      <c r="F159" s="339">
        <v>6.5</v>
      </c>
      <c r="G159" s="340">
        <v>2031810600</v>
      </c>
      <c r="H159" s="346">
        <v>318106</v>
      </c>
      <c r="I159" s="348">
        <v>127</v>
      </c>
      <c r="J159" s="341">
        <v>108</v>
      </c>
      <c r="K159" s="341">
        <v>105</v>
      </c>
      <c r="L159" s="348">
        <f t="shared" si="8"/>
        <v>213</v>
      </c>
      <c r="M159" s="341">
        <v>318</v>
      </c>
      <c r="N159" s="340" t="s">
        <v>835</v>
      </c>
      <c r="O159" s="340">
        <v>9</v>
      </c>
      <c r="P159" s="340" t="s">
        <v>1087</v>
      </c>
      <c r="Q159" s="340" t="s">
        <v>0</v>
      </c>
      <c r="R159" s="340" t="s">
        <v>446</v>
      </c>
      <c r="S159" s="340" t="s">
        <v>447</v>
      </c>
      <c r="T159" s="340">
        <v>3</v>
      </c>
      <c r="U159" s="340" t="s">
        <v>0</v>
      </c>
      <c r="V159" s="340" t="s">
        <v>472</v>
      </c>
      <c r="W159" s="340" t="s">
        <v>0</v>
      </c>
      <c r="X159" s="340" t="s">
        <v>986</v>
      </c>
      <c r="Y159" s="340" t="s">
        <v>0</v>
      </c>
      <c r="Z159" s="340" t="s">
        <v>891</v>
      </c>
      <c r="AA159" s="340" t="s">
        <v>0</v>
      </c>
      <c r="AB159" s="340" t="s">
        <v>1088</v>
      </c>
      <c r="AC159" s="340" t="s">
        <v>0</v>
      </c>
      <c r="AD159" s="340">
        <v>71989</v>
      </c>
      <c r="AE159" s="340" t="s">
        <v>452</v>
      </c>
      <c r="AF159" s="340" t="s">
        <v>453</v>
      </c>
      <c r="AG159" s="340" t="s">
        <v>447</v>
      </c>
      <c r="AH159" s="342">
        <v>42964</v>
      </c>
      <c r="AI159" s="340" t="s">
        <v>454</v>
      </c>
      <c r="AJ159" s="340" t="s">
        <v>455</v>
      </c>
      <c r="AK159" s="340" t="s">
        <v>456</v>
      </c>
      <c r="AL159" s="340" t="s">
        <v>457</v>
      </c>
      <c r="AM159" s="340">
        <v>6</v>
      </c>
      <c r="AN159" s="340" t="s">
        <v>458</v>
      </c>
      <c r="AO159" s="340" t="s">
        <v>459</v>
      </c>
      <c r="AP159" s="340">
        <v>3</v>
      </c>
      <c r="AQ159" s="340" t="s">
        <v>460</v>
      </c>
      <c r="AR159" s="340">
        <v>3138</v>
      </c>
      <c r="AS159" s="340" t="s">
        <v>796</v>
      </c>
      <c r="AT159" s="340">
        <v>1</v>
      </c>
      <c r="AU159" s="340" t="s">
        <v>462</v>
      </c>
      <c r="AV159" s="343">
        <v>0.33333333333333331</v>
      </c>
      <c r="AW159" s="343">
        <v>0.58333333333333337</v>
      </c>
      <c r="AX159" s="340" t="s">
        <v>463</v>
      </c>
      <c r="AY159" s="340" t="s">
        <v>464</v>
      </c>
    </row>
    <row r="160" spans="1:51" x14ac:dyDescent="0.25">
      <c r="A160" s="339" t="s">
        <v>441</v>
      </c>
      <c r="B160" s="339" t="s">
        <v>442</v>
      </c>
      <c r="C160" s="339" t="s">
        <v>443</v>
      </c>
      <c r="D160" s="339">
        <v>2</v>
      </c>
      <c r="E160" s="339">
        <v>3</v>
      </c>
      <c r="F160" s="339">
        <v>6.5</v>
      </c>
      <c r="G160" s="340">
        <v>2031810800</v>
      </c>
      <c r="H160" s="346">
        <v>318108</v>
      </c>
      <c r="I160" s="348">
        <v>71</v>
      </c>
      <c r="J160" s="341">
        <v>71</v>
      </c>
      <c r="K160" s="341">
        <v>42</v>
      </c>
      <c r="L160" s="348">
        <f t="shared" si="8"/>
        <v>113</v>
      </c>
      <c r="M160" s="341">
        <v>318</v>
      </c>
      <c r="N160" s="340" t="s">
        <v>835</v>
      </c>
      <c r="O160" s="340">
        <v>78</v>
      </c>
      <c r="P160" s="340" t="s">
        <v>1089</v>
      </c>
      <c r="Q160" s="340" t="s">
        <v>0</v>
      </c>
      <c r="R160" s="340" t="s">
        <v>446</v>
      </c>
      <c r="S160" s="340" t="s">
        <v>447</v>
      </c>
      <c r="T160" s="340">
        <v>1</v>
      </c>
      <c r="U160" s="340" t="s">
        <v>0</v>
      </c>
      <c r="V160" s="340" t="s">
        <v>511</v>
      </c>
      <c r="W160" s="340" t="s">
        <v>0</v>
      </c>
      <c r="X160" s="340" t="s">
        <v>465</v>
      </c>
      <c r="Y160" s="340" t="s">
        <v>0</v>
      </c>
      <c r="Z160" s="340" t="s">
        <v>1090</v>
      </c>
      <c r="AA160" s="340" t="s">
        <v>0</v>
      </c>
      <c r="AB160" s="340" t="s">
        <v>466</v>
      </c>
      <c r="AC160" s="340" t="s">
        <v>0</v>
      </c>
      <c r="AD160" s="340">
        <v>71998</v>
      </c>
      <c r="AE160" s="340" t="s">
        <v>452</v>
      </c>
      <c r="AF160" s="340" t="s">
        <v>453</v>
      </c>
      <c r="AG160" s="340" t="s">
        <v>447</v>
      </c>
      <c r="AH160" s="342">
        <v>44909</v>
      </c>
      <c r="AI160" s="340" t="s">
        <v>454</v>
      </c>
      <c r="AJ160" s="340" t="s">
        <v>455</v>
      </c>
      <c r="AK160" s="340" t="s">
        <v>456</v>
      </c>
      <c r="AL160" s="340" t="s">
        <v>457</v>
      </c>
      <c r="AM160" s="340">
        <v>6</v>
      </c>
      <c r="AN160" s="340" t="s">
        <v>458</v>
      </c>
      <c r="AO160" s="340" t="s">
        <v>459</v>
      </c>
      <c r="AP160" s="340">
        <v>3</v>
      </c>
      <c r="AQ160" s="340" t="s">
        <v>460</v>
      </c>
      <c r="AR160" s="340">
        <v>3086</v>
      </c>
      <c r="AS160" s="340" t="s">
        <v>771</v>
      </c>
      <c r="AT160" s="340">
        <v>1</v>
      </c>
      <c r="AU160" s="340" t="s">
        <v>462</v>
      </c>
      <c r="AV160" s="343">
        <v>0.375</v>
      </c>
      <c r="AW160" s="343">
        <v>0.58333333333333337</v>
      </c>
      <c r="AX160" s="340" t="s">
        <v>463</v>
      </c>
      <c r="AY160" s="340" t="s">
        <v>464</v>
      </c>
    </row>
    <row r="161" spans="1:51" x14ac:dyDescent="0.25">
      <c r="A161" s="339" t="s">
        <v>441</v>
      </c>
      <c r="B161" s="339" t="s">
        <v>442</v>
      </c>
      <c r="C161" s="339" t="s">
        <v>443</v>
      </c>
      <c r="D161" s="339">
        <v>4</v>
      </c>
      <c r="E161" s="339">
        <v>1</v>
      </c>
      <c r="F161" s="339">
        <v>6.5</v>
      </c>
      <c r="G161" s="340">
        <v>2032010100</v>
      </c>
      <c r="H161" s="346">
        <v>320101</v>
      </c>
      <c r="I161" s="348">
        <v>54</v>
      </c>
      <c r="J161" s="341">
        <v>25</v>
      </c>
      <c r="K161" s="341">
        <v>52</v>
      </c>
      <c r="L161" s="348">
        <f t="shared" si="8"/>
        <v>77</v>
      </c>
      <c r="M161" s="341">
        <v>320</v>
      </c>
      <c r="N161" s="340" t="s">
        <v>1091</v>
      </c>
      <c r="O161" s="340">
        <v>1</v>
      </c>
      <c r="P161" s="340" t="s">
        <v>1091</v>
      </c>
      <c r="Q161" s="340" t="s">
        <v>0</v>
      </c>
      <c r="R161" s="340" t="s">
        <v>446</v>
      </c>
      <c r="S161" s="340" t="s">
        <v>447</v>
      </c>
      <c r="T161" s="340">
        <v>2</v>
      </c>
      <c r="U161" s="340" t="s">
        <v>0</v>
      </c>
      <c r="V161" s="340" t="s">
        <v>448</v>
      </c>
      <c r="W161" s="340" t="s">
        <v>0</v>
      </c>
      <c r="X161" s="340" t="s">
        <v>550</v>
      </c>
      <c r="Y161" s="340" t="s">
        <v>0</v>
      </c>
      <c r="Z161" s="340" t="s">
        <v>450</v>
      </c>
      <c r="AA161" s="340" t="s">
        <v>0</v>
      </c>
      <c r="AB161" s="340" t="s">
        <v>1092</v>
      </c>
      <c r="AC161" s="340" t="s">
        <v>0</v>
      </c>
      <c r="AD161" s="340">
        <v>69885</v>
      </c>
      <c r="AE161" s="340" t="s">
        <v>452</v>
      </c>
      <c r="AF161" s="340" t="s">
        <v>453</v>
      </c>
      <c r="AG161" s="340" t="s">
        <v>447</v>
      </c>
      <c r="AH161" s="342">
        <v>43388</v>
      </c>
      <c r="AI161" s="340" t="s">
        <v>454</v>
      </c>
      <c r="AJ161" s="340" t="s">
        <v>455</v>
      </c>
      <c r="AK161" s="340" t="s">
        <v>456</v>
      </c>
      <c r="AL161" s="340" t="s">
        <v>457</v>
      </c>
      <c r="AM161" s="340">
        <v>6</v>
      </c>
      <c r="AN161" s="340" t="s">
        <v>458</v>
      </c>
      <c r="AO161" s="340" t="s">
        <v>459</v>
      </c>
      <c r="AP161" s="340">
        <v>3</v>
      </c>
      <c r="AQ161" s="340" t="s">
        <v>460</v>
      </c>
      <c r="AR161" s="340">
        <v>3150</v>
      </c>
      <c r="AS161" s="340" t="s">
        <v>706</v>
      </c>
      <c r="AT161" s="340">
        <v>1</v>
      </c>
      <c r="AU161" s="340" t="s">
        <v>462</v>
      </c>
      <c r="AV161" s="343">
        <v>0.375</v>
      </c>
      <c r="AW161" s="343">
        <v>0.58333333333333337</v>
      </c>
      <c r="AX161" s="340" t="s">
        <v>463</v>
      </c>
      <c r="AY161" s="340" t="s">
        <v>464</v>
      </c>
    </row>
    <row r="162" spans="1:51" x14ac:dyDescent="0.25">
      <c r="A162" s="339" t="s">
        <v>441</v>
      </c>
      <c r="B162" s="339" t="s">
        <v>442</v>
      </c>
      <c r="C162" s="339" t="s">
        <v>469</v>
      </c>
      <c r="D162" s="339">
        <v>2</v>
      </c>
      <c r="E162" s="339">
        <v>2</v>
      </c>
      <c r="F162" s="339">
        <v>6.5</v>
      </c>
      <c r="G162" s="340">
        <v>2032410300</v>
      </c>
      <c r="H162" s="346">
        <v>324103</v>
      </c>
      <c r="I162" s="348">
        <v>602</v>
      </c>
      <c r="J162" s="341">
        <v>437</v>
      </c>
      <c r="K162" s="341">
        <v>496</v>
      </c>
      <c r="L162" s="348">
        <f t="shared" si="8"/>
        <v>933</v>
      </c>
      <c r="M162" s="341">
        <v>324</v>
      </c>
      <c r="N162" s="340" t="s">
        <v>767</v>
      </c>
      <c r="O162" s="340">
        <v>1</v>
      </c>
      <c r="P162" s="340" t="s">
        <v>767</v>
      </c>
      <c r="Q162" s="340" t="s">
        <v>0</v>
      </c>
      <c r="R162" s="340" t="s">
        <v>446</v>
      </c>
      <c r="S162" s="340" t="s">
        <v>447</v>
      </c>
      <c r="T162" s="340">
        <v>4</v>
      </c>
      <c r="U162" s="340" t="s">
        <v>0</v>
      </c>
      <c r="V162" s="340" t="s">
        <v>498</v>
      </c>
      <c r="W162" s="340" t="s">
        <v>0</v>
      </c>
      <c r="X162" s="340" t="s">
        <v>1094</v>
      </c>
      <c r="Y162" s="340" t="s">
        <v>0</v>
      </c>
      <c r="Z162" s="340" t="s">
        <v>1095</v>
      </c>
      <c r="AA162" s="340" t="s">
        <v>0</v>
      </c>
      <c r="AB162" s="340" t="s">
        <v>1096</v>
      </c>
      <c r="AC162" s="340" t="s">
        <v>0</v>
      </c>
      <c r="AD162" s="340">
        <v>70900</v>
      </c>
      <c r="AE162" s="340" t="s">
        <v>452</v>
      </c>
      <c r="AF162" s="340" t="s">
        <v>453</v>
      </c>
      <c r="AG162" s="340" t="s">
        <v>447</v>
      </c>
      <c r="AH162" s="342">
        <v>38295</v>
      </c>
      <c r="AI162" s="340" t="s">
        <v>454</v>
      </c>
      <c r="AJ162" s="340" t="s">
        <v>455</v>
      </c>
      <c r="AK162" s="340" t="s">
        <v>456</v>
      </c>
      <c r="AL162" s="340" t="s">
        <v>457</v>
      </c>
      <c r="AM162" s="340">
        <v>6</v>
      </c>
      <c r="AN162" s="340" t="s">
        <v>458</v>
      </c>
      <c r="AO162" s="340" t="s">
        <v>459</v>
      </c>
      <c r="AP162" s="340">
        <v>3</v>
      </c>
      <c r="AQ162" s="340" t="s">
        <v>460</v>
      </c>
      <c r="AR162" s="340">
        <v>3199</v>
      </c>
      <c r="AS162" s="340" t="s">
        <v>509</v>
      </c>
      <c r="AT162" s="340">
        <v>1</v>
      </c>
      <c r="AU162" s="340" t="s">
        <v>462</v>
      </c>
      <c r="AV162" s="343">
        <v>0.33333333333333331</v>
      </c>
      <c r="AW162" s="343">
        <v>0.58333333333333337</v>
      </c>
      <c r="AX162" s="340" t="s">
        <v>463</v>
      </c>
      <c r="AY162" s="340" t="s">
        <v>464</v>
      </c>
    </row>
    <row r="163" spans="1:51" x14ac:dyDescent="0.25">
      <c r="A163" s="339" t="s">
        <v>441</v>
      </c>
      <c r="B163" s="339" t="s">
        <v>442</v>
      </c>
      <c r="C163" s="339" t="s">
        <v>469</v>
      </c>
      <c r="D163" s="339">
        <v>2</v>
      </c>
      <c r="E163" s="339">
        <v>2</v>
      </c>
      <c r="F163" s="339">
        <v>6.5</v>
      </c>
      <c r="G163" s="340">
        <v>2032410400</v>
      </c>
      <c r="H163" s="346">
        <v>324104</v>
      </c>
      <c r="I163" s="348">
        <v>74</v>
      </c>
      <c r="J163" s="341">
        <v>21</v>
      </c>
      <c r="K163" s="341">
        <v>62</v>
      </c>
      <c r="L163" s="348">
        <f t="shared" si="8"/>
        <v>83</v>
      </c>
      <c r="M163" s="341">
        <v>324</v>
      </c>
      <c r="N163" s="340" t="s">
        <v>767</v>
      </c>
      <c r="O163" s="340">
        <v>237</v>
      </c>
      <c r="P163" s="340" t="s">
        <v>1097</v>
      </c>
      <c r="Q163" s="340" t="s">
        <v>0</v>
      </c>
      <c r="R163" s="340" t="s">
        <v>446</v>
      </c>
      <c r="S163" s="340" t="s">
        <v>447</v>
      </c>
      <c r="T163" s="340">
        <v>4</v>
      </c>
      <c r="U163" s="340" t="s">
        <v>0</v>
      </c>
      <c r="V163" s="340" t="s">
        <v>498</v>
      </c>
      <c r="W163" s="340" t="s">
        <v>0</v>
      </c>
      <c r="X163" s="340" t="s">
        <v>1098</v>
      </c>
      <c r="Y163" s="340" t="s">
        <v>0</v>
      </c>
      <c r="Z163" s="340" t="s">
        <v>1099</v>
      </c>
      <c r="AA163" s="340" t="s">
        <v>0</v>
      </c>
      <c r="AB163" s="340" t="s">
        <v>1100</v>
      </c>
      <c r="AC163" s="340" t="s">
        <v>0</v>
      </c>
      <c r="AD163" s="340">
        <v>70971</v>
      </c>
      <c r="AE163" s="340" t="s">
        <v>452</v>
      </c>
      <c r="AF163" s="340" t="s">
        <v>453</v>
      </c>
      <c r="AG163" s="340" t="s">
        <v>447</v>
      </c>
      <c r="AH163" s="342">
        <v>39630</v>
      </c>
      <c r="AI163" s="340" t="s">
        <v>454</v>
      </c>
      <c r="AJ163" s="340" t="s">
        <v>455</v>
      </c>
      <c r="AK163" s="340" t="s">
        <v>456</v>
      </c>
      <c r="AL163" s="340" t="s">
        <v>457</v>
      </c>
      <c r="AM163" s="340">
        <v>6</v>
      </c>
      <c r="AN163" s="340" t="s">
        <v>458</v>
      </c>
      <c r="AO163" s="340" t="s">
        <v>459</v>
      </c>
      <c r="AP163" s="340">
        <v>3</v>
      </c>
      <c r="AQ163" s="340" t="s">
        <v>460</v>
      </c>
      <c r="AR163" s="340">
        <v>3199</v>
      </c>
      <c r="AS163" s="340" t="s">
        <v>509</v>
      </c>
      <c r="AT163" s="340">
        <v>1</v>
      </c>
      <c r="AU163" s="340" t="s">
        <v>462</v>
      </c>
      <c r="AV163" s="343">
        <v>0.375</v>
      </c>
      <c r="AW163" s="343">
        <v>0.54166666666666663</v>
      </c>
      <c r="AX163" s="340" t="s">
        <v>463</v>
      </c>
      <c r="AY163" s="340" t="s">
        <v>464</v>
      </c>
    </row>
    <row r="164" spans="1:51" x14ac:dyDescent="0.25">
      <c r="A164" s="339" t="s">
        <v>441</v>
      </c>
      <c r="B164" s="339" t="s">
        <v>442</v>
      </c>
      <c r="C164" s="339" t="s">
        <v>443</v>
      </c>
      <c r="D164" s="339">
        <v>2</v>
      </c>
      <c r="E164" s="339">
        <v>2</v>
      </c>
      <c r="F164" s="339">
        <v>6.5</v>
      </c>
      <c r="G164" s="340">
        <v>2032411400</v>
      </c>
      <c r="H164" s="346">
        <v>324114</v>
      </c>
      <c r="I164" s="348">
        <v>38</v>
      </c>
      <c r="J164" s="341">
        <v>23</v>
      </c>
      <c r="K164" s="341">
        <v>33</v>
      </c>
      <c r="L164" s="348">
        <f t="shared" si="8"/>
        <v>56</v>
      </c>
      <c r="M164" s="341">
        <v>324</v>
      </c>
      <c r="N164" s="340" t="s">
        <v>767</v>
      </c>
      <c r="O164" s="340">
        <v>29</v>
      </c>
      <c r="P164" s="340" t="s">
        <v>1101</v>
      </c>
      <c r="Q164" s="340" t="s">
        <v>0</v>
      </c>
      <c r="R164" s="340" t="s">
        <v>446</v>
      </c>
      <c r="S164" s="340" t="s">
        <v>447</v>
      </c>
      <c r="T164" s="340">
        <v>2</v>
      </c>
      <c r="U164" s="340" t="s">
        <v>0</v>
      </c>
      <c r="V164" s="340" t="s">
        <v>448</v>
      </c>
      <c r="W164" s="340" t="s">
        <v>0</v>
      </c>
      <c r="X164" s="340" t="s">
        <v>465</v>
      </c>
      <c r="Y164" s="340" t="s">
        <v>0</v>
      </c>
      <c r="Z164" s="340" t="s">
        <v>1102</v>
      </c>
      <c r="AA164" s="340" t="s">
        <v>0</v>
      </c>
      <c r="AB164" s="340" t="s">
        <v>466</v>
      </c>
      <c r="AC164" s="340" t="s">
        <v>0</v>
      </c>
      <c r="AD164" s="340">
        <v>70905</v>
      </c>
      <c r="AE164" s="340" t="s">
        <v>452</v>
      </c>
      <c r="AF164" s="340" t="s">
        <v>453</v>
      </c>
      <c r="AG164" s="340" t="s">
        <v>447</v>
      </c>
      <c r="AH164" s="342">
        <v>44172</v>
      </c>
      <c r="AI164" s="340" t="s">
        <v>454</v>
      </c>
      <c r="AJ164" s="340" t="s">
        <v>455</v>
      </c>
      <c r="AK164" s="340" t="s">
        <v>456</v>
      </c>
      <c r="AL164" s="340" t="s">
        <v>457</v>
      </c>
      <c r="AM164" s="340">
        <v>6</v>
      </c>
      <c r="AN164" s="340" t="s">
        <v>458</v>
      </c>
      <c r="AO164" s="340" t="s">
        <v>459</v>
      </c>
      <c r="AP164" s="340">
        <v>3</v>
      </c>
      <c r="AQ164" s="340" t="s">
        <v>460</v>
      </c>
      <c r="AR164" s="340">
        <v>3199</v>
      </c>
      <c r="AS164" s="340" t="s">
        <v>509</v>
      </c>
      <c r="AT164" s="340">
        <v>1</v>
      </c>
      <c r="AU164" s="340" t="s">
        <v>462</v>
      </c>
      <c r="AV164" s="343">
        <v>0.375</v>
      </c>
      <c r="AW164" s="343">
        <v>0.58333333333333337</v>
      </c>
      <c r="AX164" s="340" t="s">
        <v>463</v>
      </c>
      <c r="AY164" s="340" t="s">
        <v>464</v>
      </c>
    </row>
    <row r="165" spans="1:51" x14ac:dyDescent="0.25">
      <c r="A165" s="339" t="s">
        <v>441</v>
      </c>
      <c r="B165" s="339" t="s">
        <v>442</v>
      </c>
      <c r="C165" s="339" t="s">
        <v>443</v>
      </c>
      <c r="D165" s="339">
        <v>2</v>
      </c>
      <c r="E165" s="339">
        <v>2</v>
      </c>
      <c r="F165" s="339">
        <v>6.5</v>
      </c>
      <c r="G165" s="340">
        <v>2032411500</v>
      </c>
      <c r="H165" s="346">
        <v>324115</v>
      </c>
      <c r="I165" s="348">
        <v>136</v>
      </c>
      <c r="J165" s="341">
        <v>108</v>
      </c>
      <c r="K165" s="341">
        <v>96</v>
      </c>
      <c r="L165" s="348">
        <f t="shared" si="8"/>
        <v>204</v>
      </c>
      <c r="M165" s="341">
        <v>324</v>
      </c>
      <c r="N165" s="340" t="s">
        <v>767</v>
      </c>
      <c r="O165" s="340">
        <v>27</v>
      </c>
      <c r="P165" s="340" t="s">
        <v>1103</v>
      </c>
      <c r="Q165" s="340" t="s">
        <v>0</v>
      </c>
      <c r="R165" s="340" t="s">
        <v>446</v>
      </c>
      <c r="S165" s="340" t="s">
        <v>447</v>
      </c>
      <c r="T165" s="340">
        <v>2</v>
      </c>
      <c r="U165" s="340" t="s">
        <v>0</v>
      </c>
      <c r="V165" s="340" t="s">
        <v>448</v>
      </c>
      <c r="W165" s="340" t="s">
        <v>0</v>
      </c>
      <c r="X165" s="340" t="s">
        <v>1104</v>
      </c>
      <c r="Y165" s="340" t="s">
        <v>0</v>
      </c>
      <c r="Z165" s="340" t="s">
        <v>1105</v>
      </c>
      <c r="AA165" s="340" t="s">
        <v>0</v>
      </c>
      <c r="AB165" s="340" t="s">
        <v>466</v>
      </c>
      <c r="AC165" s="340" t="s">
        <v>0</v>
      </c>
      <c r="AD165" s="340">
        <v>70904</v>
      </c>
      <c r="AE165" s="340" t="s">
        <v>452</v>
      </c>
      <c r="AF165" s="340" t="s">
        <v>453</v>
      </c>
      <c r="AG165" s="340" t="s">
        <v>447</v>
      </c>
      <c r="AH165" s="342">
        <v>44172</v>
      </c>
      <c r="AI165" s="340" t="s">
        <v>454</v>
      </c>
      <c r="AJ165" s="340" t="s">
        <v>455</v>
      </c>
      <c r="AK165" s="340" t="s">
        <v>456</v>
      </c>
      <c r="AL165" s="340" t="s">
        <v>457</v>
      </c>
      <c r="AM165" s="340">
        <v>6</v>
      </c>
      <c r="AN165" s="340" t="s">
        <v>458</v>
      </c>
      <c r="AO165" s="340" t="s">
        <v>459</v>
      </c>
      <c r="AP165" s="340">
        <v>3</v>
      </c>
      <c r="AQ165" s="340" t="s">
        <v>460</v>
      </c>
      <c r="AR165" s="340">
        <v>3199</v>
      </c>
      <c r="AS165" s="340" t="s">
        <v>509</v>
      </c>
      <c r="AT165" s="340">
        <v>1</v>
      </c>
      <c r="AU165" s="340" t="s">
        <v>462</v>
      </c>
      <c r="AV165" s="343">
        <v>0.375</v>
      </c>
      <c r="AW165" s="343">
        <v>0.58333333333333337</v>
      </c>
      <c r="AX165" s="340" t="s">
        <v>463</v>
      </c>
      <c r="AY165" s="340" t="s">
        <v>464</v>
      </c>
    </row>
    <row r="166" spans="1:51" x14ac:dyDescent="0.25">
      <c r="A166" s="339" t="s">
        <v>441</v>
      </c>
      <c r="B166" s="339" t="s">
        <v>442</v>
      </c>
      <c r="C166" s="339" t="s">
        <v>443</v>
      </c>
      <c r="D166" s="339">
        <v>2</v>
      </c>
      <c r="E166" s="339">
        <v>2</v>
      </c>
      <c r="F166" s="339">
        <v>6.5</v>
      </c>
      <c r="G166" s="340">
        <v>2032411600</v>
      </c>
      <c r="H166" s="346">
        <v>324116</v>
      </c>
      <c r="I166" s="348">
        <v>67</v>
      </c>
      <c r="J166" s="341">
        <v>44</v>
      </c>
      <c r="K166" s="341">
        <v>51</v>
      </c>
      <c r="L166" s="348">
        <f t="shared" si="8"/>
        <v>95</v>
      </c>
      <c r="M166" s="341">
        <v>324</v>
      </c>
      <c r="N166" s="340" t="s">
        <v>767</v>
      </c>
      <c r="O166" s="340">
        <v>109</v>
      </c>
      <c r="P166" s="340" t="s">
        <v>1106</v>
      </c>
      <c r="Q166" s="340" t="s">
        <v>0</v>
      </c>
      <c r="R166" s="340" t="s">
        <v>446</v>
      </c>
      <c r="S166" s="340" t="s">
        <v>447</v>
      </c>
      <c r="T166" s="340">
        <v>2</v>
      </c>
      <c r="U166" s="340" t="s">
        <v>0</v>
      </c>
      <c r="V166" s="340" t="s">
        <v>448</v>
      </c>
      <c r="W166" s="340" t="s">
        <v>0</v>
      </c>
      <c r="X166" s="340" t="s">
        <v>1107</v>
      </c>
      <c r="Y166" s="340" t="s">
        <v>0</v>
      </c>
      <c r="Z166" s="340" t="s">
        <v>1108</v>
      </c>
      <c r="AA166" s="340" t="s">
        <v>0</v>
      </c>
      <c r="AB166" s="340" t="s">
        <v>536</v>
      </c>
      <c r="AC166" s="340" t="s">
        <v>0</v>
      </c>
      <c r="AD166" s="340">
        <v>70904</v>
      </c>
      <c r="AE166" s="340" t="s">
        <v>452</v>
      </c>
      <c r="AF166" s="340" t="s">
        <v>453</v>
      </c>
      <c r="AG166" s="340" t="s">
        <v>447</v>
      </c>
      <c r="AH166" s="342">
        <v>44874</v>
      </c>
      <c r="AI166" s="340" t="s">
        <v>454</v>
      </c>
      <c r="AJ166" s="340" t="s">
        <v>455</v>
      </c>
      <c r="AK166" s="340" t="s">
        <v>456</v>
      </c>
      <c r="AL166" s="340" t="s">
        <v>457</v>
      </c>
      <c r="AM166" s="340">
        <v>6</v>
      </c>
      <c r="AN166" s="340" t="s">
        <v>458</v>
      </c>
      <c r="AO166" s="340" t="s">
        <v>459</v>
      </c>
      <c r="AP166" s="340">
        <v>3</v>
      </c>
      <c r="AQ166" s="340" t="s">
        <v>460</v>
      </c>
      <c r="AR166" s="340">
        <v>3199</v>
      </c>
      <c r="AS166" s="340" t="s">
        <v>509</v>
      </c>
      <c r="AT166" s="340">
        <v>1</v>
      </c>
      <c r="AU166" s="340" t="s">
        <v>462</v>
      </c>
      <c r="AV166" s="343">
        <v>0.375</v>
      </c>
      <c r="AW166" s="343">
        <v>0.58333333333333337</v>
      </c>
      <c r="AX166" s="340" t="s">
        <v>463</v>
      </c>
      <c r="AY166" s="340" t="s">
        <v>464</v>
      </c>
    </row>
    <row r="167" spans="1:51" x14ac:dyDescent="0.25">
      <c r="A167" s="339" t="s">
        <v>441</v>
      </c>
      <c r="B167" s="339" t="s">
        <v>442</v>
      </c>
      <c r="C167" s="339" t="s">
        <v>443</v>
      </c>
      <c r="D167" s="339">
        <v>2</v>
      </c>
      <c r="E167" s="339">
        <v>2</v>
      </c>
      <c r="F167" s="339">
        <v>6.5</v>
      </c>
      <c r="G167" s="340">
        <v>2032411700</v>
      </c>
      <c r="H167" s="346">
        <v>324117</v>
      </c>
      <c r="I167" s="348">
        <v>133</v>
      </c>
      <c r="J167" s="341">
        <v>113</v>
      </c>
      <c r="K167" s="341">
        <v>83</v>
      </c>
      <c r="L167" s="348">
        <f t="shared" si="8"/>
        <v>196</v>
      </c>
      <c r="M167" s="341">
        <v>324</v>
      </c>
      <c r="N167" s="340" t="s">
        <v>767</v>
      </c>
      <c r="O167" s="340">
        <v>235</v>
      </c>
      <c r="P167" s="340" t="s">
        <v>1109</v>
      </c>
      <c r="Q167" s="340" t="s">
        <v>0</v>
      </c>
      <c r="R167" s="340" t="s">
        <v>446</v>
      </c>
      <c r="S167" s="340" t="s">
        <v>447</v>
      </c>
      <c r="T167" s="340">
        <v>4</v>
      </c>
      <c r="U167" s="340" t="s">
        <v>0</v>
      </c>
      <c r="V167" s="340" t="s">
        <v>498</v>
      </c>
      <c r="W167" s="340" t="s">
        <v>0</v>
      </c>
      <c r="X167" s="340" t="s">
        <v>465</v>
      </c>
      <c r="Y167" s="340" t="s">
        <v>0</v>
      </c>
      <c r="Z167" s="340" t="s">
        <v>1110</v>
      </c>
      <c r="AA167" s="340" t="s">
        <v>0</v>
      </c>
      <c r="AB167" s="340" t="s">
        <v>1111</v>
      </c>
      <c r="AC167" s="340" t="s">
        <v>0</v>
      </c>
      <c r="AD167" s="340">
        <v>70905</v>
      </c>
      <c r="AE167" s="340" t="s">
        <v>452</v>
      </c>
      <c r="AF167" s="340" t="s">
        <v>453</v>
      </c>
      <c r="AG167" s="340" t="s">
        <v>447</v>
      </c>
      <c r="AH167" s="342">
        <v>45896</v>
      </c>
      <c r="AI167" s="340" t="s">
        <v>454</v>
      </c>
      <c r="AJ167" s="340" t="s">
        <v>455</v>
      </c>
      <c r="AK167" s="340" t="s">
        <v>456</v>
      </c>
      <c r="AL167" s="340" t="s">
        <v>457</v>
      </c>
      <c r="AM167" s="340">
        <v>6</v>
      </c>
      <c r="AN167" s="340" t="s">
        <v>458</v>
      </c>
      <c r="AO167" s="340" t="s">
        <v>459</v>
      </c>
      <c r="AP167" s="340">
        <v>3</v>
      </c>
      <c r="AQ167" s="340" t="s">
        <v>460</v>
      </c>
      <c r="AR167" s="340">
        <v>3199</v>
      </c>
      <c r="AS167" s="340" t="s">
        <v>509</v>
      </c>
      <c r="AT167" s="340">
        <v>208742</v>
      </c>
      <c r="AU167" s="340" t="s">
        <v>872</v>
      </c>
      <c r="AV167" s="343">
        <v>0.375</v>
      </c>
      <c r="AW167" s="343">
        <v>0.58333333333333337</v>
      </c>
      <c r="AX167" s="340" t="s">
        <v>463</v>
      </c>
      <c r="AY167" s="340" t="s">
        <v>464</v>
      </c>
    </row>
    <row r="168" spans="1:51" x14ac:dyDescent="0.25">
      <c r="A168" s="339" t="s">
        <v>441</v>
      </c>
      <c r="B168" s="339" t="s">
        <v>442</v>
      </c>
      <c r="C168" s="339" t="s">
        <v>443</v>
      </c>
      <c r="D168" s="339">
        <v>2</v>
      </c>
      <c r="E168" s="339">
        <v>2</v>
      </c>
      <c r="F168" s="339">
        <v>6.5</v>
      </c>
      <c r="G168" s="340">
        <v>2032411800</v>
      </c>
      <c r="H168" s="346">
        <v>324118</v>
      </c>
      <c r="I168" s="348">
        <v>73</v>
      </c>
      <c r="J168" s="341">
        <v>52</v>
      </c>
      <c r="K168" s="341">
        <v>59</v>
      </c>
      <c r="L168" s="348">
        <f t="shared" si="8"/>
        <v>111</v>
      </c>
      <c r="M168" s="341">
        <v>324</v>
      </c>
      <c r="N168" s="340" t="s">
        <v>767</v>
      </c>
      <c r="O168" s="340">
        <v>30</v>
      </c>
      <c r="P168" s="340" t="s">
        <v>1112</v>
      </c>
      <c r="Q168" s="340" t="s">
        <v>0</v>
      </c>
      <c r="R168" s="340" t="s">
        <v>446</v>
      </c>
      <c r="S168" s="340" t="s">
        <v>447</v>
      </c>
      <c r="T168" s="340">
        <v>2</v>
      </c>
      <c r="U168" s="340" t="s">
        <v>0</v>
      </c>
      <c r="V168" s="340" t="s">
        <v>448</v>
      </c>
      <c r="W168" s="340" t="s">
        <v>0</v>
      </c>
      <c r="X168" s="340" t="s">
        <v>681</v>
      </c>
      <c r="Y168" s="340" t="s">
        <v>0</v>
      </c>
      <c r="Z168" s="340" t="s">
        <v>1113</v>
      </c>
      <c r="AA168" s="340" t="s">
        <v>0</v>
      </c>
      <c r="AB168" s="340" t="s">
        <v>660</v>
      </c>
      <c r="AC168" s="340" t="s">
        <v>0</v>
      </c>
      <c r="AD168" s="340">
        <v>70904</v>
      </c>
      <c r="AE168" s="340" t="s">
        <v>452</v>
      </c>
      <c r="AF168" s="340" t="s">
        <v>453</v>
      </c>
      <c r="AG168" s="340" t="s">
        <v>447</v>
      </c>
      <c r="AH168" s="342">
        <v>45992</v>
      </c>
      <c r="AI168" s="340" t="s">
        <v>454</v>
      </c>
      <c r="AJ168" s="340" t="s">
        <v>455</v>
      </c>
      <c r="AK168" s="340" t="s">
        <v>456</v>
      </c>
      <c r="AL168" s="340" t="s">
        <v>457</v>
      </c>
      <c r="AM168" s="340">
        <v>6</v>
      </c>
      <c r="AN168" s="340" t="s">
        <v>458</v>
      </c>
      <c r="AO168" s="340" t="s">
        <v>459</v>
      </c>
      <c r="AP168" s="340">
        <v>3</v>
      </c>
      <c r="AQ168" s="340" t="s">
        <v>460</v>
      </c>
      <c r="AR168" s="340">
        <v>3199</v>
      </c>
      <c r="AS168" s="340" t="s">
        <v>509</v>
      </c>
      <c r="AT168" s="340">
        <v>208653</v>
      </c>
      <c r="AU168" s="340" t="s">
        <v>495</v>
      </c>
      <c r="AV168" s="343">
        <v>0.375</v>
      </c>
      <c r="AW168" s="343">
        <v>0.58333333333333337</v>
      </c>
      <c r="AX168" s="340" t="s">
        <v>463</v>
      </c>
      <c r="AY168" s="340" t="s">
        <v>464</v>
      </c>
    </row>
    <row r="169" spans="1:51" x14ac:dyDescent="0.25">
      <c r="A169" s="339" t="s">
        <v>441</v>
      </c>
      <c r="B169" s="339" t="s">
        <v>442</v>
      </c>
      <c r="C169" s="339" t="s">
        <v>443</v>
      </c>
      <c r="D169" s="339">
        <v>3</v>
      </c>
      <c r="E169" s="339">
        <v>5</v>
      </c>
      <c r="F169" s="339">
        <v>6.5</v>
      </c>
      <c r="G169" s="340">
        <v>2032710300</v>
      </c>
      <c r="H169" s="346">
        <v>327103</v>
      </c>
      <c r="I169" s="348">
        <v>82</v>
      </c>
      <c r="J169" s="341">
        <v>38</v>
      </c>
      <c r="K169" s="341">
        <v>62</v>
      </c>
      <c r="L169" s="348">
        <f t="shared" si="8"/>
        <v>100</v>
      </c>
      <c r="M169" s="341">
        <v>327</v>
      </c>
      <c r="N169" s="340" t="s">
        <v>1114</v>
      </c>
      <c r="O169" s="340">
        <v>50</v>
      </c>
      <c r="P169" s="340" t="s">
        <v>1115</v>
      </c>
      <c r="Q169" s="340" t="s">
        <v>0</v>
      </c>
      <c r="R169" s="340" t="s">
        <v>446</v>
      </c>
      <c r="S169" s="340" t="s">
        <v>447</v>
      </c>
      <c r="T169" s="340">
        <v>2</v>
      </c>
      <c r="U169" s="340" t="s">
        <v>0</v>
      </c>
      <c r="V169" s="340" t="s">
        <v>448</v>
      </c>
      <c r="W169" s="340" t="s">
        <v>0</v>
      </c>
      <c r="X169" s="340" t="s">
        <v>465</v>
      </c>
      <c r="Y169" s="340" t="s">
        <v>0</v>
      </c>
      <c r="Z169" s="340" t="s">
        <v>1116</v>
      </c>
      <c r="AA169" s="340" t="s">
        <v>0</v>
      </c>
      <c r="AB169" s="340" t="s">
        <v>571</v>
      </c>
      <c r="AC169" s="340" t="s">
        <v>0</v>
      </c>
      <c r="AD169" s="340">
        <v>70180</v>
      </c>
      <c r="AE169" s="340" t="s">
        <v>452</v>
      </c>
      <c r="AF169" s="340" t="s">
        <v>453</v>
      </c>
      <c r="AG169" s="340" t="s">
        <v>447</v>
      </c>
      <c r="AH169" s="342">
        <v>46035</v>
      </c>
      <c r="AI169" s="340" t="s">
        <v>454</v>
      </c>
      <c r="AJ169" s="340" t="s">
        <v>455</v>
      </c>
      <c r="AK169" s="340" t="s">
        <v>456</v>
      </c>
      <c r="AL169" s="340" t="s">
        <v>457</v>
      </c>
      <c r="AM169" s="340">
        <v>6</v>
      </c>
      <c r="AN169" s="340" t="s">
        <v>458</v>
      </c>
      <c r="AO169" s="340" t="s">
        <v>459</v>
      </c>
      <c r="AP169" s="340">
        <v>3</v>
      </c>
      <c r="AQ169" s="340" t="s">
        <v>460</v>
      </c>
      <c r="AR169" s="340">
        <v>3152</v>
      </c>
      <c r="AS169" s="340" t="s">
        <v>588</v>
      </c>
      <c r="AT169" s="340">
        <v>208781</v>
      </c>
      <c r="AU169" s="340" t="s">
        <v>485</v>
      </c>
      <c r="AV169" s="343">
        <v>0.375</v>
      </c>
      <c r="AW169" s="343">
        <v>0.58333333333333337</v>
      </c>
      <c r="AX169" s="340" t="s">
        <v>463</v>
      </c>
      <c r="AY169" s="340" t="s">
        <v>464</v>
      </c>
    </row>
    <row r="170" spans="1:51" x14ac:dyDescent="0.25">
      <c r="A170" s="339" t="s">
        <v>441</v>
      </c>
      <c r="B170" s="339" t="s">
        <v>442</v>
      </c>
      <c r="C170" s="339" t="s">
        <v>443</v>
      </c>
      <c r="D170" s="339">
        <v>4</v>
      </c>
      <c r="E170" s="339">
        <v>6</v>
      </c>
      <c r="F170" s="339">
        <v>6.5</v>
      </c>
      <c r="G170" s="340">
        <v>2032910200</v>
      </c>
      <c r="H170" s="346">
        <v>329102</v>
      </c>
      <c r="I170" s="348">
        <v>56</v>
      </c>
      <c r="J170" s="341">
        <v>21</v>
      </c>
      <c r="K170" s="341">
        <v>51</v>
      </c>
      <c r="L170" s="348">
        <f t="shared" si="8"/>
        <v>72</v>
      </c>
      <c r="M170" s="341">
        <v>329</v>
      </c>
      <c r="N170" s="340" t="s">
        <v>1117</v>
      </c>
      <c r="O170" s="340">
        <v>1</v>
      </c>
      <c r="P170" s="340" t="s">
        <v>1117</v>
      </c>
      <c r="Q170" s="340" t="s">
        <v>0</v>
      </c>
      <c r="R170" s="340" t="s">
        <v>446</v>
      </c>
      <c r="S170" s="340" t="s">
        <v>447</v>
      </c>
      <c r="T170" s="340">
        <v>2</v>
      </c>
      <c r="U170" s="340" t="s">
        <v>0</v>
      </c>
      <c r="V170" s="340" t="s">
        <v>448</v>
      </c>
      <c r="W170" s="340" t="s">
        <v>0</v>
      </c>
      <c r="X170" s="340" t="s">
        <v>1049</v>
      </c>
      <c r="Y170" s="340" t="s">
        <v>0</v>
      </c>
      <c r="Z170" s="340" t="s">
        <v>450</v>
      </c>
      <c r="AA170" s="340" t="s">
        <v>0</v>
      </c>
      <c r="AB170" s="340" t="s">
        <v>1118</v>
      </c>
      <c r="AC170" s="340" t="s">
        <v>0</v>
      </c>
      <c r="AD170" s="340">
        <v>69980</v>
      </c>
      <c r="AE170" s="340" t="s">
        <v>452</v>
      </c>
      <c r="AF170" s="340" t="s">
        <v>453</v>
      </c>
      <c r="AG170" s="340" t="s">
        <v>447</v>
      </c>
      <c r="AH170" s="342">
        <v>44105</v>
      </c>
      <c r="AI170" s="340" t="s">
        <v>454</v>
      </c>
      <c r="AJ170" s="340" t="s">
        <v>455</v>
      </c>
      <c r="AK170" s="340" t="s">
        <v>456</v>
      </c>
      <c r="AL170" s="340" t="s">
        <v>457</v>
      </c>
      <c r="AM170" s="340">
        <v>6</v>
      </c>
      <c r="AN170" s="340" t="s">
        <v>458</v>
      </c>
      <c r="AO170" s="340" t="s">
        <v>459</v>
      </c>
      <c r="AP170" s="340">
        <v>3</v>
      </c>
      <c r="AQ170" s="340" t="s">
        <v>460</v>
      </c>
      <c r="AR170" s="340">
        <v>3060</v>
      </c>
      <c r="AS170" s="340" t="s">
        <v>590</v>
      </c>
      <c r="AT170" s="340">
        <v>1</v>
      </c>
      <c r="AU170" s="340" t="s">
        <v>462</v>
      </c>
      <c r="AV170" s="343">
        <v>0.375</v>
      </c>
      <c r="AW170" s="343">
        <v>0.58333333333333337</v>
      </c>
      <c r="AX170" s="340" t="s">
        <v>463</v>
      </c>
      <c r="AY170" s="340" t="s">
        <v>464</v>
      </c>
    </row>
    <row r="171" spans="1:51" x14ac:dyDescent="0.25">
      <c r="A171" s="339" t="s">
        <v>441</v>
      </c>
      <c r="B171" s="339" t="s">
        <v>442</v>
      </c>
      <c r="C171" s="339" t="s">
        <v>443</v>
      </c>
      <c r="D171" s="339">
        <v>4</v>
      </c>
      <c r="E171" s="339">
        <v>6</v>
      </c>
      <c r="F171" s="339">
        <v>6.5</v>
      </c>
      <c r="G171" s="340">
        <v>2032910300</v>
      </c>
      <c r="H171" s="346">
        <v>329103</v>
      </c>
      <c r="I171" s="348">
        <v>68</v>
      </c>
      <c r="J171" s="341">
        <v>39</v>
      </c>
      <c r="K171" s="341">
        <v>59</v>
      </c>
      <c r="L171" s="348">
        <f t="shared" si="8"/>
        <v>98</v>
      </c>
      <c r="M171" s="341">
        <v>329</v>
      </c>
      <c r="N171" s="340" t="s">
        <v>1117</v>
      </c>
      <c r="O171" s="340">
        <v>4</v>
      </c>
      <c r="P171" s="340" t="s">
        <v>1119</v>
      </c>
      <c r="Q171" s="340" t="s">
        <v>0</v>
      </c>
      <c r="R171" s="340" t="s">
        <v>446</v>
      </c>
      <c r="S171" s="340" t="s">
        <v>447</v>
      </c>
      <c r="T171" s="340">
        <v>1</v>
      </c>
      <c r="U171" s="340" t="s">
        <v>0</v>
      </c>
      <c r="V171" s="340" t="s">
        <v>511</v>
      </c>
      <c r="W171" s="340" t="s">
        <v>0</v>
      </c>
      <c r="X171" s="340" t="s">
        <v>465</v>
      </c>
      <c r="Y171" s="340" t="s">
        <v>0</v>
      </c>
      <c r="Z171" s="340" t="s">
        <v>1120</v>
      </c>
      <c r="AA171" s="340" t="s">
        <v>0</v>
      </c>
      <c r="AB171" s="340" t="s">
        <v>1121</v>
      </c>
      <c r="AC171" s="340" t="s">
        <v>0</v>
      </c>
      <c r="AD171" s="340">
        <v>69983</v>
      </c>
      <c r="AE171" s="340" t="s">
        <v>452</v>
      </c>
      <c r="AF171" s="340" t="s">
        <v>453</v>
      </c>
      <c r="AG171" s="340" t="s">
        <v>447</v>
      </c>
      <c r="AH171" s="342">
        <v>45961</v>
      </c>
      <c r="AI171" s="340" t="s">
        <v>454</v>
      </c>
      <c r="AJ171" s="340" t="s">
        <v>455</v>
      </c>
      <c r="AK171" s="340" t="s">
        <v>456</v>
      </c>
      <c r="AL171" s="340" t="s">
        <v>457</v>
      </c>
      <c r="AM171" s="340">
        <v>6</v>
      </c>
      <c r="AN171" s="340" t="s">
        <v>458</v>
      </c>
      <c r="AO171" s="340" t="s">
        <v>459</v>
      </c>
      <c r="AP171" s="340">
        <v>3</v>
      </c>
      <c r="AQ171" s="340" t="s">
        <v>460</v>
      </c>
      <c r="AR171" s="340">
        <v>3060</v>
      </c>
      <c r="AS171" s="340" t="s">
        <v>590</v>
      </c>
      <c r="AT171" s="340">
        <v>208653</v>
      </c>
      <c r="AU171" s="340" t="s">
        <v>495</v>
      </c>
      <c r="AV171" s="343">
        <v>0.375</v>
      </c>
      <c r="AW171" s="343">
        <v>0.58333333333333337</v>
      </c>
      <c r="AX171" s="340" t="s">
        <v>463</v>
      </c>
      <c r="AY171" s="340" t="s">
        <v>464</v>
      </c>
    </row>
    <row r="172" spans="1:51" x14ac:dyDescent="0.25">
      <c r="A172" s="339" t="s">
        <v>441</v>
      </c>
      <c r="B172" s="339" t="s">
        <v>442</v>
      </c>
      <c r="C172" s="339" t="s">
        <v>469</v>
      </c>
      <c r="D172" s="339">
        <v>2</v>
      </c>
      <c r="E172" s="339">
        <v>4</v>
      </c>
      <c r="F172" s="339">
        <v>6.5</v>
      </c>
      <c r="G172" s="340">
        <v>2033410800</v>
      </c>
      <c r="H172" s="346">
        <v>334108</v>
      </c>
      <c r="I172" s="348">
        <v>112</v>
      </c>
      <c r="J172" s="341">
        <v>44</v>
      </c>
      <c r="K172" s="341">
        <v>118</v>
      </c>
      <c r="L172" s="348">
        <f t="shared" si="8"/>
        <v>162</v>
      </c>
      <c r="M172" s="341">
        <v>334</v>
      </c>
      <c r="N172" s="340" t="s">
        <v>792</v>
      </c>
      <c r="O172" s="340">
        <v>1</v>
      </c>
      <c r="P172" s="340" t="s">
        <v>792</v>
      </c>
      <c r="Q172" s="340" t="s">
        <v>0</v>
      </c>
      <c r="R172" s="340" t="s">
        <v>446</v>
      </c>
      <c r="S172" s="340" t="s">
        <v>447</v>
      </c>
      <c r="T172" s="340">
        <v>2</v>
      </c>
      <c r="U172" s="340" t="s">
        <v>0</v>
      </c>
      <c r="V172" s="340" t="s">
        <v>448</v>
      </c>
      <c r="W172" s="340" t="s">
        <v>0</v>
      </c>
      <c r="X172" s="340" t="s">
        <v>1122</v>
      </c>
      <c r="Y172" s="340" t="s">
        <v>0</v>
      </c>
      <c r="Z172" s="340" t="s">
        <v>450</v>
      </c>
      <c r="AA172" s="340" t="s">
        <v>0</v>
      </c>
      <c r="AB172" s="340" t="s">
        <v>1123</v>
      </c>
      <c r="AC172" s="340" t="s">
        <v>0</v>
      </c>
      <c r="AD172" s="340">
        <v>71830</v>
      </c>
      <c r="AE172" s="340" t="s">
        <v>452</v>
      </c>
      <c r="AF172" s="340" t="s">
        <v>453</v>
      </c>
      <c r="AG172" s="340" t="s">
        <v>447</v>
      </c>
      <c r="AH172" s="342">
        <v>41466</v>
      </c>
      <c r="AI172" s="340" t="s">
        <v>454</v>
      </c>
      <c r="AJ172" s="340" t="s">
        <v>455</v>
      </c>
      <c r="AK172" s="340" t="s">
        <v>456</v>
      </c>
      <c r="AL172" s="340" t="s">
        <v>457</v>
      </c>
      <c r="AM172" s="340">
        <v>6</v>
      </c>
      <c r="AN172" s="340" t="s">
        <v>458</v>
      </c>
      <c r="AO172" s="340" t="s">
        <v>459</v>
      </c>
      <c r="AP172" s="340">
        <v>3</v>
      </c>
      <c r="AQ172" s="340" t="s">
        <v>460</v>
      </c>
      <c r="AR172" s="340">
        <v>3138</v>
      </c>
      <c r="AS172" s="340" t="s">
        <v>796</v>
      </c>
      <c r="AT172" s="340">
        <v>1</v>
      </c>
      <c r="AU172" s="340" t="s">
        <v>462</v>
      </c>
      <c r="AV172" s="343">
        <v>0.33333333333333331</v>
      </c>
      <c r="AW172" s="343">
        <v>0.54166666666666663</v>
      </c>
      <c r="AX172" s="340" t="s">
        <v>463</v>
      </c>
      <c r="AY172" s="340" t="s">
        <v>464</v>
      </c>
    </row>
    <row r="173" spans="1:51" x14ac:dyDescent="0.25">
      <c r="A173" s="339" t="s">
        <v>441</v>
      </c>
      <c r="B173" s="339" t="s">
        <v>442</v>
      </c>
      <c r="C173" s="339" t="s">
        <v>469</v>
      </c>
      <c r="D173" s="339">
        <v>2</v>
      </c>
      <c r="E173" s="339">
        <v>4</v>
      </c>
      <c r="F173" s="339">
        <v>6.5</v>
      </c>
      <c r="G173" s="340">
        <v>2033412700</v>
      </c>
      <c r="H173" s="346">
        <v>334127</v>
      </c>
      <c r="I173" s="348">
        <v>282</v>
      </c>
      <c r="J173" s="341">
        <v>220</v>
      </c>
      <c r="K173" s="341">
        <v>225</v>
      </c>
      <c r="L173" s="348">
        <f t="shared" si="8"/>
        <v>445</v>
      </c>
      <c r="M173" s="341">
        <v>334</v>
      </c>
      <c r="N173" s="340" t="s">
        <v>792</v>
      </c>
      <c r="O173" s="340">
        <v>34</v>
      </c>
      <c r="P173" s="340" t="s">
        <v>1124</v>
      </c>
      <c r="Q173" s="340" t="s">
        <v>0</v>
      </c>
      <c r="R173" s="340" t="s">
        <v>446</v>
      </c>
      <c r="S173" s="340" t="s">
        <v>447</v>
      </c>
      <c r="T173" s="340">
        <v>2</v>
      </c>
      <c r="U173" s="340" t="s">
        <v>0</v>
      </c>
      <c r="V173" s="340" t="s">
        <v>448</v>
      </c>
      <c r="W173" s="340" t="s">
        <v>0</v>
      </c>
      <c r="X173" s="340" t="s">
        <v>516</v>
      </c>
      <c r="Y173" s="340" t="s">
        <v>0</v>
      </c>
      <c r="Z173" s="340" t="s">
        <v>1125</v>
      </c>
      <c r="AA173" s="340" t="s">
        <v>0</v>
      </c>
      <c r="AB173" s="340" t="s">
        <v>1126</v>
      </c>
      <c r="AC173" s="340" t="s">
        <v>0</v>
      </c>
      <c r="AD173" s="340">
        <v>68000</v>
      </c>
      <c r="AE173" s="340" t="s">
        <v>452</v>
      </c>
      <c r="AF173" s="340" t="s">
        <v>453</v>
      </c>
      <c r="AG173" s="340" t="s">
        <v>447</v>
      </c>
      <c r="AH173" s="342">
        <v>41579</v>
      </c>
      <c r="AI173" s="340" t="s">
        <v>454</v>
      </c>
      <c r="AJ173" s="340" t="s">
        <v>455</v>
      </c>
      <c r="AK173" s="340" t="s">
        <v>456</v>
      </c>
      <c r="AL173" s="340" t="s">
        <v>457</v>
      </c>
      <c r="AM173" s="340">
        <v>6</v>
      </c>
      <c r="AN173" s="340" t="s">
        <v>458</v>
      </c>
      <c r="AO173" s="340" t="s">
        <v>459</v>
      </c>
      <c r="AP173" s="340">
        <v>3</v>
      </c>
      <c r="AQ173" s="340" t="s">
        <v>460</v>
      </c>
      <c r="AR173" s="340">
        <v>3138</v>
      </c>
      <c r="AS173" s="340" t="s">
        <v>796</v>
      </c>
      <c r="AT173" s="340">
        <v>1</v>
      </c>
      <c r="AU173" s="340" t="s">
        <v>462</v>
      </c>
      <c r="AV173" s="343">
        <v>0.33333333333333331</v>
      </c>
      <c r="AW173" s="343">
        <v>0.58333333333333337</v>
      </c>
      <c r="AX173" s="340" t="s">
        <v>463</v>
      </c>
      <c r="AY173" s="340" t="s">
        <v>464</v>
      </c>
    </row>
    <row r="174" spans="1:51" x14ac:dyDescent="0.25">
      <c r="A174" s="339" t="s">
        <v>441</v>
      </c>
      <c r="B174" s="339" t="s">
        <v>442</v>
      </c>
      <c r="C174" s="339" t="s">
        <v>443</v>
      </c>
      <c r="D174" s="339">
        <v>2</v>
      </c>
      <c r="E174" s="339">
        <v>4</v>
      </c>
      <c r="F174" s="339">
        <v>6.5</v>
      </c>
      <c r="G174" s="340">
        <v>2033412800</v>
      </c>
      <c r="H174" s="346">
        <v>334128</v>
      </c>
      <c r="I174" s="348">
        <v>96</v>
      </c>
      <c r="J174" s="341">
        <v>48</v>
      </c>
      <c r="K174" s="341">
        <v>70</v>
      </c>
      <c r="L174" s="348">
        <f t="shared" si="8"/>
        <v>118</v>
      </c>
      <c r="M174" s="341">
        <v>334</v>
      </c>
      <c r="N174" s="340" t="s">
        <v>792</v>
      </c>
      <c r="O174" s="340">
        <v>2</v>
      </c>
      <c r="P174" s="340" t="s">
        <v>1127</v>
      </c>
      <c r="Q174" s="340" t="s">
        <v>0</v>
      </c>
      <c r="R174" s="340" t="s">
        <v>446</v>
      </c>
      <c r="S174" s="340" t="s">
        <v>447</v>
      </c>
      <c r="T174" s="340">
        <v>2</v>
      </c>
      <c r="U174" s="340" t="s">
        <v>0</v>
      </c>
      <c r="V174" s="340" t="s">
        <v>448</v>
      </c>
      <c r="W174" s="340" t="s">
        <v>0</v>
      </c>
      <c r="X174" s="340" t="s">
        <v>1128</v>
      </c>
      <c r="Y174" s="340" t="s">
        <v>0</v>
      </c>
      <c r="Z174" s="340" t="s">
        <v>450</v>
      </c>
      <c r="AA174" s="340" t="s">
        <v>0</v>
      </c>
      <c r="AB174" s="340" t="s">
        <v>1129</v>
      </c>
      <c r="AC174" s="340" t="s">
        <v>0</v>
      </c>
      <c r="AD174" s="340">
        <v>71930</v>
      </c>
      <c r="AE174" s="340" t="s">
        <v>452</v>
      </c>
      <c r="AF174" s="340" t="s">
        <v>453</v>
      </c>
      <c r="AG174" s="340" t="s">
        <v>447</v>
      </c>
      <c r="AH174" s="342">
        <v>42549</v>
      </c>
      <c r="AI174" s="340" t="s">
        <v>454</v>
      </c>
      <c r="AJ174" s="340" t="s">
        <v>455</v>
      </c>
      <c r="AK174" s="340" t="s">
        <v>456</v>
      </c>
      <c r="AL174" s="340" t="s">
        <v>457</v>
      </c>
      <c r="AM174" s="340">
        <v>6</v>
      </c>
      <c r="AN174" s="340" t="s">
        <v>458</v>
      </c>
      <c r="AO174" s="340" t="s">
        <v>459</v>
      </c>
      <c r="AP174" s="340">
        <v>3</v>
      </c>
      <c r="AQ174" s="340" t="s">
        <v>460</v>
      </c>
      <c r="AR174" s="340">
        <v>3138</v>
      </c>
      <c r="AS174" s="340" t="s">
        <v>796</v>
      </c>
      <c r="AT174" s="340">
        <v>1</v>
      </c>
      <c r="AU174" s="340" t="s">
        <v>462</v>
      </c>
      <c r="AV174" s="343">
        <v>0.375</v>
      </c>
      <c r="AW174" s="343">
        <v>0.58333333333333337</v>
      </c>
      <c r="AX174" s="340" t="s">
        <v>463</v>
      </c>
      <c r="AY174" s="340" t="s">
        <v>464</v>
      </c>
    </row>
    <row r="175" spans="1:51" x14ac:dyDescent="0.25">
      <c r="A175" s="339" t="s">
        <v>441</v>
      </c>
      <c r="B175" s="339" t="s">
        <v>442</v>
      </c>
      <c r="C175" s="339" t="s">
        <v>443</v>
      </c>
      <c r="D175" s="339">
        <v>2</v>
      </c>
      <c r="E175" s="339">
        <v>4</v>
      </c>
      <c r="F175" s="339">
        <v>6.5</v>
      </c>
      <c r="G175" s="340">
        <v>2033412900</v>
      </c>
      <c r="H175" s="346">
        <v>334129</v>
      </c>
      <c r="I175" s="348">
        <v>63</v>
      </c>
      <c r="J175" s="341">
        <v>42</v>
      </c>
      <c r="K175" s="341">
        <v>42</v>
      </c>
      <c r="L175" s="348">
        <f t="shared" ref="L175:L195" si="9">J175+K175</f>
        <v>84</v>
      </c>
      <c r="M175" s="341">
        <v>334</v>
      </c>
      <c r="N175" s="340" t="s">
        <v>792</v>
      </c>
      <c r="O175" s="340">
        <v>43</v>
      </c>
      <c r="P175" s="340" t="s">
        <v>1130</v>
      </c>
      <c r="Q175" s="340" t="s">
        <v>0</v>
      </c>
      <c r="R175" s="340" t="s">
        <v>446</v>
      </c>
      <c r="S175" s="340" t="s">
        <v>447</v>
      </c>
      <c r="T175" s="340">
        <v>2</v>
      </c>
      <c r="U175" s="340" t="s">
        <v>0</v>
      </c>
      <c r="V175" s="340" t="s">
        <v>448</v>
      </c>
      <c r="W175" s="340" t="s">
        <v>0</v>
      </c>
      <c r="X175" s="340" t="s">
        <v>677</v>
      </c>
      <c r="Y175" s="340" t="s">
        <v>0</v>
      </c>
      <c r="Z175" s="340" t="s">
        <v>1131</v>
      </c>
      <c r="AA175" s="340" t="s">
        <v>0</v>
      </c>
      <c r="AB175" s="340" t="s">
        <v>1132</v>
      </c>
      <c r="AC175" s="340" t="s">
        <v>0</v>
      </c>
      <c r="AD175" s="340">
        <v>71800</v>
      </c>
      <c r="AE175" s="340" t="s">
        <v>452</v>
      </c>
      <c r="AF175" s="340" t="s">
        <v>453</v>
      </c>
      <c r="AG175" s="340" t="s">
        <v>447</v>
      </c>
      <c r="AH175" s="342">
        <v>43721</v>
      </c>
      <c r="AI175" s="340" t="s">
        <v>454</v>
      </c>
      <c r="AJ175" s="340" t="s">
        <v>455</v>
      </c>
      <c r="AK175" s="340" t="s">
        <v>456</v>
      </c>
      <c r="AL175" s="340" t="s">
        <v>457</v>
      </c>
      <c r="AM175" s="340">
        <v>6</v>
      </c>
      <c r="AN175" s="340" t="s">
        <v>458</v>
      </c>
      <c r="AO175" s="340" t="s">
        <v>459</v>
      </c>
      <c r="AP175" s="340">
        <v>3</v>
      </c>
      <c r="AQ175" s="340" t="s">
        <v>460</v>
      </c>
      <c r="AR175" s="340">
        <v>3138</v>
      </c>
      <c r="AS175" s="340" t="s">
        <v>796</v>
      </c>
      <c r="AT175" s="340">
        <v>1</v>
      </c>
      <c r="AU175" s="340" t="s">
        <v>462</v>
      </c>
      <c r="AV175" s="343">
        <v>0.375</v>
      </c>
      <c r="AW175" s="343">
        <v>0.58333333333333337</v>
      </c>
      <c r="AX175" s="340" t="s">
        <v>463</v>
      </c>
      <c r="AY175" s="340" t="s">
        <v>464</v>
      </c>
    </row>
    <row r="176" spans="1:51" x14ac:dyDescent="0.25">
      <c r="A176" s="339" t="s">
        <v>441</v>
      </c>
      <c r="B176" s="339" t="s">
        <v>442</v>
      </c>
      <c r="C176" s="339" t="s">
        <v>443</v>
      </c>
      <c r="D176" s="339">
        <v>2</v>
      </c>
      <c r="E176" s="339">
        <v>4</v>
      </c>
      <c r="F176" s="339">
        <v>6.5</v>
      </c>
      <c r="G176" s="340">
        <v>2033413000</v>
      </c>
      <c r="H176" s="346">
        <v>334130</v>
      </c>
      <c r="I176" s="348">
        <v>247</v>
      </c>
      <c r="J176" s="341">
        <v>151</v>
      </c>
      <c r="K176" s="341">
        <v>267</v>
      </c>
      <c r="L176" s="348">
        <f t="shared" si="9"/>
        <v>418</v>
      </c>
      <c r="M176" s="341">
        <v>334</v>
      </c>
      <c r="N176" s="340" t="s">
        <v>792</v>
      </c>
      <c r="O176" s="340">
        <v>34</v>
      </c>
      <c r="P176" s="340" t="s">
        <v>1124</v>
      </c>
      <c r="Q176" s="340" t="s">
        <v>0</v>
      </c>
      <c r="R176" s="340" t="s">
        <v>446</v>
      </c>
      <c r="S176" s="340" t="s">
        <v>447</v>
      </c>
      <c r="T176" s="340">
        <v>2</v>
      </c>
      <c r="U176" s="340" t="s">
        <v>0</v>
      </c>
      <c r="V176" s="340" t="s">
        <v>448</v>
      </c>
      <c r="W176" s="340" t="s">
        <v>0</v>
      </c>
      <c r="X176" s="340" t="s">
        <v>1133</v>
      </c>
      <c r="Y176" s="340" t="s">
        <v>0</v>
      </c>
      <c r="Z176" s="340" t="s">
        <v>1134</v>
      </c>
      <c r="AA176" s="340" t="s">
        <v>0</v>
      </c>
      <c r="AB176" s="340" t="s">
        <v>1135</v>
      </c>
      <c r="AC176" s="340" t="s">
        <v>0</v>
      </c>
      <c r="AD176" s="340">
        <v>71830</v>
      </c>
      <c r="AE176" s="340" t="s">
        <v>452</v>
      </c>
      <c r="AF176" s="340" t="s">
        <v>453</v>
      </c>
      <c r="AG176" s="340" t="s">
        <v>447</v>
      </c>
      <c r="AH176" s="342">
        <v>43773</v>
      </c>
      <c r="AI176" s="340" t="s">
        <v>454</v>
      </c>
      <c r="AJ176" s="340" t="s">
        <v>455</v>
      </c>
      <c r="AK176" s="340" t="s">
        <v>456</v>
      </c>
      <c r="AL176" s="340" t="s">
        <v>457</v>
      </c>
      <c r="AM176" s="340">
        <v>6</v>
      </c>
      <c r="AN176" s="340" t="s">
        <v>458</v>
      </c>
      <c r="AO176" s="340" t="s">
        <v>459</v>
      </c>
      <c r="AP176" s="340">
        <v>3</v>
      </c>
      <c r="AQ176" s="340" t="s">
        <v>460</v>
      </c>
      <c r="AR176" s="340">
        <v>3138</v>
      </c>
      <c r="AS176" s="340" t="s">
        <v>796</v>
      </c>
      <c r="AT176" s="340">
        <v>1</v>
      </c>
      <c r="AU176" s="340" t="s">
        <v>462</v>
      </c>
      <c r="AV176" s="343">
        <v>0.375</v>
      </c>
      <c r="AW176" s="343">
        <v>0.54166666666666663</v>
      </c>
      <c r="AX176" s="340" t="s">
        <v>463</v>
      </c>
      <c r="AY176" s="340" t="s">
        <v>464</v>
      </c>
    </row>
    <row r="177" spans="1:51" x14ac:dyDescent="0.25">
      <c r="A177" s="339" t="s">
        <v>441</v>
      </c>
      <c r="B177" s="339" t="s">
        <v>442</v>
      </c>
      <c r="C177" s="339" t="s">
        <v>443</v>
      </c>
      <c r="D177" s="339">
        <v>2</v>
      </c>
      <c r="E177" s="339">
        <v>4</v>
      </c>
      <c r="F177" s="339">
        <v>6.5</v>
      </c>
      <c r="G177" s="340">
        <v>2033413200</v>
      </c>
      <c r="H177" s="346">
        <v>334132</v>
      </c>
      <c r="I177" s="348">
        <v>114</v>
      </c>
      <c r="J177" s="341">
        <v>48</v>
      </c>
      <c r="K177" s="341">
        <v>109</v>
      </c>
      <c r="L177" s="348">
        <f t="shared" si="9"/>
        <v>157</v>
      </c>
      <c r="M177" s="341">
        <v>334</v>
      </c>
      <c r="N177" s="340" t="s">
        <v>792</v>
      </c>
      <c r="O177" s="340">
        <v>24</v>
      </c>
      <c r="P177" s="340" t="s">
        <v>1136</v>
      </c>
      <c r="Q177" s="340" t="s">
        <v>0</v>
      </c>
      <c r="R177" s="340" t="s">
        <v>446</v>
      </c>
      <c r="S177" s="340" t="s">
        <v>447</v>
      </c>
      <c r="T177" s="340">
        <v>2</v>
      </c>
      <c r="U177" s="340" t="s">
        <v>0</v>
      </c>
      <c r="V177" s="340" t="s">
        <v>448</v>
      </c>
      <c r="W177" s="340" t="s">
        <v>0</v>
      </c>
      <c r="X177" s="340" t="s">
        <v>465</v>
      </c>
      <c r="Y177" s="340" t="s">
        <v>0</v>
      </c>
      <c r="Z177" s="340" t="s">
        <v>1137</v>
      </c>
      <c r="AA177" s="340" t="s">
        <v>0</v>
      </c>
      <c r="AB177" s="340" t="s">
        <v>1138</v>
      </c>
      <c r="AC177" s="340" t="s">
        <v>0</v>
      </c>
      <c r="AD177" s="340">
        <v>71801</v>
      </c>
      <c r="AE177" s="340" t="s">
        <v>452</v>
      </c>
      <c r="AF177" s="340" t="s">
        <v>453</v>
      </c>
      <c r="AG177" s="340" t="s">
        <v>447</v>
      </c>
      <c r="AH177" s="342">
        <v>44207</v>
      </c>
      <c r="AI177" s="340" t="s">
        <v>454</v>
      </c>
      <c r="AJ177" s="340" t="s">
        <v>455</v>
      </c>
      <c r="AK177" s="340" t="s">
        <v>456</v>
      </c>
      <c r="AL177" s="340" t="s">
        <v>457</v>
      </c>
      <c r="AM177" s="340">
        <v>6</v>
      </c>
      <c r="AN177" s="340" t="s">
        <v>458</v>
      </c>
      <c r="AO177" s="340" t="s">
        <v>459</v>
      </c>
      <c r="AP177" s="340">
        <v>3</v>
      </c>
      <c r="AQ177" s="340" t="s">
        <v>460</v>
      </c>
      <c r="AR177" s="340">
        <v>3138</v>
      </c>
      <c r="AS177" s="340" t="s">
        <v>796</v>
      </c>
      <c r="AT177" s="340">
        <v>1</v>
      </c>
      <c r="AU177" s="340" t="s">
        <v>462</v>
      </c>
      <c r="AV177" s="343">
        <v>0.375</v>
      </c>
      <c r="AW177" s="343">
        <v>0.58333333333333337</v>
      </c>
      <c r="AX177" s="340" t="s">
        <v>463</v>
      </c>
      <c r="AY177" s="340" t="s">
        <v>464</v>
      </c>
    </row>
    <row r="178" spans="1:51" x14ac:dyDescent="0.25">
      <c r="A178" s="339" t="s">
        <v>441</v>
      </c>
      <c r="B178" s="339" t="s">
        <v>442</v>
      </c>
      <c r="C178" s="339" t="s">
        <v>443</v>
      </c>
      <c r="D178" s="339">
        <v>2</v>
      </c>
      <c r="E178" s="339">
        <v>4</v>
      </c>
      <c r="F178" s="339">
        <v>6.5</v>
      </c>
      <c r="G178" s="340">
        <v>2033413300</v>
      </c>
      <c r="H178" s="346">
        <v>334133</v>
      </c>
      <c r="I178" s="348">
        <v>71</v>
      </c>
      <c r="J178" s="341">
        <v>44</v>
      </c>
      <c r="K178" s="341">
        <v>58</v>
      </c>
      <c r="L178" s="348">
        <f t="shared" si="9"/>
        <v>102</v>
      </c>
      <c r="M178" s="341">
        <v>334</v>
      </c>
      <c r="N178" s="340" t="s">
        <v>792</v>
      </c>
      <c r="O178" s="340">
        <v>42</v>
      </c>
      <c r="P178" s="340" t="s">
        <v>1139</v>
      </c>
      <c r="Q178" s="340" t="s">
        <v>0</v>
      </c>
      <c r="R178" s="340" t="s">
        <v>446</v>
      </c>
      <c r="S178" s="340" t="s">
        <v>447</v>
      </c>
      <c r="T178" s="340">
        <v>2</v>
      </c>
      <c r="U178" s="340" t="s">
        <v>0</v>
      </c>
      <c r="V178" s="340" t="s">
        <v>448</v>
      </c>
      <c r="W178" s="340" t="s">
        <v>0</v>
      </c>
      <c r="X178" s="340" t="s">
        <v>465</v>
      </c>
      <c r="Y178" s="340" t="s">
        <v>0</v>
      </c>
      <c r="Z178" s="340" t="s">
        <v>1140</v>
      </c>
      <c r="AA178" s="340" t="s">
        <v>0</v>
      </c>
      <c r="AB178" s="340" t="s">
        <v>536</v>
      </c>
      <c r="AC178" s="340" t="s">
        <v>0</v>
      </c>
      <c r="AD178" s="340">
        <v>71820</v>
      </c>
      <c r="AE178" s="340" t="s">
        <v>452</v>
      </c>
      <c r="AF178" s="340" t="s">
        <v>453</v>
      </c>
      <c r="AG178" s="340" t="s">
        <v>447</v>
      </c>
      <c r="AH178" s="342">
        <v>44635</v>
      </c>
      <c r="AI178" s="340" t="s">
        <v>454</v>
      </c>
      <c r="AJ178" s="340" t="s">
        <v>455</v>
      </c>
      <c r="AK178" s="340" t="s">
        <v>456</v>
      </c>
      <c r="AL178" s="340" t="s">
        <v>457</v>
      </c>
      <c r="AM178" s="340">
        <v>6</v>
      </c>
      <c r="AN178" s="340" t="s">
        <v>458</v>
      </c>
      <c r="AO178" s="340" t="s">
        <v>459</v>
      </c>
      <c r="AP178" s="340">
        <v>3</v>
      </c>
      <c r="AQ178" s="340" t="s">
        <v>460</v>
      </c>
      <c r="AR178" s="340">
        <v>3138</v>
      </c>
      <c r="AS178" s="340" t="s">
        <v>796</v>
      </c>
      <c r="AT178" s="340">
        <v>1</v>
      </c>
      <c r="AU178" s="340" t="s">
        <v>462</v>
      </c>
      <c r="AV178" s="343">
        <v>0.375</v>
      </c>
      <c r="AW178" s="343">
        <v>0.58333333333333337</v>
      </c>
      <c r="AX178" s="340" t="s">
        <v>463</v>
      </c>
      <c r="AY178" s="340" t="s">
        <v>464</v>
      </c>
    </row>
    <row r="179" spans="1:51" x14ac:dyDescent="0.25">
      <c r="A179" s="339" t="s">
        <v>441</v>
      </c>
      <c r="B179" s="339" t="s">
        <v>442</v>
      </c>
      <c r="C179" s="339" t="s">
        <v>443</v>
      </c>
      <c r="D179" s="339">
        <v>2</v>
      </c>
      <c r="E179" s="339">
        <v>4</v>
      </c>
      <c r="F179" s="339">
        <v>6.5</v>
      </c>
      <c r="G179" s="340">
        <v>2033413400</v>
      </c>
      <c r="H179" s="346">
        <v>334134</v>
      </c>
      <c r="I179" s="348">
        <v>102</v>
      </c>
      <c r="J179" s="341">
        <v>48</v>
      </c>
      <c r="K179" s="341">
        <v>85</v>
      </c>
      <c r="L179" s="348">
        <f t="shared" si="9"/>
        <v>133</v>
      </c>
      <c r="M179" s="341">
        <v>334</v>
      </c>
      <c r="N179" s="340" t="s">
        <v>792</v>
      </c>
      <c r="O179" s="340">
        <v>22</v>
      </c>
      <c r="P179" s="340" t="s">
        <v>1141</v>
      </c>
      <c r="Q179" s="340" t="s">
        <v>0</v>
      </c>
      <c r="R179" s="340" t="s">
        <v>446</v>
      </c>
      <c r="S179" s="340" t="s">
        <v>447</v>
      </c>
      <c r="T179" s="340">
        <v>2</v>
      </c>
      <c r="U179" s="340" t="s">
        <v>0</v>
      </c>
      <c r="V179" s="340" t="s">
        <v>448</v>
      </c>
      <c r="W179" s="340" t="s">
        <v>0</v>
      </c>
      <c r="X179" s="340" t="s">
        <v>465</v>
      </c>
      <c r="Y179" s="340" t="s">
        <v>0</v>
      </c>
      <c r="Z179" s="340" t="s">
        <v>1142</v>
      </c>
      <c r="AA179" s="340" t="s">
        <v>0</v>
      </c>
      <c r="AB179" s="340" t="s">
        <v>466</v>
      </c>
      <c r="AC179" s="340" t="s">
        <v>0</v>
      </c>
      <c r="AD179" s="340">
        <v>71826</v>
      </c>
      <c r="AE179" s="340" t="s">
        <v>452</v>
      </c>
      <c r="AF179" s="340" t="s">
        <v>453</v>
      </c>
      <c r="AG179" s="340" t="s">
        <v>447</v>
      </c>
      <c r="AH179" s="342">
        <v>44816</v>
      </c>
      <c r="AI179" s="340" t="s">
        <v>454</v>
      </c>
      <c r="AJ179" s="340" t="s">
        <v>455</v>
      </c>
      <c r="AK179" s="340" t="s">
        <v>456</v>
      </c>
      <c r="AL179" s="340" t="s">
        <v>457</v>
      </c>
      <c r="AM179" s="340">
        <v>6</v>
      </c>
      <c r="AN179" s="340" t="s">
        <v>458</v>
      </c>
      <c r="AO179" s="340" t="s">
        <v>459</v>
      </c>
      <c r="AP179" s="340">
        <v>3</v>
      </c>
      <c r="AQ179" s="340" t="s">
        <v>460</v>
      </c>
      <c r="AR179" s="340">
        <v>3138</v>
      </c>
      <c r="AS179" s="340" t="s">
        <v>796</v>
      </c>
      <c r="AT179" s="340">
        <v>1</v>
      </c>
      <c r="AU179" s="340" t="s">
        <v>462</v>
      </c>
      <c r="AV179" s="343">
        <v>0.375</v>
      </c>
      <c r="AW179" s="343">
        <v>0.58333333333333337</v>
      </c>
      <c r="AX179" s="340" t="s">
        <v>463</v>
      </c>
      <c r="AY179" s="340" t="s">
        <v>464</v>
      </c>
    </row>
    <row r="180" spans="1:51" x14ac:dyDescent="0.25">
      <c r="A180" s="339" t="s">
        <v>441</v>
      </c>
      <c r="B180" s="339" t="s">
        <v>442</v>
      </c>
      <c r="C180" s="339" t="s">
        <v>443</v>
      </c>
      <c r="D180" s="339">
        <v>2</v>
      </c>
      <c r="E180" s="339">
        <v>4</v>
      </c>
      <c r="F180" s="339">
        <v>6.5</v>
      </c>
      <c r="G180" s="340">
        <v>2033413700</v>
      </c>
      <c r="H180" s="346">
        <v>334137</v>
      </c>
      <c r="I180" s="348">
        <v>24</v>
      </c>
      <c r="J180" s="341">
        <v>15</v>
      </c>
      <c r="K180" s="341">
        <v>34</v>
      </c>
      <c r="L180" s="348">
        <f t="shared" si="9"/>
        <v>49</v>
      </c>
      <c r="M180" s="341">
        <v>334</v>
      </c>
      <c r="N180" s="340" t="s">
        <v>792</v>
      </c>
      <c r="O180" s="340">
        <v>79</v>
      </c>
      <c r="P180" s="340" t="s">
        <v>1143</v>
      </c>
      <c r="Q180" s="340" t="s">
        <v>0</v>
      </c>
      <c r="R180" s="340" t="s">
        <v>446</v>
      </c>
      <c r="S180" s="340" t="s">
        <v>447</v>
      </c>
      <c r="T180" s="340">
        <v>2</v>
      </c>
      <c r="U180" s="340" t="s">
        <v>0</v>
      </c>
      <c r="V180" s="340" t="s">
        <v>448</v>
      </c>
      <c r="W180" s="340" t="s">
        <v>0</v>
      </c>
      <c r="X180" s="340" t="s">
        <v>630</v>
      </c>
      <c r="Y180" s="340" t="s">
        <v>0</v>
      </c>
      <c r="Z180" s="340" t="s">
        <v>1144</v>
      </c>
      <c r="AA180" s="340" t="s">
        <v>0</v>
      </c>
      <c r="AB180" s="340" t="s">
        <v>1145</v>
      </c>
      <c r="AC180" s="340" t="s">
        <v>0</v>
      </c>
      <c r="AD180" s="340">
        <v>71800</v>
      </c>
      <c r="AE180" s="340" t="s">
        <v>452</v>
      </c>
      <c r="AF180" s="340" t="s">
        <v>453</v>
      </c>
      <c r="AG180" s="340" t="s">
        <v>447</v>
      </c>
      <c r="AH180" s="342">
        <v>44984</v>
      </c>
      <c r="AI180" s="340" t="s">
        <v>454</v>
      </c>
      <c r="AJ180" s="340" t="s">
        <v>455</v>
      </c>
      <c r="AK180" s="340" t="s">
        <v>456</v>
      </c>
      <c r="AL180" s="340" t="s">
        <v>457</v>
      </c>
      <c r="AM180" s="340">
        <v>6</v>
      </c>
      <c r="AN180" s="340" t="s">
        <v>458</v>
      </c>
      <c r="AO180" s="340" t="s">
        <v>459</v>
      </c>
      <c r="AP180" s="340">
        <v>3</v>
      </c>
      <c r="AQ180" s="340" t="s">
        <v>460</v>
      </c>
      <c r="AR180" s="340">
        <v>3138</v>
      </c>
      <c r="AS180" s="340" t="s">
        <v>796</v>
      </c>
      <c r="AT180" s="340">
        <v>1</v>
      </c>
      <c r="AU180" s="340" t="s">
        <v>462</v>
      </c>
      <c r="AV180" s="343">
        <v>0.375</v>
      </c>
      <c r="AW180" s="343">
        <v>0.58333333333333337</v>
      </c>
      <c r="AX180" s="340" t="s">
        <v>463</v>
      </c>
      <c r="AY180" s="340" t="s">
        <v>464</v>
      </c>
    </row>
    <row r="181" spans="1:51" x14ac:dyDescent="0.25">
      <c r="A181" s="339" t="s">
        <v>441</v>
      </c>
      <c r="B181" s="339" t="s">
        <v>442</v>
      </c>
      <c r="C181" s="339" t="s">
        <v>443</v>
      </c>
      <c r="D181" s="339">
        <v>2</v>
      </c>
      <c r="E181" s="339">
        <v>4</v>
      </c>
      <c r="F181" s="339">
        <v>6.5</v>
      </c>
      <c r="G181" s="340">
        <v>2033413800</v>
      </c>
      <c r="H181" s="346">
        <v>334138</v>
      </c>
      <c r="I181" s="348">
        <v>34</v>
      </c>
      <c r="J181" s="341">
        <v>18</v>
      </c>
      <c r="K181" s="341">
        <v>34</v>
      </c>
      <c r="L181" s="348">
        <f t="shared" si="9"/>
        <v>52</v>
      </c>
      <c r="M181" s="341">
        <v>334</v>
      </c>
      <c r="N181" s="340" t="s">
        <v>792</v>
      </c>
      <c r="O181" s="340">
        <v>15</v>
      </c>
      <c r="P181" s="340" t="s">
        <v>1146</v>
      </c>
      <c r="Q181" s="340" t="s">
        <v>0</v>
      </c>
      <c r="R181" s="340" t="s">
        <v>446</v>
      </c>
      <c r="S181" s="340" t="s">
        <v>447</v>
      </c>
      <c r="T181" s="340">
        <v>2</v>
      </c>
      <c r="U181" s="340" t="s">
        <v>0</v>
      </c>
      <c r="V181" s="340" t="s">
        <v>448</v>
      </c>
      <c r="W181" s="340" t="s">
        <v>0</v>
      </c>
      <c r="X181" s="340" t="s">
        <v>465</v>
      </c>
      <c r="Y181" s="340" t="s">
        <v>0</v>
      </c>
      <c r="Z181" s="340" t="s">
        <v>1147</v>
      </c>
      <c r="AA181" s="340" t="s">
        <v>0</v>
      </c>
      <c r="AB181" s="340" t="s">
        <v>1148</v>
      </c>
      <c r="AC181" s="340" t="s">
        <v>0</v>
      </c>
      <c r="AD181" s="340">
        <v>71807</v>
      </c>
      <c r="AE181" s="340" t="s">
        <v>452</v>
      </c>
      <c r="AF181" s="340" t="s">
        <v>453</v>
      </c>
      <c r="AG181" s="340" t="s">
        <v>447</v>
      </c>
      <c r="AH181" s="342">
        <v>45201</v>
      </c>
      <c r="AI181" s="340" t="s">
        <v>454</v>
      </c>
      <c r="AJ181" s="340" t="s">
        <v>455</v>
      </c>
      <c r="AK181" s="340" t="s">
        <v>456</v>
      </c>
      <c r="AL181" s="340" t="s">
        <v>457</v>
      </c>
      <c r="AM181" s="340">
        <v>6</v>
      </c>
      <c r="AN181" s="340" t="s">
        <v>458</v>
      </c>
      <c r="AO181" s="340" t="s">
        <v>459</v>
      </c>
      <c r="AP181" s="340">
        <v>3</v>
      </c>
      <c r="AQ181" s="340" t="s">
        <v>460</v>
      </c>
      <c r="AR181" s="340">
        <v>3138</v>
      </c>
      <c r="AS181" s="340" t="s">
        <v>796</v>
      </c>
      <c r="AT181" s="340">
        <v>98681</v>
      </c>
      <c r="AU181" s="340" t="s">
        <v>1149</v>
      </c>
      <c r="AV181" s="343">
        <v>0.375</v>
      </c>
      <c r="AW181" s="343">
        <v>0.58333333333333337</v>
      </c>
      <c r="AX181" s="340" t="s">
        <v>463</v>
      </c>
      <c r="AY181" s="340" t="s">
        <v>464</v>
      </c>
    </row>
    <row r="182" spans="1:51" x14ac:dyDescent="0.25">
      <c r="A182" s="339" t="s">
        <v>441</v>
      </c>
      <c r="B182" s="339" t="s">
        <v>442</v>
      </c>
      <c r="C182" s="339" t="s">
        <v>469</v>
      </c>
      <c r="D182" s="339">
        <v>4</v>
      </c>
      <c r="E182" s="339">
        <v>3</v>
      </c>
      <c r="F182" s="339">
        <v>6.5</v>
      </c>
      <c r="G182" s="340">
        <v>2033910200</v>
      </c>
      <c r="H182" s="346">
        <v>339102</v>
      </c>
      <c r="I182" s="348">
        <v>220</v>
      </c>
      <c r="J182" s="341">
        <v>120</v>
      </c>
      <c r="K182" s="341">
        <v>214</v>
      </c>
      <c r="L182" s="348">
        <f t="shared" si="9"/>
        <v>334</v>
      </c>
      <c r="M182" s="341">
        <v>339</v>
      </c>
      <c r="N182" s="340" t="s">
        <v>1150</v>
      </c>
      <c r="O182" s="340">
        <v>1</v>
      </c>
      <c r="P182" s="340" t="s">
        <v>1150</v>
      </c>
      <c r="Q182" s="340" t="s">
        <v>0</v>
      </c>
      <c r="R182" s="340" t="s">
        <v>446</v>
      </c>
      <c r="S182" s="340" t="s">
        <v>447</v>
      </c>
      <c r="T182" s="340">
        <v>4</v>
      </c>
      <c r="U182" s="340" t="s">
        <v>0</v>
      </c>
      <c r="V182" s="340" t="s">
        <v>498</v>
      </c>
      <c r="W182" s="340" t="s">
        <v>0</v>
      </c>
      <c r="X182" s="340" t="s">
        <v>1151</v>
      </c>
      <c r="Y182" s="340" t="s">
        <v>0</v>
      </c>
      <c r="Z182" s="340" t="s">
        <v>450</v>
      </c>
      <c r="AA182" s="340" t="s">
        <v>0</v>
      </c>
      <c r="AB182" s="340" t="s">
        <v>1152</v>
      </c>
      <c r="AC182" s="340" t="s">
        <v>0</v>
      </c>
      <c r="AD182" s="340">
        <v>69500</v>
      </c>
      <c r="AE182" s="340" t="s">
        <v>452</v>
      </c>
      <c r="AF182" s="340" t="s">
        <v>453</v>
      </c>
      <c r="AG182" s="340" t="s">
        <v>447</v>
      </c>
      <c r="AH182" s="342">
        <v>40844</v>
      </c>
      <c r="AI182" s="340" t="s">
        <v>454</v>
      </c>
      <c r="AJ182" s="340" t="s">
        <v>455</v>
      </c>
      <c r="AK182" s="340" t="s">
        <v>456</v>
      </c>
      <c r="AL182" s="340" t="s">
        <v>457</v>
      </c>
      <c r="AM182" s="340">
        <v>6</v>
      </c>
      <c r="AN182" s="340" t="s">
        <v>458</v>
      </c>
      <c r="AO182" s="340" t="s">
        <v>459</v>
      </c>
      <c r="AP182" s="340">
        <v>3</v>
      </c>
      <c r="AQ182" s="340" t="s">
        <v>460</v>
      </c>
      <c r="AR182" s="340">
        <v>3151</v>
      </c>
      <c r="AS182" s="340" t="s">
        <v>715</v>
      </c>
      <c r="AT182" s="340">
        <v>1</v>
      </c>
      <c r="AU182" s="340" t="s">
        <v>462</v>
      </c>
      <c r="AV182" s="343">
        <v>0.375</v>
      </c>
      <c r="AW182" s="343">
        <v>0.58333333333333337</v>
      </c>
      <c r="AX182" s="340" t="s">
        <v>463</v>
      </c>
      <c r="AY182" s="340" t="s">
        <v>464</v>
      </c>
    </row>
    <row r="183" spans="1:51" x14ac:dyDescent="0.25">
      <c r="A183" s="339" t="s">
        <v>441</v>
      </c>
      <c r="B183" s="339" t="s">
        <v>442</v>
      </c>
      <c r="C183" s="339" t="s">
        <v>443</v>
      </c>
      <c r="D183" s="339">
        <v>4</v>
      </c>
      <c r="E183" s="339">
        <v>8</v>
      </c>
      <c r="F183" s="339">
        <v>6.5</v>
      </c>
      <c r="G183" s="340">
        <v>2034010200</v>
      </c>
      <c r="H183" s="346">
        <v>340102</v>
      </c>
      <c r="I183" s="348">
        <v>76</v>
      </c>
      <c r="J183" s="341">
        <v>20</v>
      </c>
      <c r="K183" s="341">
        <v>78</v>
      </c>
      <c r="L183" s="348">
        <f t="shared" si="9"/>
        <v>98</v>
      </c>
      <c r="M183" s="341">
        <v>340</v>
      </c>
      <c r="N183" s="340" t="s">
        <v>1153</v>
      </c>
      <c r="O183" s="340">
        <v>1</v>
      </c>
      <c r="P183" s="340" t="s">
        <v>1153</v>
      </c>
      <c r="Q183" s="340" t="s">
        <v>0</v>
      </c>
      <c r="R183" s="340" t="s">
        <v>446</v>
      </c>
      <c r="S183" s="340" t="s">
        <v>447</v>
      </c>
      <c r="T183" s="340">
        <v>2</v>
      </c>
      <c r="U183" s="340" t="s">
        <v>0</v>
      </c>
      <c r="V183" s="340" t="s">
        <v>448</v>
      </c>
      <c r="W183" s="340" t="s">
        <v>0</v>
      </c>
      <c r="X183" s="340" t="s">
        <v>1154</v>
      </c>
      <c r="Y183" s="340" t="s">
        <v>0</v>
      </c>
      <c r="Z183" s="340" t="s">
        <v>1155</v>
      </c>
      <c r="AA183" s="340" t="s">
        <v>0</v>
      </c>
      <c r="AB183" s="340" t="s">
        <v>1156</v>
      </c>
      <c r="AC183" s="340" t="s">
        <v>0</v>
      </c>
      <c r="AD183" s="340">
        <v>69030</v>
      </c>
      <c r="AE183" s="340" t="s">
        <v>452</v>
      </c>
      <c r="AF183" s="340" t="s">
        <v>453</v>
      </c>
      <c r="AG183" s="340" t="s">
        <v>447</v>
      </c>
      <c r="AH183" s="342">
        <v>44105</v>
      </c>
      <c r="AI183" s="340" t="s">
        <v>454</v>
      </c>
      <c r="AJ183" s="340" t="s">
        <v>455</v>
      </c>
      <c r="AK183" s="340" t="s">
        <v>456</v>
      </c>
      <c r="AL183" s="340" t="s">
        <v>457</v>
      </c>
      <c r="AM183" s="340">
        <v>6</v>
      </c>
      <c r="AN183" s="340" t="s">
        <v>458</v>
      </c>
      <c r="AO183" s="340" t="s">
        <v>459</v>
      </c>
      <c r="AP183" s="340">
        <v>3</v>
      </c>
      <c r="AQ183" s="340" t="s">
        <v>460</v>
      </c>
      <c r="AR183" s="340">
        <v>3128</v>
      </c>
      <c r="AS183" s="340" t="s">
        <v>524</v>
      </c>
      <c r="AT183" s="340">
        <v>1</v>
      </c>
      <c r="AU183" s="340" t="s">
        <v>462</v>
      </c>
      <c r="AV183" s="343">
        <v>0.375</v>
      </c>
      <c r="AW183" s="343">
        <v>0.58333333333333337</v>
      </c>
      <c r="AX183" s="340" t="s">
        <v>463</v>
      </c>
      <c r="AY183" s="340" t="s">
        <v>464</v>
      </c>
    </row>
    <row r="184" spans="1:51" x14ac:dyDescent="0.25">
      <c r="A184" s="339" t="s">
        <v>441</v>
      </c>
      <c r="B184" s="339" t="s">
        <v>442</v>
      </c>
      <c r="C184" s="339" t="s">
        <v>443</v>
      </c>
      <c r="D184" s="339">
        <v>2</v>
      </c>
      <c r="E184" s="339">
        <v>5</v>
      </c>
      <c r="F184" s="339">
        <v>6.5</v>
      </c>
      <c r="G184" s="340">
        <v>2034510300</v>
      </c>
      <c r="H184" s="346">
        <v>345103</v>
      </c>
      <c r="I184" s="348">
        <v>45</v>
      </c>
      <c r="J184" s="341">
        <v>39</v>
      </c>
      <c r="K184" s="341">
        <v>63</v>
      </c>
      <c r="L184" s="348">
        <f t="shared" si="9"/>
        <v>102</v>
      </c>
      <c r="M184" s="341">
        <v>345</v>
      </c>
      <c r="N184" s="340" t="s">
        <v>1157</v>
      </c>
      <c r="O184" s="340">
        <v>4</v>
      </c>
      <c r="P184" s="340" t="s">
        <v>1158</v>
      </c>
      <c r="Q184" s="340" t="s">
        <v>0</v>
      </c>
      <c r="R184" s="340" t="s">
        <v>446</v>
      </c>
      <c r="S184" s="340" t="s">
        <v>447</v>
      </c>
      <c r="T184" s="340">
        <v>2</v>
      </c>
      <c r="U184" s="340" t="s">
        <v>0</v>
      </c>
      <c r="V184" s="340" t="s">
        <v>448</v>
      </c>
      <c r="W184" s="340" t="s">
        <v>0</v>
      </c>
      <c r="X184" s="340" t="s">
        <v>465</v>
      </c>
      <c r="Y184" s="340" t="s">
        <v>0</v>
      </c>
      <c r="Z184" s="340" t="s">
        <v>1159</v>
      </c>
      <c r="AA184" s="340" t="s">
        <v>0</v>
      </c>
      <c r="AB184" s="340" t="s">
        <v>466</v>
      </c>
      <c r="AC184" s="340" t="s">
        <v>0</v>
      </c>
      <c r="AD184" s="340">
        <v>71640</v>
      </c>
      <c r="AE184" s="340" t="s">
        <v>452</v>
      </c>
      <c r="AF184" s="340" t="s">
        <v>453</v>
      </c>
      <c r="AG184" s="340" t="s">
        <v>447</v>
      </c>
      <c r="AH184" s="342">
        <v>44207</v>
      </c>
      <c r="AI184" s="340" t="s">
        <v>454</v>
      </c>
      <c r="AJ184" s="340" t="s">
        <v>455</v>
      </c>
      <c r="AK184" s="340" t="s">
        <v>456</v>
      </c>
      <c r="AL184" s="340" t="s">
        <v>457</v>
      </c>
      <c r="AM184" s="340">
        <v>6</v>
      </c>
      <c r="AN184" s="340" t="s">
        <v>458</v>
      </c>
      <c r="AO184" s="340" t="s">
        <v>459</v>
      </c>
      <c r="AP184" s="340">
        <v>3</v>
      </c>
      <c r="AQ184" s="340" t="s">
        <v>460</v>
      </c>
      <c r="AR184" s="340">
        <v>3042</v>
      </c>
      <c r="AS184" s="340" t="s">
        <v>846</v>
      </c>
      <c r="AT184" s="340">
        <v>1</v>
      </c>
      <c r="AU184" s="340" t="s">
        <v>462</v>
      </c>
      <c r="AV184" s="343">
        <v>0.375</v>
      </c>
      <c r="AW184" s="343">
        <v>0.58333333333333337</v>
      </c>
      <c r="AX184" s="340" t="s">
        <v>463</v>
      </c>
      <c r="AY184" s="340" t="s">
        <v>464</v>
      </c>
    </row>
    <row r="185" spans="1:51" x14ac:dyDescent="0.25">
      <c r="A185" s="339" t="s">
        <v>441</v>
      </c>
      <c r="B185" s="339" t="s">
        <v>442</v>
      </c>
      <c r="C185" s="339" t="s">
        <v>443</v>
      </c>
      <c r="D185" s="339">
        <v>4</v>
      </c>
      <c r="E185" s="339">
        <v>3</v>
      </c>
      <c r="F185" s="339">
        <v>6.5</v>
      </c>
      <c r="G185" s="340">
        <v>2034610200</v>
      </c>
      <c r="H185" s="346">
        <v>346102</v>
      </c>
      <c r="I185" s="348">
        <v>58</v>
      </c>
      <c r="J185" s="341">
        <v>26</v>
      </c>
      <c r="K185" s="341">
        <v>40</v>
      </c>
      <c r="L185" s="348">
        <f t="shared" si="9"/>
        <v>66</v>
      </c>
      <c r="M185" s="341">
        <v>346</v>
      </c>
      <c r="N185" s="340" t="s">
        <v>1160</v>
      </c>
      <c r="O185" s="340">
        <v>1</v>
      </c>
      <c r="P185" s="340" t="s">
        <v>1161</v>
      </c>
      <c r="Q185" s="340" t="s">
        <v>0</v>
      </c>
      <c r="R185" s="340" t="s">
        <v>446</v>
      </c>
      <c r="S185" s="340" t="s">
        <v>447</v>
      </c>
      <c r="T185" s="340">
        <v>2</v>
      </c>
      <c r="U185" s="340" t="s">
        <v>0</v>
      </c>
      <c r="V185" s="340" t="s">
        <v>448</v>
      </c>
      <c r="W185" s="340" t="s">
        <v>0</v>
      </c>
      <c r="X185" s="340" t="s">
        <v>516</v>
      </c>
      <c r="Y185" s="340" t="s">
        <v>0</v>
      </c>
      <c r="Z185" s="340" t="s">
        <v>1162</v>
      </c>
      <c r="AA185" s="340" t="s">
        <v>0</v>
      </c>
      <c r="AB185" s="340" t="s">
        <v>1163</v>
      </c>
      <c r="AC185" s="340" t="s">
        <v>0</v>
      </c>
      <c r="AD185" s="340">
        <v>69574</v>
      </c>
      <c r="AE185" s="340" t="s">
        <v>452</v>
      </c>
      <c r="AF185" s="340" t="s">
        <v>453</v>
      </c>
      <c r="AG185" s="340" t="s">
        <v>447</v>
      </c>
      <c r="AH185" s="342">
        <v>44105</v>
      </c>
      <c r="AI185" s="340" t="s">
        <v>454</v>
      </c>
      <c r="AJ185" s="340" t="s">
        <v>455</v>
      </c>
      <c r="AK185" s="340" t="s">
        <v>456</v>
      </c>
      <c r="AL185" s="340" t="s">
        <v>457</v>
      </c>
      <c r="AM185" s="340">
        <v>6</v>
      </c>
      <c r="AN185" s="340" t="s">
        <v>458</v>
      </c>
      <c r="AO185" s="340" t="s">
        <v>459</v>
      </c>
      <c r="AP185" s="340">
        <v>3</v>
      </c>
      <c r="AQ185" s="340" t="s">
        <v>460</v>
      </c>
      <c r="AR185" s="340">
        <v>3151</v>
      </c>
      <c r="AS185" s="340" t="s">
        <v>715</v>
      </c>
      <c r="AT185" s="340">
        <v>1</v>
      </c>
      <c r="AU185" s="340" t="s">
        <v>462</v>
      </c>
      <c r="AV185" s="343">
        <v>0.375</v>
      </c>
      <c r="AW185" s="343">
        <v>0.58333333333333337</v>
      </c>
      <c r="AX185" s="340" t="s">
        <v>463</v>
      </c>
      <c r="AY185" s="340" t="s">
        <v>464</v>
      </c>
    </row>
    <row r="186" spans="1:51" x14ac:dyDescent="0.25">
      <c r="A186" s="339" t="s">
        <v>441</v>
      </c>
      <c r="B186" s="339" t="s">
        <v>442</v>
      </c>
      <c r="C186" s="339" t="s">
        <v>469</v>
      </c>
      <c r="D186" s="339">
        <v>7</v>
      </c>
      <c r="E186" s="339">
        <v>2</v>
      </c>
      <c r="F186" s="339">
        <v>6.5</v>
      </c>
      <c r="G186" s="340">
        <v>2035310200</v>
      </c>
      <c r="H186" s="346">
        <v>353102</v>
      </c>
      <c r="I186" s="348">
        <v>85</v>
      </c>
      <c r="J186" s="341">
        <v>81</v>
      </c>
      <c r="K186" s="341">
        <v>36</v>
      </c>
      <c r="L186" s="348">
        <f t="shared" si="9"/>
        <v>117</v>
      </c>
      <c r="M186" s="341">
        <v>353</v>
      </c>
      <c r="N186" s="340" t="s">
        <v>1164</v>
      </c>
      <c r="O186" s="340">
        <v>1</v>
      </c>
      <c r="P186" s="340" t="s">
        <v>1164</v>
      </c>
      <c r="Q186" s="340" t="s">
        <v>0</v>
      </c>
      <c r="R186" s="340" t="s">
        <v>446</v>
      </c>
      <c r="S186" s="340" t="s">
        <v>447</v>
      </c>
      <c r="T186" s="340">
        <v>2</v>
      </c>
      <c r="U186" s="340" t="s">
        <v>0</v>
      </c>
      <c r="V186" s="340" t="s">
        <v>448</v>
      </c>
      <c r="W186" s="340" t="s">
        <v>0</v>
      </c>
      <c r="X186" s="340" t="s">
        <v>508</v>
      </c>
      <c r="Y186" s="340" t="s">
        <v>0</v>
      </c>
      <c r="Z186" s="340" t="s">
        <v>1165</v>
      </c>
      <c r="AA186" s="340" t="s">
        <v>0</v>
      </c>
      <c r="AB186" s="340" t="s">
        <v>1166</v>
      </c>
      <c r="AC186" s="340" t="s">
        <v>0</v>
      </c>
      <c r="AD186" s="340">
        <v>70820</v>
      </c>
      <c r="AE186" s="340" t="s">
        <v>452</v>
      </c>
      <c r="AF186" s="340" t="s">
        <v>453</v>
      </c>
      <c r="AG186" s="340" t="s">
        <v>447</v>
      </c>
      <c r="AH186" s="342">
        <v>42047</v>
      </c>
      <c r="AI186" s="340" t="s">
        <v>454</v>
      </c>
      <c r="AJ186" s="340" t="s">
        <v>455</v>
      </c>
      <c r="AK186" s="340" t="s">
        <v>456</v>
      </c>
      <c r="AL186" s="340" t="s">
        <v>457</v>
      </c>
      <c r="AM186" s="340">
        <v>6</v>
      </c>
      <c r="AN186" s="340" t="s">
        <v>458</v>
      </c>
      <c r="AO186" s="340" t="s">
        <v>459</v>
      </c>
      <c r="AP186" s="340">
        <v>3</v>
      </c>
      <c r="AQ186" s="340" t="s">
        <v>460</v>
      </c>
      <c r="AR186" s="340">
        <v>3031</v>
      </c>
      <c r="AS186" s="340" t="s">
        <v>639</v>
      </c>
      <c r="AT186" s="340">
        <v>1</v>
      </c>
      <c r="AU186" s="340" t="s">
        <v>462</v>
      </c>
      <c r="AV186" s="343">
        <v>0.375</v>
      </c>
      <c r="AW186" s="343">
        <v>0.58333333333333337</v>
      </c>
      <c r="AX186" s="340" t="s">
        <v>463</v>
      </c>
      <c r="AY186" s="340" t="s">
        <v>464</v>
      </c>
    </row>
    <row r="187" spans="1:51" x14ac:dyDescent="0.25">
      <c r="A187" s="339" t="s">
        <v>441</v>
      </c>
      <c r="B187" s="339" t="s">
        <v>442</v>
      </c>
      <c r="C187" s="339" t="s">
        <v>469</v>
      </c>
      <c r="D187" s="339">
        <v>6</v>
      </c>
      <c r="E187" s="339">
        <v>4</v>
      </c>
      <c r="F187" s="339">
        <v>6.5</v>
      </c>
      <c r="G187" s="340">
        <v>2035810100</v>
      </c>
      <c r="H187" s="346">
        <v>358101</v>
      </c>
      <c r="I187" s="348">
        <v>84</v>
      </c>
      <c r="J187" s="341">
        <v>48</v>
      </c>
      <c r="K187" s="341">
        <v>77</v>
      </c>
      <c r="L187" s="348">
        <f t="shared" si="9"/>
        <v>125</v>
      </c>
      <c r="M187" s="341">
        <v>358</v>
      </c>
      <c r="N187" s="340" t="s">
        <v>1168</v>
      </c>
      <c r="O187" s="340">
        <v>4</v>
      </c>
      <c r="P187" s="340" t="s">
        <v>1169</v>
      </c>
      <c r="Q187" s="340" t="s">
        <v>0</v>
      </c>
      <c r="R187" s="340" t="s">
        <v>446</v>
      </c>
      <c r="S187" s="340" t="s">
        <v>447</v>
      </c>
      <c r="T187" s="340">
        <v>2</v>
      </c>
      <c r="U187" s="340" t="s">
        <v>0</v>
      </c>
      <c r="V187" s="340" t="s">
        <v>448</v>
      </c>
      <c r="W187" s="340" t="s">
        <v>0</v>
      </c>
      <c r="X187" s="340" t="s">
        <v>1170</v>
      </c>
      <c r="Y187" s="340" t="s">
        <v>0</v>
      </c>
      <c r="Z187" s="340" t="s">
        <v>450</v>
      </c>
      <c r="AA187" s="340" t="s">
        <v>0</v>
      </c>
      <c r="AB187" s="340" t="s">
        <v>1171</v>
      </c>
      <c r="AC187" s="340" t="s">
        <v>0</v>
      </c>
      <c r="AD187" s="340">
        <v>71296</v>
      </c>
      <c r="AE187" s="340" t="s">
        <v>452</v>
      </c>
      <c r="AF187" s="340" t="s">
        <v>453</v>
      </c>
      <c r="AG187" s="340" t="s">
        <v>447</v>
      </c>
      <c r="AH187" s="342">
        <v>40087</v>
      </c>
      <c r="AI187" s="340" t="s">
        <v>454</v>
      </c>
      <c r="AJ187" s="340" t="s">
        <v>455</v>
      </c>
      <c r="AK187" s="340" t="s">
        <v>858</v>
      </c>
      <c r="AL187" s="340" t="s">
        <v>457</v>
      </c>
      <c r="AM187" s="340">
        <v>6</v>
      </c>
      <c r="AN187" s="340" t="s">
        <v>458</v>
      </c>
      <c r="AO187" s="340" t="s">
        <v>459</v>
      </c>
      <c r="AP187" s="340">
        <v>3</v>
      </c>
      <c r="AQ187" s="340" t="s">
        <v>460</v>
      </c>
      <c r="AR187" s="340">
        <v>3018</v>
      </c>
      <c r="AS187" s="340" t="s">
        <v>744</v>
      </c>
      <c r="AT187" s="340">
        <v>1</v>
      </c>
      <c r="AU187" s="340" t="s">
        <v>462</v>
      </c>
      <c r="AV187" s="343">
        <v>0.33333333333333331</v>
      </c>
      <c r="AW187" s="343">
        <v>0.5</v>
      </c>
      <c r="AX187" s="340" t="s">
        <v>463</v>
      </c>
      <c r="AY187" s="340" t="s">
        <v>464</v>
      </c>
    </row>
    <row r="188" spans="1:51" x14ac:dyDescent="0.25">
      <c r="A188" s="339" t="s">
        <v>441</v>
      </c>
      <c r="B188" s="339" t="s">
        <v>442</v>
      </c>
      <c r="C188" s="339" t="s">
        <v>443</v>
      </c>
      <c r="D188" s="339">
        <v>2</v>
      </c>
      <c r="E188" s="339">
        <v>1</v>
      </c>
      <c r="F188" s="339">
        <v>6.5</v>
      </c>
      <c r="G188" s="340">
        <v>2036410200</v>
      </c>
      <c r="H188" s="346">
        <v>364102</v>
      </c>
      <c r="I188" s="348">
        <v>76</v>
      </c>
      <c r="J188" s="341">
        <v>78</v>
      </c>
      <c r="K188" s="341">
        <v>58</v>
      </c>
      <c r="L188" s="348">
        <f t="shared" si="9"/>
        <v>136</v>
      </c>
      <c r="M188" s="341">
        <v>364</v>
      </c>
      <c r="N188" s="340" t="s">
        <v>788</v>
      </c>
      <c r="O188" s="340">
        <v>7</v>
      </c>
      <c r="P188" s="340" t="s">
        <v>1172</v>
      </c>
      <c r="Q188" s="340" t="s">
        <v>0</v>
      </c>
      <c r="R188" s="340" t="s">
        <v>446</v>
      </c>
      <c r="S188" s="340" t="s">
        <v>447</v>
      </c>
      <c r="T188" s="340">
        <v>2</v>
      </c>
      <c r="U188" s="340" t="s">
        <v>0</v>
      </c>
      <c r="V188" s="340" t="s">
        <v>448</v>
      </c>
      <c r="W188" s="340" t="s">
        <v>0</v>
      </c>
      <c r="X188" s="340" t="s">
        <v>550</v>
      </c>
      <c r="Y188" s="340" t="s">
        <v>0</v>
      </c>
      <c r="Z188" s="340" t="s">
        <v>450</v>
      </c>
      <c r="AA188" s="340" t="s">
        <v>0</v>
      </c>
      <c r="AB188" s="340" t="s">
        <v>1173</v>
      </c>
      <c r="AC188" s="340" t="s">
        <v>0</v>
      </c>
      <c r="AD188" s="340">
        <v>71900</v>
      </c>
      <c r="AE188" s="340" t="s">
        <v>452</v>
      </c>
      <c r="AF188" s="340" t="s">
        <v>453</v>
      </c>
      <c r="AG188" s="340" t="s">
        <v>447</v>
      </c>
      <c r="AH188" s="342">
        <v>41626</v>
      </c>
      <c r="AI188" s="340" t="s">
        <v>454</v>
      </c>
      <c r="AJ188" s="340" t="s">
        <v>455</v>
      </c>
      <c r="AK188" s="340" t="s">
        <v>456</v>
      </c>
      <c r="AL188" s="340" t="s">
        <v>457</v>
      </c>
      <c r="AM188" s="340">
        <v>6</v>
      </c>
      <c r="AN188" s="340" t="s">
        <v>458</v>
      </c>
      <c r="AO188" s="340" t="s">
        <v>459</v>
      </c>
      <c r="AP188" s="340">
        <v>3</v>
      </c>
      <c r="AQ188" s="340" t="s">
        <v>460</v>
      </c>
      <c r="AR188" s="340">
        <v>3045</v>
      </c>
      <c r="AS188" s="340" t="s">
        <v>791</v>
      </c>
      <c r="AT188" s="340">
        <v>1</v>
      </c>
      <c r="AU188" s="340" t="s">
        <v>462</v>
      </c>
      <c r="AV188" s="343">
        <v>0.33333333333333331</v>
      </c>
      <c r="AW188" s="343">
        <v>0.58333333333333337</v>
      </c>
      <c r="AX188" s="340" t="s">
        <v>463</v>
      </c>
      <c r="AY188" s="340" t="s">
        <v>464</v>
      </c>
    </row>
    <row r="189" spans="1:51" x14ac:dyDescent="0.25">
      <c r="A189" s="339" t="s">
        <v>441</v>
      </c>
      <c r="B189" s="339" t="s">
        <v>442</v>
      </c>
      <c r="C189" s="339" t="s">
        <v>443</v>
      </c>
      <c r="D189" s="339">
        <v>2</v>
      </c>
      <c r="E189" s="339">
        <v>1</v>
      </c>
      <c r="F189" s="339">
        <v>6.5</v>
      </c>
      <c r="G189" s="340">
        <v>2036410500</v>
      </c>
      <c r="H189" s="346">
        <v>364105</v>
      </c>
      <c r="I189" s="348">
        <v>127</v>
      </c>
      <c r="J189" s="341">
        <v>74</v>
      </c>
      <c r="K189" s="341">
        <v>102</v>
      </c>
      <c r="L189" s="348">
        <f t="shared" si="9"/>
        <v>176</v>
      </c>
      <c r="M189" s="341">
        <v>364</v>
      </c>
      <c r="N189" s="340" t="s">
        <v>788</v>
      </c>
      <c r="O189" s="340">
        <v>1</v>
      </c>
      <c r="P189" s="340" t="s">
        <v>788</v>
      </c>
      <c r="Q189" s="340" t="s">
        <v>0</v>
      </c>
      <c r="R189" s="340" t="s">
        <v>446</v>
      </c>
      <c r="S189" s="340" t="s">
        <v>447</v>
      </c>
      <c r="T189" s="340">
        <v>2</v>
      </c>
      <c r="U189" s="340" t="s">
        <v>0</v>
      </c>
      <c r="V189" s="340" t="s">
        <v>448</v>
      </c>
      <c r="W189" s="340" t="s">
        <v>0</v>
      </c>
      <c r="X189" s="340" t="s">
        <v>1174</v>
      </c>
      <c r="Y189" s="340" t="s">
        <v>0</v>
      </c>
      <c r="Z189" s="340" t="s">
        <v>1175</v>
      </c>
      <c r="AA189" s="340" t="s">
        <v>0</v>
      </c>
      <c r="AB189" s="340" t="s">
        <v>1176</v>
      </c>
      <c r="AC189" s="340" t="s">
        <v>0</v>
      </c>
      <c r="AD189" s="340">
        <v>71901</v>
      </c>
      <c r="AE189" s="340" t="s">
        <v>452</v>
      </c>
      <c r="AF189" s="340" t="s">
        <v>453</v>
      </c>
      <c r="AG189" s="340" t="s">
        <v>447</v>
      </c>
      <c r="AH189" s="342">
        <v>41626</v>
      </c>
      <c r="AI189" s="340" t="s">
        <v>454</v>
      </c>
      <c r="AJ189" s="340" t="s">
        <v>455</v>
      </c>
      <c r="AK189" s="340" t="s">
        <v>456</v>
      </c>
      <c r="AL189" s="340" t="s">
        <v>457</v>
      </c>
      <c r="AM189" s="340">
        <v>6</v>
      </c>
      <c r="AN189" s="340" t="s">
        <v>458</v>
      </c>
      <c r="AO189" s="340" t="s">
        <v>459</v>
      </c>
      <c r="AP189" s="340">
        <v>3</v>
      </c>
      <c r="AQ189" s="340" t="s">
        <v>460</v>
      </c>
      <c r="AR189" s="340">
        <v>3045</v>
      </c>
      <c r="AS189" s="340" t="s">
        <v>791</v>
      </c>
      <c r="AT189" s="340">
        <v>1</v>
      </c>
      <c r="AU189" s="340" t="s">
        <v>462</v>
      </c>
      <c r="AV189" s="343">
        <v>0.33333333333333331</v>
      </c>
      <c r="AW189" s="343">
        <v>0.58333333333333337</v>
      </c>
      <c r="AX189" s="340" t="s">
        <v>463</v>
      </c>
      <c r="AY189" s="340" t="s">
        <v>464</v>
      </c>
    </row>
    <row r="190" spans="1:51" x14ac:dyDescent="0.25">
      <c r="A190" s="339" t="s">
        <v>441</v>
      </c>
      <c r="B190" s="339" t="s">
        <v>442</v>
      </c>
      <c r="C190" s="339" t="s">
        <v>443</v>
      </c>
      <c r="D190" s="339">
        <v>2</v>
      </c>
      <c r="E190" s="339">
        <v>1</v>
      </c>
      <c r="F190" s="339">
        <v>6.5</v>
      </c>
      <c r="G190" s="340">
        <v>2036410700</v>
      </c>
      <c r="H190" s="346">
        <v>364107</v>
      </c>
      <c r="I190" s="348">
        <v>102</v>
      </c>
      <c r="J190" s="341">
        <v>132</v>
      </c>
      <c r="K190" s="341">
        <v>92</v>
      </c>
      <c r="L190" s="348">
        <f t="shared" si="9"/>
        <v>224</v>
      </c>
      <c r="M190" s="341">
        <v>364</v>
      </c>
      <c r="N190" s="340" t="s">
        <v>788</v>
      </c>
      <c r="O190" s="340">
        <v>1</v>
      </c>
      <c r="P190" s="340" t="s">
        <v>788</v>
      </c>
      <c r="Q190" s="340" t="s">
        <v>0</v>
      </c>
      <c r="R190" s="340" t="s">
        <v>446</v>
      </c>
      <c r="S190" s="340" t="s">
        <v>447</v>
      </c>
      <c r="T190" s="340">
        <v>2</v>
      </c>
      <c r="U190" s="340" t="s">
        <v>0</v>
      </c>
      <c r="V190" s="340" t="s">
        <v>448</v>
      </c>
      <c r="W190" s="340" t="s">
        <v>0</v>
      </c>
      <c r="X190" s="340" t="s">
        <v>465</v>
      </c>
      <c r="Y190" s="340" t="s">
        <v>0</v>
      </c>
      <c r="Z190" s="340" t="s">
        <v>1177</v>
      </c>
      <c r="AA190" s="340" t="s">
        <v>0</v>
      </c>
      <c r="AB190" s="340" t="s">
        <v>1178</v>
      </c>
      <c r="AC190" s="340" t="s">
        <v>0</v>
      </c>
      <c r="AD190" s="340">
        <v>71900</v>
      </c>
      <c r="AE190" s="340" t="s">
        <v>452</v>
      </c>
      <c r="AF190" s="340" t="s">
        <v>453</v>
      </c>
      <c r="AG190" s="340" t="s">
        <v>447</v>
      </c>
      <c r="AH190" s="342">
        <v>44148</v>
      </c>
      <c r="AI190" s="340" t="s">
        <v>454</v>
      </c>
      <c r="AJ190" s="340" t="s">
        <v>455</v>
      </c>
      <c r="AK190" s="340" t="s">
        <v>456</v>
      </c>
      <c r="AL190" s="340" t="s">
        <v>457</v>
      </c>
      <c r="AM190" s="340">
        <v>6</v>
      </c>
      <c r="AN190" s="340" t="s">
        <v>458</v>
      </c>
      <c r="AO190" s="340" t="s">
        <v>459</v>
      </c>
      <c r="AP190" s="340">
        <v>3</v>
      </c>
      <c r="AQ190" s="340" t="s">
        <v>460</v>
      </c>
      <c r="AR190" s="340">
        <v>3045</v>
      </c>
      <c r="AS190" s="340" t="s">
        <v>791</v>
      </c>
      <c r="AT190" s="340">
        <v>1</v>
      </c>
      <c r="AU190" s="340" t="s">
        <v>462</v>
      </c>
      <c r="AV190" s="343">
        <v>0.375</v>
      </c>
      <c r="AW190" s="343">
        <v>0.58333333333333337</v>
      </c>
      <c r="AX190" s="340" t="s">
        <v>463</v>
      </c>
      <c r="AY190" s="340" t="s">
        <v>464</v>
      </c>
    </row>
    <row r="191" spans="1:51" x14ac:dyDescent="0.25">
      <c r="A191" s="339" t="s">
        <v>441</v>
      </c>
      <c r="B191" s="339" t="s">
        <v>442</v>
      </c>
      <c r="C191" s="339" t="s">
        <v>443</v>
      </c>
      <c r="D191" s="339">
        <v>2</v>
      </c>
      <c r="E191" s="339">
        <v>1</v>
      </c>
      <c r="F191" s="339">
        <v>6.5</v>
      </c>
      <c r="G191" s="340">
        <v>2036410800</v>
      </c>
      <c r="H191" s="346">
        <v>364108</v>
      </c>
      <c r="I191" s="348">
        <v>35</v>
      </c>
      <c r="J191" s="341">
        <v>21</v>
      </c>
      <c r="K191" s="341">
        <v>22</v>
      </c>
      <c r="L191" s="348">
        <f t="shared" si="9"/>
        <v>43</v>
      </c>
      <c r="M191" s="341">
        <v>364</v>
      </c>
      <c r="N191" s="340" t="s">
        <v>788</v>
      </c>
      <c r="O191" s="340">
        <v>19</v>
      </c>
      <c r="P191" s="340" t="s">
        <v>1179</v>
      </c>
      <c r="Q191" s="340" t="s">
        <v>0</v>
      </c>
      <c r="R191" s="340" t="s">
        <v>446</v>
      </c>
      <c r="S191" s="340" t="s">
        <v>447</v>
      </c>
      <c r="T191" s="340">
        <v>2</v>
      </c>
      <c r="U191" s="340" t="s">
        <v>0</v>
      </c>
      <c r="V191" s="340" t="s">
        <v>448</v>
      </c>
      <c r="W191" s="340" t="s">
        <v>0</v>
      </c>
      <c r="X191" s="340" t="s">
        <v>465</v>
      </c>
      <c r="Y191" s="340" t="s">
        <v>0</v>
      </c>
      <c r="Z191" s="340" t="s">
        <v>1180</v>
      </c>
      <c r="AA191" s="340" t="s">
        <v>0</v>
      </c>
      <c r="AB191" s="340" t="s">
        <v>466</v>
      </c>
      <c r="AC191" s="340" t="s">
        <v>0</v>
      </c>
      <c r="AD191" s="340">
        <v>71910</v>
      </c>
      <c r="AE191" s="340" t="s">
        <v>452</v>
      </c>
      <c r="AF191" s="340" t="s">
        <v>453</v>
      </c>
      <c r="AG191" s="340" t="s">
        <v>447</v>
      </c>
      <c r="AH191" s="342">
        <v>44816</v>
      </c>
      <c r="AI191" s="340" t="s">
        <v>454</v>
      </c>
      <c r="AJ191" s="340" t="s">
        <v>455</v>
      </c>
      <c r="AK191" s="340" t="s">
        <v>456</v>
      </c>
      <c r="AL191" s="340" t="s">
        <v>457</v>
      </c>
      <c r="AM191" s="340">
        <v>6</v>
      </c>
      <c r="AN191" s="340" t="s">
        <v>458</v>
      </c>
      <c r="AO191" s="340" t="s">
        <v>459</v>
      </c>
      <c r="AP191" s="340">
        <v>3</v>
      </c>
      <c r="AQ191" s="340" t="s">
        <v>460</v>
      </c>
      <c r="AR191" s="340">
        <v>3045</v>
      </c>
      <c r="AS191" s="340" t="s">
        <v>791</v>
      </c>
      <c r="AT191" s="340">
        <v>1</v>
      </c>
      <c r="AU191" s="340" t="s">
        <v>462</v>
      </c>
      <c r="AV191" s="343">
        <v>0.375</v>
      </c>
      <c r="AW191" s="343">
        <v>0.58333333333333337</v>
      </c>
      <c r="AX191" s="340" t="s">
        <v>463</v>
      </c>
      <c r="AY191" s="340" t="s">
        <v>464</v>
      </c>
    </row>
    <row r="192" spans="1:51" x14ac:dyDescent="0.25">
      <c r="A192" s="339" t="s">
        <v>441</v>
      </c>
      <c r="B192" s="339" t="s">
        <v>442</v>
      </c>
      <c r="C192" s="339" t="s">
        <v>443</v>
      </c>
      <c r="D192" s="339">
        <v>4</v>
      </c>
      <c r="E192" s="339">
        <v>1</v>
      </c>
      <c r="F192" s="339">
        <v>6.5</v>
      </c>
      <c r="G192" s="340">
        <v>2037110200</v>
      </c>
      <c r="H192" s="346">
        <v>371102</v>
      </c>
      <c r="I192" s="348">
        <v>70</v>
      </c>
      <c r="J192" s="341">
        <v>24</v>
      </c>
      <c r="K192" s="341">
        <v>58</v>
      </c>
      <c r="L192" s="348">
        <f t="shared" si="9"/>
        <v>82</v>
      </c>
      <c r="M192" s="341">
        <v>371</v>
      </c>
      <c r="N192" s="340" t="s">
        <v>1181</v>
      </c>
      <c r="O192" s="340">
        <v>1</v>
      </c>
      <c r="P192" s="340" t="s">
        <v>1182</v>
      </c>
      <c r="Q192" s="340" t="s">
        <v>0</v>
      </c>
      <c r="R192" s="340" t="s">
        <v>446</v>
      </c>
      <c r="S192" s="340" t="s">
        <v>447</v>
      </c>
      <c r="T192" s="340">
        <v>2</v>
      </c>
      <c r="U192" s="340" t="s">
        <v>0</v>
      </c>
      <c r="V192" s="340" t="s">
        <v>448</v>
      </c>
      <c r="W192" s="340" t="s">
        <v>0</v>
      </c>
      <c r="X192" s="340" t="s">
        <v>1167</v>
      </c>
      <c r="Y192" s="340" t="s">
        <v>0</v>
      </c>
      <c r="Z192" s="340" t="s">
        <v>1183</v>
      </c>
      <c r="AA192" s="340" t="s">
        <v>0</v>
      </c>
      <c r="AB192" s="340" t="s">
        <v>1184</v>
      </c>
      <c r="AC192" s="340" t="s">
        <v>0</v>
      </c>
      <c r="AD192" s="340">
        <v>71125</v>
      </c>
      <c r="AE192" s="340" t="s">
        <v>452</v>
      </c>
      <c r="AF192" s="340" t="s">
        <v>453</v>
      </c>
      <c r="AG192" s="340" t="s">
        <v>447</v>
      </c>
      <c r="AH192" s="342">
        <v>44133</v>
      </c>
      <c r="AI192" s="340" t="s">
        <v>454</v>
      </c>
      <c r="AJ192" s="340" t="s">
        <v>455</v>
      </c>
      <c r="AK192" s="340" t="s">
        <v>456</v>
      </c>
      <c r="AL192" s="340" t="s">
        <v>457</v>
      </c>
      <c r="AM192" s="340">
        <v>6</v>
      </c>
      <c r="AN192" s="340" t="s">
        <v>458</v>
      </c>
      <c r="AO192" s="340" t="s">
        <v>459</v>
      </c>
      <c r="AP192" s="340">
        <v>3</v>
      </c>
      <c r="AQ192" s="340" t="s">
        <v>460</v>
      </c>
      <c r="AR192" s="340">
        <v>3150</v>
      </c>
      <c r="AS192" s="340" t="s">
        <v>706</v>
      </c>
      <c r="AT192" s="340">
        <v>1</v>
      </c>
      <c r="AU192" s="340" t="s">
        <v>462</v>
      </c>
      <c r="AV192" s="343">
        <v>0.375</v>
      </c>
      <c r="AW192" s="343">
        <v>0.58333333333333337</v>
      </c>
      <c r="AX192" s="340" t="s">
        <v>463</v>
      </c>
      <c r="AY192" s="340" t="s">
        <v>464</v>
      </c>
    </row>
    <row r="193" spans="1:51" x14ac:dyDescent="0.25">
      <c r="A193" s="339" t="s">
        <v>441</v>
      </c>
      <c r="B193" s="339" t="s">
        <v>442</v>
      </c>
      <c r="C193" s="339" t="s">
        <v>443</v>
      </c>
      <c r="D193" s="339">
        <v>6</v>
      </c>
      <c r="E193" s="339">
        <v>4</v>
      </c>
      <c r="F193" s="339">
        <v>6.5</v>
      </c>
      <c r="G193" s="340">
        <v>2037810200</v>
      </c>
      <c r="H193" s="346">
        <v>378102</v>
      </c>
      <c r="I193" s="348">
        <v>55</v>
      </c>
      <c r="J193" s="341">
        <v>26</v>
      </c>
      <c r="K193" s="341">
        <v>52</v>
      </c>
      <c r="L193" s="348">
        <f t="shared" si="9"/>
        <v>78</v>
      </c>
      <c r="M193" s="341">
        <v>378</v>
      </c>
      <c r="N193" s="340" t="s">
        <v>1185</v>
      </c>
      <c r="O193" s="340">
        <v>1</v>
      </c>
      <c r="P193" s="340" t="s">
        <v>1185</v>
      </c>
      <c r="Q193" s="340" t="s">
        <v>0</v>
      </c>
      <c r="R193" s="340" t="s">
        <v>446</v>
      </c>
      <c r="S193" s="340" t="s">
        <v>447</v>
      </c>
      <c r="T193" s="340">
        <v>2</v>
      </c>
      <c r="U193" s="340" t="s">
        <v>0</v>
      </c>
      <c r="V193" s="340" t="s">
        <v>448</v>
      </c>
      <c r="W193" s="340" t="s">
        <v>0</v>
      </c>
      <c r="X193" s="340" t="s">
        <v>740</v>
      </c>
      <c r="Y193" s="340" t="s">
        <v>0</v>
      </c>
      <c r="Z193" s="340" t="s">
        <v>1186</v>
      </c>
      <c r="AA193" s="340" t="s">
        <v>0</v>
      </c>
      <c r="AB193" s="340" t="s">
        <v>1187</v>
      </c>
      <c r="AC193" s="340" t="s">
        <v>0</v>
      </c>
      <c r="AD193" s="340">
        <v>71217</v>
      </c>
      <c r="AE193" s="340" t="s">
        <v>452</v>
      </c>
      <c r="AF193" s="340" t="s">
        <v>453</v>
      </c>
      <c r="AG193" s="340" t="s">
        <v>447</v>
      </c>
      <c r="AH193" s="342">
        <v>43340</v>
      </c>
      <c r="AI193" s="340" t="s">
        <v>454</v>
      </c>
      <c r="AJ193" s="340" t="s">
        <v>455</v>
      </c>
      <c r="AK193" s="340" t="s">
        <v>456</v>
      </c>
      <c r="AL193" s="340" t="s">
        <v>457</v>
      </c>
      <c r="AM193" s="340">
        <v>6</v>
      </c>
      <c r="AN193" s="340" t="s">
        <v>458</v>
      </c>
      <c r="AO193" s="340" t="s">
        <v>459</v>
      </c>
      <c r="AP193" s="340">
        <v>3</v>
      </c>
      <c r="AQ193" s="340" t="s">
        <v>460</v>
      </c>
      <c r="AR193" s="340">
        <v>3018</v>
      </c>
      <c r="AS193" s="340" t="s">
        <v>744</v>
      </c>
      <c r="AT193" s="340">
        <v>1</v>
      </c>
      <c r="AU193" s="340" t="s">
        <v>462</v>
      </c>
      <c r="AV193" s="343">
        <v>0.375</v>
      </c>
      <c r="AW193" s="343">
        <v>0.54166666666666663</v>
      </c>
      <c r="AX193" s="340" t="s">
        <v>463</v>
      </c>
      <c r="AY193" s="340" t="s">
        <v>464</v>
      </c>
    </row>
    <row r="194" spans="1:51" x14ac:dyDescent="0.25">
      <c r="A194" s="339" t="s">
        <v>441</v>
      </c>
      <c r="B194" s="339" t="s">
        <v>442</v>
      </c>
      <c r="C194" s="339" t="s">
        <v>443</v>
      </c>
      <c r="D194" s="339">
        <v>4</v>
      </c>
      <c r="E194" s="339">
        <v>2</v>
      </c>
      <c r="F194" s="339">
        <v>6.5</v>
      </c>
      <c r="G194" s="340">
        <v>2037910300</v>
      </c>
      <c r="H194" s="346">
        <v>379103</v>
      </c>
      <c r="I194" s="348">
        <v>81</v>
      </c>
      <c r="J194" s="341">
        <v>37</v>
      </c>
      <c r="K194" s="341">
        <v>54</v>
      </c>
      <c r="L194" s="348">
        <f t="shared" si="9"/>
        <v>91</v>
      </c>
      <c r="M194" s="341">
        <v>379</v>
      </c>
      <c r="N194" s="340" t="s">
        <v>1188</v>
      </c>
      <c r="O194" s="340">
        <v>1</v>
      </c>
      <c r="P194" s="340" t="s">
        <v>1188</v>
      </c>
      <c r="Q194" s="340" t="s">
        <v>0</v>
      </c>
      <c r="R194" s="340" t="s">
        <v>446</v>
      </c>
      <c r="S194" s="340" t="s">
        <v>447</v>
      </c>
      <c r="T194" s="340">
        <v>2</v>
      </c>
      <c r="U194" s="340" t="s">
        <v>0</v>
      </c>
      <c r="V194" s="340" t="s">
        <v>448</v>
      </c>
      <c r="W194" s="340" t="s">
        <v>0</v>
      </c>
      <c r="X194" s="340" t="s">
        <v>1070</v>
      </c>
      <c r="Y194" s="340" t="s">
        <v>0</v>
      </c>
      <c r="Z194" s="340" t="s">
        <v>1189</v>
      </c>
      <c r="AA194" s="340" t="s">
        <v>0</v>
      </c>
      <c r="AB194" s="340" t="s">
        <v>1190</v>
      </c>
      <c r="AC194" s="340" t="s">
        <v>0</v>
      </c>
      <c r="AD194" s="340">
        <v>69855</v>
      </c>
      <c r="AE194" s="340" t="s">
        <v>452</v>
      </c>
      <c r="AF194" s="340" t="s">
        <v>453</v>
      </c>
      <c r="AG194" s="340" t="s">
        <v>447</v>
      </c>
      <c r="AH194" s="342">
        <v>44894</v>
      </c>
      <c r="AI194" s="340" t="s">
        <v>454</v>
      </c>
      <c r="AJ194" s="340" t="s">
        <v>455</v>
      </c>
      <c r="AK194" s="340" t="s">
        <v>456</v>
      </c>
      <c r="AL194" s="340" t="s">
        <v>457</v>
      </c>
      <c r="AM194" s="340">
        <v>6</v>
      </c>
      <c r="AN194" s="340" t="s">
        <v>458</v>
      </c>
      <c r="AO194" s="340" t="s">
        <v>459</v>
      </c>
      <c r="AP194" s="340">
        <v>3</v>
      </c>
      <c r="AQ194" s="340" t="s">
        <v>460</v>
      </c>
      <c r="AR194" s="340">
        <v>3073</v>
      </c>
      <c r="AS194" s="340" t="s">
        <v>591</v>
      </c>
      <c r="AT194" s="340">
        <v>1</v>
      </c>
      <c r="AU194" s="340" t="s">
        <v>462</v>
      </c>
      <c r="AV194" s="343">
        <v>0.375</v>
      </c>
      <c r="AW194" s="343">
        <v>0.58333333333333337</v>
      </c>
      <c r="AX194" s="340" t="s">
        <v>463</v>
      </c>
      <c r="AY194" s="340" t="s">
        <v>464</v>
      </c>
    </row>
    <row r="195" spans="1:51" x14ac:dyDescent="0.25">
      <c r="A195" s="339" t="s">
        <v>441</v>
      </c>
      <c r="B195" s="339" t="s">
        <v>442</v>
      </c>
      <c r="C195" s="339" t="s">
        <v>443</v>
      </c>
      <c r="D195" s="339">
        <v>4</v>
      </c>
      <c r="E195" s="339">
        <v>2</v>
      </c>
      <c r="F195" s="339">
        <v>6.5</v>
      </c>
      <c r="G195" s="340">
        <v>2037910400</v>
      </c>
      <c r="H195" s="346">
        <v>379104</v>
      </c>
      <c r="I195" s="348">
        <v>62</v>
      </c>
      <c r="J195" s="341">
        <v>27</v>
      </c>
      <c r="K195" s="341">
        <v>48</v>
      </c>
      <c r="L195" s="348">
        <f t="shared" si="9"/>
        <v>75</v>
      </c>
      <c r="M195" s="341">
        <v>379</v>
      </c>
      <c r="N195" s="340" t="s">
        <v>1188</v>
      </c>
      <c r="O195" s="340">
        <v>4</v>
      </c>
      <c r="P195" s="340" t="s">
        <v>1191</v>
      </c>
      <c r="Q195" s="340" t="s">
        <v>0</v>
      </c>
      <c r="R195" s="340" t="s">
        <v>446</v>
      </c>
      <c r="S195" s="340" t="s">
        <v>447</v>
      </c>
      <c r="T195" s="340">
        <v>2</v>
      </c>
      <c r="U195" s="340" t="s">
        <v>0</v>
      </c>
      <c r="V195" s="340" t="s">
        <v>448</v>
      </c>
      <c r="W195" s="340" t="s">
        <v>0</v>
      </c>
      <c r="X195" s="340" t="s">
        <v>516</v>
      </c>
      <c r="Y195" s="340" t="s">
        <v>0</v>
      </c>
      <c r="Z195" s="340" t="s">
        <v>1192</v>
      </c>
      <c r="AA195" s="340" t="s">
        <v>0</v>
      </c>
      <c r="AB195" s="340" t="s">
        <v>627</v>
      </c>
      <c r="AC195" s="340" t="s">
        <v>0</v>
      </c>
      <c r="AD195" s="340">
        <v>69855</v>
      </c>
      <c r="AE195" s="340" t="s">
        <v>452</v>
      </c>
      <c r="AF195" s="340" t="s">
        <v>453</v>
      </c>
      <c r="AG195" s="340" t="s">
        <v>447</v>
      </c>
      <c r="AH195" s="342">
        <v>44888</v>
      </c>
      <c r="AI195" s="340" t="s">
        <v>454</v>
      </c>
      <c r="AJ195" s="340" t="s">
        <v>455</v>
      </c>
      <c r="AK195" s="340" t="s">
        <v>456</v>
      </c>
      <c r="AL195" s="340" t="s">
        <v>457</v>
      </c>
      <c r="AM195" s="340">
        <v>6</v>
      </c>
      <c r="AN195" s="340" t="s">
        <v>458</v>
      </c>
      <c r="AO195" s="340" t="s">
        <v>459</v>
      </c>
      <c r="AP195" s="340">
        <v>3</v>
      </c>
      <c r="AQ195" s="340" t="s">
        <v>460</v>
      </c>
      <c r="AR195" s="340">
        <v>3073</v>
      </c>
      <c r="AS195" s="340" t="s">
        <v>591</v>
      </c>
      <c r="AT195" s="340">
        <v>1</v>
      </c>
      <c r="AU195" s="340" t="s">
        <v>462</v>
      </c>
      <c r="AV195" s="343">
        <v>0.375</v>
      </c>
      <c r="AW195" s="343">
        <v>0.58333333333333337</v>
      </c>
      <c r="AX195" s="340" t="s">
        <v>463</v>
      </c>
      <c r="AY195" s="340" t="s">
        <v>464</v>
      </c>
    </row>
    <row r="196" spans="1:51" x14ac:dyDescent="0.25">
      <c r="A196" s="339" t="s">
        <v>441</v>
      </c>
      <c r="B196" s="339" t="s">
        <v>442</v>
      </c>
      <c r="C196" s="339" t="s">
        <v>443</v>
      </c>
      <c r="D196" s="339">
        <v>6</v>
      </c>
      <c r="E196" s="339">
        <v>2</v>
      </c>
      <c r="F196" s="339">
        <v>6.5</v>
      </c>
      <c r="G196" s="340">
        <v>2039410200</v>
      </c>
      <c r="H196" s="346">
        <v>394102</v>
      </c>
      <c r="I196" s="348">
        <v>61</v>
      </c>
      <c r="J196" s="341">
        <v>59</v>
      </c>
      <c r="K196" s="341">
        <v>29</v>
      </c>
      <c r="L196" s="348">
        <f t="shared" ref="L196:L222" si="10">J196+K196</f>
        <v>88</v>
      </c>
      <c r="M196" s="341">
        <v>394</v>
      </c>
      <c r="N196" s="340" t="s">
        <v>1193</v>
      </c>
      <c r="O196" s="340">
        <v>3</v>
      </c>
      <c r="P196" s="340" t="s">
        <v>1194</v>
      </c>
      <c r="Q196" s="340" t="s">
        <v>0</v>
      </c>
      <c r="R196" s="340" t="s">
        <v>446</v>
      </c>
      <c r="S196" s="340" t="s">
        <v>447</v>
      </c>
      <c r="T196" s="340">
        <v>1</v>
      </c>
      <c r="U196" s="340" t="s">
        <v>0</v>
      </c>
      <c r="V196" s="340" t="s">
        <v>511</v>
      </c>
      <c r="W196" s="340" t="s">
        <v>0</v>
      </c>
      <c r="X196" s="340" t="s">
        <v>465</v>
      </c>
      <c r="Y196" s="340" t="s">
        <v>0</v>
      </c>
      <c r="Z196" s="340" t="s">
        <v>1195</v>
      </c>
      <c r="AA196" s="340" t="s">
        <v>0</v>
      </c>
      <c r="AB196" s="340" t="s">
        <v>1196</v>
      </c>
      <c r="AC196" s="340" t="s">
        <v>0</v>
      </c>
      <c r="AD196" s="340">
        <v>70271</v>
      </c>
      <c r="AE196" s="340" t="s">
        <v>452</v>
      </c>
      <c r="AF196" s="340" t="s">
        <v>453</v>
      </c>
      <c r="AG196" s="340" t="s">
        <v>447</v>
      </c>
      <c r="AH196" s="342">
        <v>46041</v>
      </c>
      <c r="AI196" s="340" t="s">
        <v>454</v>
      </c>
      <c r="AJ196" s="340" t="s">
        <v>455</v>
      </c>
      <c r="AK196" s="340" t="s">
        <v>456</v>
      </c>
      <c r="AL196" s="340" t="s">
        <v>457</v>
      </c>
      <c r="AM196" s="340">
        <v>6</v>
      </c>
      <c r="AN196" s="340" t="s">
        <v>458</v>
      </c>
      <c r="AO196" s="340" t="s">
        <v>459</v>
      </c>
      <c r="AP196" s="340">
        <v>3</v>
      </c>
      <c r="AQ196" s="340" t="s">
        <v>460</v>
      </c>
      <c r="AR196" s="340">
        <v>3039</v>
      </c>
      <c r="AS196" s="340" t="s">
        <v>467</v>
      </c>
      <c r="AT196" s="340">
        <v>208831</v>
      </c>
      <c r="AU196" s="340" t="s">
        <v>622</v>
      </c>
      <c r="AV196" s="343">
        <v>0.375</v>
      </c>
      <c r="AW196" s="343">
        <v>0.58333333333333337</v>
      </c>
      <c r="AX196" s="340" t="s">
        <v>463</v>
      </c>
      <c r="AY196" s="340" t="s">
        <v>464</v>
      </c>
    </row>
    <row r="197" spans="1:51" x14ac:dyDescent="0.25">
      <c r="A197" s="339" t="s">
        <v>589</v>
      </c>
      <c r="B197" s="339" t="s">
        <v>442</v>
      </c>
      <c r="C197" s="339" t="s">
        <v>469</v>
      </c>
      <c r="D197" s="339">
        <v>4</v>
      </c>
      <c r="E197" s="339">
        <v>2</v>
      </c>
      <c r="F197" s="339">
        <v>6.5</v>
      </c>
      <c r="G197" s="340">
        <v>2039710400</v>
      </c>
      <c r="H197" s="346">
        <v>397104</v>
      </c>
      <c r="I197" s="348">
        <v>263</v>
      </c>
      <c r="J197" s="341">
        <v>170</v>
      </c>
      <c r="K197" s="341">
        <v>218</v>
      </c>
      <c r="L197" s="348">
        <f t="shared" si="10"/>
        <v>388</v>
      </c>
      <c r="M197" s="341">
        <v>397</v>
      </c>
      <c r="N197" s="340" t="s">
        <v>726</v>
      </c>
      <c r="O197" s="340">
        <v>1</v>
      </c>
      <c r="P197" s="340" t="s">
        <v>726</v>
      </c>
      <c r="Q197" s="340" t="s">
        <v>0</v>
      </c>
      <c r="R197" s="340" t="s">
        <v>446</v>
      </c>
      <c r="S197" s="340" t="s">
        <v>447</v>
      </c>
      <c r="T197" s="340">
        <v>3</v>
      </c>
      <c r="U197" s="340" t="s">
        <v>0</v>
      </c>
      <c r="V197" s="340" t="s">
        <v>472</v>
      </c>
      <c r="W197" s="340" t="s">
        <v>0</v>
      </c>
      <c r="X197" s="340" t="s">
        <v>1197</v>
      </c>
      <c r="Y197" s="340" t="s">
        <v>0</v>
      </c>
      <c r="Z197" s="340" t="s">
        <v>1060</v>
      </c>
      <c r="AA197" s="340" t="s">
        <v>0</v>
      </c>
      <c r="AB197" s="340" t="s">
        <v>1198</v>
      </c>
      <c r="AC197" s="340" t="s">
        <v>0</v>
      </c>
      <c r="AD197" s="340">
        <v>69801</v>
      </c>
      <c r="AE197" s="340" t="s">
        <v>452</v>
      </c>
      <c r="AF197" s="340" t="s">
        <v>453</v>
      </c>
      <c r="AG197" s="340" t="s">
        <v>447</v>
      </c>
      <c r="AH197" s="342">
        <v>41680</v>
      </c>
      <c r="AI197" s="340" t="s">
        <v>454</v>
      </c>
      <c r="AJ197" s="340" t="s">
        <v>455</v>
      </c>
      <c r="AK197" s="340" t="s">
        <v>456</v>
      </c>
      <c r="AL197" s="340" t="s">
        <v>457</v>
      </c>
      <c r="AM197" s="340">
        <v>6</v>
      </c>
      <c r="AN197" s="340" t="s">
        <v>458</v>
      </c>
      <c r="AO197" s="340" t="s">
        <v>459</v>
      </c>
      <c r="AP197" s="340">
        <v>3</v>
      </c>
      <c r="AQ197" s="340" t="s">
        <v>460</v>
      </c>
      <c r="AR197" s="340">
        <v>3073</v>
      </c>
      <c r="AS197" s="340" t="s">
        <v>591</v>
      </c>
      <c r="AT197" s="340">
        <v>1</v>
      </c>
      <c r="AU197" s="340" t="s">
        <v>462</v>
      </c>
      <c r="AV197" s="343">
        <v>0.33333333333333331</v>
      </c>
      <c r="AW197" s="343">
        <v>0.58333333333333337</v>
      </c>
      <c r="AX197" s="340" t="s">
        <v>463</v>
      </c>
      <c r="AY197" s="340" t="s">
        <v>464</v>
      </c>
    </row>
    <row r="198" spans="1:51" x14ac:dyDescent="0.25">
      <c r="A198" s="339" t="s">
        <v>589</v>
      </c>
      <c r="B198" s="339" t="s">
        <v>442</v>
      </c>
      <c r="C198" s="339" t="s">
        <v>469</v>
      </c>
      <c r="D198" s="339">
        <v>4</v>
      </c>
      <c r="E198" s="339">
        <v>2</v>
      </c>
      <c r="F198" s="339">
        <v>6.5</v>
      </c>
      <c r="G198" s="340">
        <v>2039710500</v>
      </c>
      <c r="H198" s="346">
        <v>397105</v>
      </c>
      <c r="I198" s="348">
        <v>269</v>
      </c>
      <c r="J198" s="341">
        <v>180</v>
      </c>
      <c r="K198" s="341">
        <v>199</v>
      </c>
      <c r="L198" s="348">
        <f t="shared" si="10"/>
        <v>379</v>
      </c>
      <c r="M198" s="341">
        <v>397</v>
      </c>
      <c r="N198" s="340" t="s">
        <v>726</v>
      </c>
      <c r="O198" s="340">
        <v>1</v>
      </c>
      <c r="P198" s="340" t="s">
        <v>726</v>
      </c>
      <c r="Q198" s="340" t="s">
        <v>0</v>
      </c>
      <c r="R198" s="340" t="s">
        <v>446</v>
      </c>
      <c r="S198" s="340" t="s">
        <v>447</v>
      </c>
      <c r="T198" s="340">
        <v>1</v>
      </c>
      <c r="U198" s="340" t="s">
        <v>0</v>
      </c>
      <c r="V198" s="340" t="s">
        <v>511</v>
      </c>
      <c r="W198" s="340" t="s">
        <v>0</v>
      </c>
      <c r="X198" s="340" t="s">
        <v>1199</v>
      </c>
      <c r="Y198" s="340" t="s">
        <v>0</v>
      </c>
      <c r="Z198" s="340" t="s">
        <v>1200</v>
      </c>
      <c r="AA198" s="340" t="s">
        <v>0</v>
      </c>
      <c r="AB198" s="340" t="s">
        <v>1201</v>
      </c>
      <c r="AC198" s="340" t="s">
        <v>0</v>
      </c>
      <c r="AD198" s="340">
        <v>69800</v>
      </c>
      <c r="AE198" s="340" t="s">
        <v>452</v>
      </c>
      <c r="AF198" s="340" t="s">
        <v>453</v>
      </c>
      <c r="AG198" s="340" t="s">
        <v>447</v>
      </c>
      <c r="AH198" s="342">
        <v>41680</v>
      </c>
      <c r="AI198" s="340" t="s">
        <v>454</v>
      </c>
      <c r="AJ198" s="340" t="s">
        <v>455</v>
      </c>
      <c r="AK198" s="340" t="s">
        <v>456</v>
      </c>
      <c r="AL198" s="340" t="s">
        <v>457</v>
      </c>
      <c r="AM198" s="340">
        <v>6</v>
      </c>
      <c r="AN198" s="340" t="s">
        <v>458</v>
      </c>
      <c r="AO198" s="340" t="s">
        <v>459</v>
      </c>
      <c r="AP198" s="340">
        <v>3</v>
      </c>
      <c r="AQ198" s="340" t="s">
        <v>460</v>
      </c>
      <c r="AR198" s="340">
        <v>3073</v>
      </c>
      <c r="AS198" s="340" t="s">
        <v>591</v>
      </c>
      <c r="AT198" s="340">
        <v>1</v>
      </c>
      <c r="AU198" s="340" t="s">
        <v>462</v>
      </c>
      <c r="AV198" s="343">
        <v>0.33333333333333331</v>
      </c>
      <c r="AW198" s="343">
        <v>0.58333333333333337</v>
      </c>
      <c r="AX198" s="340" t="s">
        <v>463</v>
      </c>
      <c r="AY198" s="340" t="s">
        <v>464</v>
      </c>
    </row>
    <row r="199" spans="1:51" x14ac:dyDescent="0.25">
      <c r="A199" s="339" t="s">
        <v>589</v>
      </c>
      <c r="B199" s="339" t="s">
        <v>442</v>
      </c>
      <c r="C199" s="339" t="s">
        <v>469</v>
      </c>
      <c r="D199" s="339">
        <v>4</v>
      </c>
      <c r="E199" s="339">
        <v>2</v>
      </c>
      <c r="F199" s="339">
        <v>6.5</v>
      </c>
      <c r="G199" s="340">
        <v>2039710600</v>
      </c>
      <c r="H199" s="346">
        <v>397106</v>
      </c>
      <c r="I199" s="348">
        <v>166</v>
      </c>
      <c r="J199" s="341">
        <v>127</v>
      </c>
      <c r="K199" s="341">
        <v>108</v>
      </c>
      <c r="L199" s="348">
        <f t="shared" si="10"/>
        <v>235</v>
      </c>
      <c r="M199" s="341">
        <v>397</v>
      </c>
      <c r="N199" s="340" t="s">
        <v>726</v>
      </c>
      <c r="O199" s="340">
        <v>1</v>
      </c>
      <c r="P199" s="340" t="s">
        <v>726</v>
      </c>
      <c r="Q199" s="340" t="s">
        <v>0</v>
      </c>
      <c r="R199" s="340" t="s">
        <v>446</v>
      </c>
      <c r="S199" s="340" t="s">
        <v>447</v>
      </c>
      <c r="T199" s="340">
        <v>3</v>
      </c>
      <c r="U199" s="340" t="s">
        <v>0</v>
      </c>
      <c r="V199" s="340" t="s">
        <v>472</v>
      </c>
      <c r="W199" s="340" t="s">
        <v>0</v>
      </c>
      <c r="X199" s="340" t="s">
        <v>1202</v>
      </c>
      <c r="Y199" s="340" t="s">
        <v>0</v>
      </c>
      <c r="Z199" s="340" t="s">
        <v>1203</v>
      </c>
      <c r="AA199" s="340" t="s">
        <v>0</v>
      </c>
      <c r="AB199" s="340" t="s">
        <v>1204</v>
      </c>
      <c r="AC199" s="340" t="s">
        <v>0</v>
      </c>
      <c r="AD199" s="340">
        <v>69801</v>
      </c>
      <c r="AE199" s="340" t="s">
        <v>452</v>
      </c>
      <c r="AF199" s="340" t="s">
        <v>453</v>
      </c>
      <c r="AG199" s="340" t="s">
        <v>447</v>
      </c>
      <c r="AH199" s="342">
        <v>41680</v>
      </c>
      <c r="AI199" s="340" t="s">
        <v>454</v>
      </c>
      <c r="AJ199" s="340" t="s">
        <v>455</v>
      </c>
      <c r="AK199" s="340" t="s">
        <v>456</v>
      </c>
      <c r="AL199" s="340" t="s">
        <v>457</v>
      </c>
      <c r="AM199" s="340">
        <v>6</v>
      </c>
      <c r="AN199" s="340" t="s">
        <v>458</v>
      </c>
      <c r="AO199" s="340" t="s">
        <v>459</v>
      </c>
      <c r="AP199" s="340">
        <v>3</v>
      </c>
      <c r="AQ199" s="340" t="s">
        <v>460</v>
      </c>
      <c r="AR199" s="340">
        <v>3073</v>
      </c>
      <c r="AS199" s="340" t="s">
        <v>591</v>
      </c>
      <c r="AT199" s="340">
        <v>1</v>
      </c>
      <c r="AU199" s="340" t="s">
        <v>462</v>
      </c>
      <c r="AV199" s="343">
        <v>0.33333333333333331</v>
      </c>
      <c r="AW199" s="343">
        <v>0.58333333333333337</v>
      </c>
      <c r="AX199" s="340" t="s">
        <v>463</v>
      </c>
      <c r="AY199" s="340" t="s">
        <v>464</v>
      </c>
    </row>
    <row r="200" spans="1:51" x14ac:dyDescent="0.25">
      <c r="A200" s="339" t="s">
        <v>441</v>
      </c>
      <c r="B200" s="339" t="s">
        <v>442</v>
      </c>
      <c r="C200" s="339" t="s">
        <v>469</v>
      </c>
      <c r="D200" s="339">
        <v>4</v>
      </c>
      <c r="E200" s="339">
        <v>2</v>
      </c>
      <c r="F200" s="339">
        <v>6.5</v>
      </c>
      <c r="G200" s="340">
        <v>2039710700</v>
      </c>
      <c r="H200" s="346">
        <v>397107</v>
      </c>
      <c r="I200" s="348">
        <v>45</v>
      </c>
      <c r="J200" s="341">
        <v>36</v>
      </c>
      <c r="K200" s="341">
        <v>28</v>
      </c>
      <c r="L200" s="348">
        <f t="shared" si="10"/>
        <v>64</v>
      </c>
      <c r="M200" s="341">
        <v>397</v>
      </c>
      <c r="N200" s="340" t="s">
        <v>726</v>
      </c>
      <c r="O200" s="340">
        <v>68</v>
      </c>
      <c r="P200" s="340" t="s">
        <v>1205</v>
      </c>
      <c r="Q200" s="340" t="s">
        <v>0</v>
      </c>
      <c r="R200" s="340" t="s">
        <v>446</v>
      </c>
      <c r="S200" s="340" t="s">
        <v>447</v>
      </c>
      <c r="T200" s="340">
        <v>2</v>
      </c>
      <c r="U200" s="340" t="s">
        <v>0</v>
      </c>
      <c r="V200" s="340" t="s">
        <v>448</v>
      </c>
      <c r="W200" s="340" t="s">
        <v>0</v>
      </c>
      <c r="X200" s="340" t="s">
        <v>465</v>
      </c>
      <c r="Y200" s="340" t="s">
        <v>0</v>
      </c>
      <c r="Z200" s="340" t="s">
        <v>1206</v>
      </c>
      <c r="AA200" s="340" t="s">
        <v>0</v>
      </c>
      <c r="AB200" s="340" t="s">
        <v>1207</v>
      </c>
      <c r="AC200" s="340" t="s">
        <v>0</v>
      </c>
      <c r="AD200" s="340">
        <v>69800</v>
      </c>
      <c r="AE200" s="340" t="s">
        <v>452</v>
      </c>
      <c r="AF200" s="340" t="s">
        <v>453</v>
      </c>
      <c r="AG200" s="340" t="s">
        <v>447</v>
      </c>
      <c r="AH200" s="342">
        <v>44768</v>
      </c>
      <c r="AI200" s="340" t="s">
        <v>454</v>
      </c>
      <c r="AJ200" s="340" t="s">
        <v>455</v>
      </c>
      <c r="AK200" s="340" t="s">
        <v>456</v>
      </c>
      <c r="AL200" s="340" t="s">
        <v>457</v>
      </c>
      <c r="AM200" s="340">
        <v>6</v>
      </c>
      <c r="AN200" s="340" t="s">
        <v>458</v>
      </c>
      <c r="AO200" s="340" t="s">
        <v>459</v>
      </c>
      <c r="AP200" s="340">
        <v>3</v>
      </c>
      <c r="AQ200" s="340" t="s">
        <v>460</v>
      </c>
      <c r="AR200" s="340">
        <v>3073</v>
      </c>
      <c r="AS200" s="340" t="s">
        <v>591</v>
      </c>
      <c r="AT200" s="340">
        <v>208645</v>
      </c>
      <c r="AU200" s="340" t="s">
        <v>659</v>
      </c>
      <c r="AV200" s="343">
        <v>0.375</v>
      </c>
      <c r="AW200" s="343">
        <v>0.58333333333333337</v>
      </c>
      <c r="AX200" s="340" t="s">
        <v>463</v>
      </c>
      <c r="AY200" s="340" t="s">
        <v>464</v>
      </c>
    </row>
    <row r="201" spans="1:51" x14ac:dyDescent="0.25">
      <c r="A201" s="339" t="s">
        <v>441</v>
      </c>
      <c r="B201" s="339" t="s">
        <v>442</v>
      </c>
      <c r="C201" s="339" t="s">
        <v>469</v>
      </c>
      <c r="D201" s="339">
        <v>4</v>
      </c>
      <c r="E201" s="339">
        <v>2</v>
      </c>
      <c r="F201" s="339">
        <v>6.5</v>
      </c>
      <c r="G201" s="340">
        <v>2039710800</v>
      </c>
      <c r="H201" s="346">
        <v>397108</v>
      </c>
      <c r="I201" s="348">
        <v>60</v>
      </c>
      <c r="J201" s="341">
        <v>30</v>
      </c>
      <c r="K201" s="341">
        <v>45</v>
      </c>
      <c r="L201" s="348">
        <f t="shared" si="10"/>
        <v>75</v>
      </c>
      <c r="M201" s="341">
        <v>397</v>
      </c>
      <c r="N201" s="340" t="s">
        <v>726</v>
      </c>
      <c r="O201" s="340">
        <v>43</v>
      </c>
      <c r="P201" s="340" t="s">
        <v>1208</v>
      </c>
      <c r="Q201" s="340" t="s">
        <v>0</v>
      </c>
      <c r="R201" s="340" t="s">
        <v>446</v>
      </c>
      <c r="S201" s="340" t="s">
        <v>447</v>
      </c>
      <c r="T201" s="340">
        <v>2</v>
      </c>
      <c r="U201" s="340" t="s">
        <v>0</v>
      </c>
      <c r="V201" s="340" t="s">
        <v>448</v>
      </c>
      <c r="W201" s="340" t="s">
        <v>0</v>
      </c>
      <c r="X201" s="340" t="s">
        <v>465</v>
      </c>
      <c r="Y201" s="340" t="s">
        <v>0</v>
      </c>
      <c r="Z201" s="340" t="s">
        <v>1209</v>
      </c>
      <c r="AA201" s="340" t="s">
        <v>0</v>
      </c>
      <c r="AB201" s="340" t="s">
        <v>1210</v>
      </c>
      <c r="AC201" s="340" t="s">
        <v>0</v>
      </c>
      <c r="AD201" s="340">
        <v>69803</v>
      </c>
      <c r="AE201" s="340" t="s">
        <v>452</v>
      </c>
      <c r="AF201" s="340" t="s">
        <v>453</v>
      </c>
      <c r="AG201" s="340" t="s">
        <v>447</v>
      </c>
      <c r="AH201" s="342">
        <v>44769</v>
      </c>
      <c r="AI201" s="340" t="s">
        <v>454</v>
      </c>
      <c r="AJ201" s="340" t="s">
        <v>455</v>
      </c>
      <c r="AK201" s="340" t="s">
        <v>456</v>
      </c>
      <c r="AL201" s="340" t="s">
        <v>457</v>
      </c>
      <c r="AM201" s="340">
        <v>6</v>
      </c>
      <c r="AN201" s="340" t="s">
        <v>458</v>
      </c>
      <c r="AO201" s="340" t="s">
        <v>459</v>
      </c>
      <c r="AP201" s="340">
        <v>3</v>
      </c>
      <c r="AQ201" s="340" t="s">
        <v>460</v>
      </c>
      <c r="AR201" s="340">
        <v>3073</v>
      </c>
      <c r="AS201" s="340" t="s">
        <v>591</v>
      </c>
      <c r="AT201" s="340">
        <v>1</v>
      </c>
      <c r="AU201" s="340" t="s">
        <v>462</v>
      </c>
      <c r="AV201" s="343">
        <v>0.375</v>
      </c>
      <c r="AW201" s="343">
        <v>0.58333333333333337</v>
      </c>
      <c r="AX201" s="340" t="s">
        <v>463</v>
      </c>
      <c r="AY201" s="340" t="s">
        <v>464</v>
      </c>
    </row>
    <row r="202" spans="1:51" x14ac:dyDescent="0.25">
      <c r="A202" s="339" t="s">
        <v>441</v>
      </c>
      <c r="B202" s="339" t="s">
        <v>442</v>
      </c>
      <c r="C202" s="339" t="s">
        <v>469</v>
      </c>
      <c r="D202" s="339">
        <v>4</v>
      </c>
      <c r="E202" s="339">
        <v>2</v>
      </c>
      <c r="F202" s="339">
        <v>6.5</v>
      </c>
      <c r="G202" s="340">
        <v>2039710900</v>
      </c>
      <c r="H202" s="346">
        <v>397109</v>
      </c>
      <c r="I202" s="348">
        <v>84</v>
      </c>
      <c r="J202" s="341">
        <v>65</v>
      </c>
      <c r="K202" s="341">
        <v>54</v>
      </c>
      <c r="L202" s="348">
        <f t="shared" si="10"/>
        <v>119</v>
      </c>
      <c r="M202" s="341">
        <v>397</v>
      </c>
      <c r="N202" s="340" t="s">
        <v>726</v>
      </c>
      <c r="O202" s="340">
        <v>3</v>
      </c>
      <c r="P202" s="340" t="s">
        <v>1211</v>
      </c>
      <c r="Q202" s="340" t="s">
        <v>0</v>
      </c>
      <c r="R202" s="340" t="s">
        <v>446</v>
      </c>
      <c r="S202" s="340" t="s">
        <v>447</v>
      </c>
      <c r="T202" s="340">
        <v>2</v>
      </c>
      <c r="U202" s="340" t="s">
        <v>0</v>
      </c>
      <c r="V202" s="340" t="s">
        <v>448</v>
      </c>
      <c r="W202" s="340" t="s">
        <v>0</v>
      </c>
      <c r="X202" s="340" t="s">
        <v>465</v>
      </c>
      <c r="Y202" s="340" t="s">
        <v>0</v>
      </c>
      <c r="Z202" s="340" t="s">
        <v>1212</v>
      </c>
      <c r="AA202" s="340" t="s">
        <v>0</v>
      </c>
      <c r="AB202" s="340" t="s">
        <v>1213</v>
      </c>
      <c r="AC202" s="340" t="s">
        <v>0</v>
      </c>
      <c r="AD202" s="340">
        <v>69806</v>
      </c>
      <c r="AE202" s="340" t="s">
        <v>452</v>
      </c>
      <c r="AF202" s="340" t="s">
        <v>453</v>
      </c>
      <c r="AG202" s="340" t="s">
        <v>447</v>
      </c>
      <c r="AH202" s="342">
        <v>44952</v>
      </c>
      <c r="AI202" s="340" t="s">
        <v>454</v>
      </c>
      <c r="AJ202" s="340" t="s">
        <v>455</v>
      </c>
      <c r="AK202" s="340" t="s">
        <v>456</v>
      </c>
      <c r="AL202" s="340" t="s">
        <v>457</v>
      </c>
      <c r="AM202" s="340">
        <v>6</v>
      </c>
      <c r="AN202" s="340" t="s">
        <v>458</v>
      </c>
      <c r="AO202" s="340" t="s">
        <v>459</v>
      </c>
      <c r="AP202" s="340">
        <v>3</v>
      </c>
      <c r="AQ202" s="340" t="s">
        <v>460</v>
      </c>
      <c r="AR202" s="340">
        <v>3073</v>
      </c>
      <c r="AS202" s="340" t="s">
        <v>591</v>
      </c>
      <c r="AT202" s="340">
        <v>1</v>
      </c>
      <c r="AU202" s="340" t="s">
        <v>462</v>
      </c>
      <c r="AV202" s="343">
        <v>0.375</v>
      </c>
      <c r="AW202" s="343">
        <v>0.58333333333333337</v>
      </c>
      <c r="AX202" s="340" t="s">
        <v>463</v>
      </c>
      <c r="AY202" s="340" t="s">
        <v>464</v>
      </c>
    </row>
    <row r="203" spans="1:51" x14ac:dyDescent="0.25">
      <c r="A203" s="339" t="s">
        <v>441</v>
      </c>
      <c r="B203" s="339" t="s">
        <v>442</v>
      </c>
      <c r="C203" s="339" t="s">
        <v>443</v>
      </c>
      <c r="D203" s="339">
        <v>4</v>
      </c>
      <c r="E203" s="339">
        <v>2</v>
      </c>
      <c r="F203" s="339">
        <v>6.5</v>
      </c>
      <c r="G203" s="340">
        <v>2039711000</v>
      </c>
      <c r="H203" s="346">
        <v>397110</v>
      </c>
      <c r="I203" s="348">
        <v>83</v>
      </c>
      <c r="J203" s="341">
        <v>46</v>
      </c>
      <c r="K203" s="341">
        <v>81</v>
      </c>
      <c r="L203" s="348">
        <f t="shared" si="10"/>
        <v>127</v>
      </c>
      <c r="M203" s="341">
        <v>397</v>
      </c>
      <c r="N203" s="340" t="s">
        <v>726</v>
      </c>
      <c r="O203" s="340">
        <v>18</v>
      </c>
      <c r="P203" s="340" t="s">
        <v>1214</v>
      </c>
      <c r="Q203" s="340" t="s">
        <v>0</v>
      </c>
      <c r="R203" s="340" t="s">
        <v>446</v>
      </c>
      <c r="S203" s="340" t="s">
        <v>447</v>
      </c>
      <c r="T203" s="340">
        <v>4</v>
      </c>
      <c r="U203" s="340" t="s">
        <v>0</v>
      </c>
      <c r="V203" s="340" t="s">
        <v>498</v>
      </c>
      <c r="W203" s="340" t="s">
        <v>0</v>
      </c>
      <c r="X203" s="340" t="s">
        <v>465</v>
      </c>
      <c r="Y203" s="340" t="s">
        <v>0</v>
      </c>
      <c r="Z203" s="340" t="s">
        <v>1215</v>
      </c>
      <c r="AA203" s="340" t="s">
        <v>0</v>
      </c>
      <c r="AB203" s="340" t="s">
        <v>1216</v>
      </c>
      <c r="AC203" s="340" t="s">
        <v>0</v>
      </c>
      <c r="AD203" s="340">
        <v>69804</v>
      </c>
      <c r="AE203" s="340" t="s">
        <v>452</v>
      </c>
      <c r="AF203" s="340" t="s">
        <v>453</v>
      </c>
      <c r="AG203" s="340" t="s">
        <v>447</v>
      </c>
      <c r="AH203" s="342">
        <v>45686</v>
      </c>
      <c r="AI203" s="340" t="s">
        <v>454</v>
      </c>
      <c r="AJ203" s="340" t="s">
        <v>455</v>
      </c>
      <c r="AK203" s="340" t="s">
        <v>456</v>
      </c>
      <c r="AL203" s="340" t="s">
        <v>457</v>
      </c>
      <c r="AM203" s="340">
        <v>6</v>
      </c>
      <c r="AN203" s="340" t="s">
        <v>458</v>
      </c>
      <c r="AO203" s="340" t="s">
        <v>459</v>
      </c>
      <c r="AP203" s="340">
        <v>3</v>
      </c>
      <c r="AQ203" s="340" t="s">
        <v>460</v>
      </c>
      <c r="AR203" s="340">
        <v>3073</v>
      </c>
      <c r="AS203" s="340" t="s">
        <v>591</v>
      </c>
      <c r="AT203" s="340">
        <v>208742</v>
      </c>
      <c r="AU203" s="340" t="s">
        <v>872</v>
      </c>
      <c r="AV203" s="343">
        <v>0.375</v>
      </c>
      <c r="AW203" s="343">
        <v>0.58333333333333337</v>
      </c>
      <c r="AX203" s="340" t="s">
        <v>463</v>
      </c>
      <c r="AY203" s="340" t="s">
        <v>464</v>
      </c>
    </row>
    <row r="204" spans="1:51" x14ac:dyDescent="0.25">
      <c r="A204" s="339" t="s">
        <v>441</v>
      </c>
      <c r="B204" s="339" t="s">
        <v>442</v>
      </c>
      <c r="C204" s="339" t="s">
        <v>443</v>
      </c>
      <c r="D204" s="339">
        <v>4</v>
      </c>
      <c r="E204" s="339">
        <v>8</v>
      </c>
      <c r="F204" s="339">
        <v>6.5</v>
      </c>
      <c r="G204" s="340">
        <v>2040010300</v>
      </c>
      <c r="H204" s="346">
        <v>400103</v>
      </c>
      <c r="I204" s="348">
        <v>113</v>
      </c>
      <c r="J204" s="341">
        <v>42</v>
      </c>
      <c r="K204" s="341">
        <v>81</v>
      </c>
      <c r="L204" s="348">
        <f t="shared" si="10"/>
        <v>123</v>
      </c>
      <c r="M204" s="341">
        <v>400</v>
      </c>
      <c r="N204" s="340" t="s">
        <v>1217</v>
      </c>
      <c r="O204" s="340">
        <v>1</v>
      </c>
      <c r="P204" s="340" t="s">
        <v>1218</v>
      </c>
      <c r="Q204" s="340" t="s">
        <v>0</v>
      </c>
      <c r="R204" s="340" t="s">
        <v>446</v>
      </c>
      <c r="S204" s="340" t="s">
        <v>447</v>
      </c>
      <c r="T204" s="340">
        <v>4</v>
      </c>
      <c r="U204" s="340" t="s">
        <v>0</v>
      </c>
      <c r="V204" s="340" t="s">
        <v>498</v>
      </c>
      <c r="W204" s="340" t="s">
        <v>0</v>
      </c>
      <c r="X204" s="340" t="s">
        <v>645</v>
      </c>
      <c r="Y204" s="340" t="s">
        <v>0</v>
      </c>
      <c r="Z204" s="340" t="s">
        <v>1219</v>
      </c>
      <c r="AA204" s="340" t="s">
        <v>0</v>
      </c>
      <c r="AB204" s="340" t="s">
        <v>1220</v>
      </c>
      <c r="AC204" s="340" t="s">
        <v>0</v>
      </c>
      <c r="AD204" s="340">
        <v>69080</v>
      </c>
      <c r="AE204" s="340" t="s">
        <v>452</v>
      </c>
      <c r="AF204" s="340" t="s">
        <v>453</v>
      </c>
      <c r="AG204" s="340" t="s">
        <v>447</v>
      </c>
      <c r="AH204" s="342">
        <v>46035</v>
      </c>
      <c r="AI204" s="340" t="s">
        <v>454</v>
      </c>
      <c r="AJ204" s="340" t="s">
        <v>455</v>
      </c>
      <c r="AK204" s="340" t="s">
        <v>456</v>
      </c>
      <c r="AL204" s="340" t="s">
        <v>457</v>
      </c>
      <c r="AM204" s="340">
        <v>6</v>
      </c>
      <c r="AN204" s="340" t="s">
        <v>458</v>
      </c>
      <c r="AO204" s="340" t="s">
        <v>459</v>
      </c>
      <c r="AP204" s="340">
        <v>3</v>
      </c>
      <c r="AQ204" s="340" t="s">
        <v>460</v>
      </c>
      <c r="AR204" s="340">
        <v>3128</v>
      </c>
      <c r="AS204" s="340" t="s">
        <v>524</v>
      </c>
      <c r="AT204" s="340">
        <v>208653</v>
      </c>
      <c r="AU204" s="340" t="s">
        <v>495</v>
      </c>
      <c r="AV204" s="343">
        <v>0.375</v>
      </c>
      <c r="AW204" s="343">
        <v>0.58333333333333337</v>
      </c>
      <c r="AX204" s="340" t="s">
        <v>463</v>
      </c>
      <c r="AY204" s="340" t="s">
        <v>464</v>
      </c>
    </row>
    <row r="205" spans="1:51" x14ac:dyDescent="0.25">
      <c r="A205" s="339" t="s">
        <v>441</v>
      </c>
      <c r="B205" s="339" t="s">
        <v>442</v>
      </c>
      <c r="C205" s="339" t="s">
        <v>443</v>
      </c>
      <c r="D205" s="339">
        <v>2</v>
      </c>
      <c r="E205" s="339">
        <v>4</v>
      </c>
      <c r="F205" s="339">
        <v>6.5</v>
      </c>
      <c r="G205" s="340">
        <v>2040110100</v>
      </c>
      <c r="H205" s="346">
        <v>401101</v>
      </c>
      <c r="I205" s="348">
        <v>142</v>
      </c>
      <c r="J205" s="341">
        <v>103</v>
      </c>
      <c r="K205" s="341">
        <v>163</v>
      </c>
      <c r="L205" s="348">
        <f t="shared" si="10"/>
        <v>266</v>
      </c>
      <c r="M205" s="341">
        <v>401</v>
      </c>
      <c r="N205" s="340" t="s">
        <v>774</v>
      </c>
      <c r="O205" s="340">
        <v>50</v>
      </c>
      <c r="P205" s="340" t="s">
        <v>775</v>
      </c>
      <c r="Q205" s="340" t="s">
        <v>0</v>
      </c>
      <c r="R205" s="340" t="s">
        <v>446</v>
      </c>
      <c r="S205" s="340" t="s">
        <v>447</v>
      </c>
      <c r="T205" s="340">
        <v>1</v>
      </c>
      <c r="U205" s="340" t="s">
        <v>0</v>
      </c>
      <c r="V205" s="340" t="s">
        <v>511</v>
      </c>
      <c r="W205" s="340" t="s">
        <v>0</v>
      </c>
      <c r="X205" s="340" t="s">
        <v>1221</v>
      </c>
      <c r="Y205" s="340" t="s">
        <v>0</v>
      </c>
      <c r="Z205" s="340" t="s">
        <v>1222</v>
      </c>
      <c r="AA205" s="340" t="s">
        <v>0</v>
      </c>
      <c r="AB205" s="340" t="s">
        <v>1223</v>
      </c>
      <c r="AC205" s="340" t="s">
        <v>0</v>
      </c>
      <c r="AD205" s="340">
        <v>70934</v>
      </c>
      <c r="AE205" s="340" t="s">
        <v>452</v>
      </c>
      <c r="AF205" s="340" t="s">
        <v>453</v>
      </c>
      <c r="AG205" s="340" t="s">
        <v>447</v>
      </c>
      <c r="AH205" s="342">
        <v>37154</v>
      </c>
      <c r="AI205" s="340" t="s">
        <v>454</v>
      </c>
      <c r="AJ205" s="340" t="s">
        <v>455</v>
      </c>
      <c r="AK205" s="340" t="s">
        <v>456</v>
      </c>
      <c r="AL205" s="340" t="s">
        <v>457</v>
      </c>
      <c r="AM205" s="340">
        <v>6</v>
      </c>
      <c r="AN205" s="340" t="s">
        <v>458</v>
      </c>
      <c r="AO205" s="340" t="s">
        <v>459</v>
      </c>
      <c r="AP205" s="340">
        <v>3</v>
      </c>
      <c r="AQ205" s="340" t="s">
        <v>460</v>
      </c>
      <c r="AR205" s="340">
        <v>3138</v>
      </c>
      <c r="AS205" s="340" t="s">
        <v>796</v>
      </c>
      <c r="AT205" s="340">
        <v>1</v>
      </c>
      <c r="AU205" s="340" t="s">
        <v>462</v>
      </c>
      <c r="AV205" s="343">
        <v>0.33333333333333331</v>
      </c>
      <c r="AW205" s="343">
        <v>0.54166666666666663</v>
      </c>
      <c r="AX205" s="340" t="s">
        <v>463</v>
      </c>
      <c r="AY205" s="340" t="s">
        <v>464</v>
      </c>
    </row>
    <row r="206" spans="1:51" x14ac:dyDescent="0.25">
      <c r="A206" s="339" t="s">
        <v>441</v>
      </c>
      <c r="B206" s="339" t="s">
        <v>442</v>
      </c>
      <c r="C206" s="339" t="s">
        <v>469</v>
      </c>
      <c r="D206" s="339">
        <v>2</v>
      </c>
      <c r="E206" s="339">
        <v>3</v>
      </c>
      <c r="F206" s="339">
        <v>6.5</v>
      </c>
      <c r="G206" s="340">
        <v>2040110500</v>
      </c>
      <c r="H206" s="346">
        <v>401105</v>
      </c>
      <c r="I206" s="348">
        <v>26</v>
      </c>
      <c r="J206" s="341">
        <v>24</v>
      </c>
      <c r="K206" s="341">
        <v>19</v>
      </c>
      <c r="L206" s="348">
        <f t="shared" si="10"/>
        <v>43</v>
      </c>
      <c r="M206" s="341">
        <v>401</v>
      </c>
      <c r="N206" s="340" t="s">
        <v>774</v>
      </c>
      <c r="O206" s="340">
        <v>18</v>
      </c>
      <c r="P206" s="340" t="s">
        <v>1224</v>
      </c>
      <c r="Q206" s="340" t="s">
        <v>0</v>
      </c>
      <c r="R206" s="340" t="s">
        <v>446</v>
      </c>
      <c r="S206" s="340" t="s">
        <v>447</v>
      </c>
      <c r="T206" s="340">
        <v>2</v>
      </c>
      <c r="U206" s="340" t="s">
        <v>0</v>
      </c>
      <c r="V206" s="340" t="s">
        <v>448</v>
      </c>
      <c r="W206" s="340" t="s">
        <v>0</v>
      </c>
      <c r="X206" s="340" t="s">
        <v>1225</v>
      </c>
      <c r="Y206" s="340" t="s">
        <v>0</v>
      </c>
      <c r="Z206" s="340" t="s">
        <v>1226</v>
      </c>
      <c r="AA206" s="340" t="s">
        <v>0</v>
      </c>
      <c r="AB206" s="340" t="s">
        <v>1227</v>
      </c>
      <c r="AC206" s="340" t="s">
        <v>0</v>
      </c>
      <c r="AD206" s="340">
        <v>70937</v>
      </c>
      <c r="AE206" s="340" t="s">
        <v>452</v>
      </c>
      <c r="AF206" s="340" t="s">
        <v>453</v>
      </c>
      <c r="AG206" s="340" t="s">
        <v>447</v>
      </c>
      <c r="AH206" s="342">
        <v>44176</v>
      </c>
      <c r="AI206" s="340" t="s">
        <v>454</v>
      </c>
      <c r="AJ206" s="340" t="s">
        <v>455</v>
      </c>
      <c r="AK206" s="340" t="s">
        <v>456</v>
      </c>
      <c r="AL206" s="340" t="s">
        <v>457</v>
      </c>
      <c r="AM206" s="340">
        <v>6</v>
      </c>
      <c r="AN206" s="340" t="s">
        <v>458</v>
      </c>
      <c r="AO206" s="340" t="s">
        <v>459</v>
      </c>
      <c r="AP206" s="340">
        <v>3</v>
      </c>
      <c r="AQ206" s="340" t="s">
        <v>460</v>
      </c>
      <c r="AR206" s="340">
        <v>3086</v>
      </c>
      <c r="AS206" s="340" t="s">
        <v>771</v>
      </c>
      <c r="AT206" s="340">
        <v>1</v>
      </c>
      <c r="AU206" s="340" t="s">
        <v>462</v>
      </c>
      <c r="AV206" s="343">
        <v>0.375</v>
      </c>
      <c r="AW206" s="343">
        <v>0.58333333333333337</v>
      </c>
      <c r="AX206" s="340" t="s">
        <v>463</v>
      </c>
      <c r="AY206" s="340" t="s">
        <v>464</v>
      </c>
    </row>
    <row r="207" spans="1:51" x14ac:dyDescent="0.25">
      <c r="A207" s="339" t="s">
        <v>441</v>
      </c>
      <c r="B207" s="339" t="s">
        <v>442</v>
      </c>
      <c r="C207" s="339" t="s">
        <v>443</v>
      </c>
      <c r="D207" s="339">
        <v>2</v>
      </c>
      <c r="E207" s="339">
        <v>3</v>
      </c>
      <c r="F207" s="339">
        <v>6.5</v>
      </c>
      <c r="G207" s="340">
        <v>2040110700</v>
      </c>
      <c r="H207" s="346">
        <v>401107</v>
      </c>
      <c r="I207" s="348">
        <v>54</v>
      </c>
      <c r="J207" s="341">
        <v>44</v>
      </c>
      <c r="K207" s="341">
        <v>37</v>
      </c>
      <c r="L207" s="348">
        <f t="shared" si="10"/>
        <v>81</v>
      </c>
      <c r="M207" s="341">
        <v>401</v>
      </c>
      <c r="N207" s="340" t="s">
        <v>774</v>
      </c>
      <c r="O207" s="340">
        <v>21</v>
      </c>
      <c r="P207" s="340" t="s">
        <v>1228</v>
      </c>
      <c r="Q207" s="340" t="s">
        <v>0</v>
      </c>
      <c r="R207" s="340" t="s">
        <v>446</v>
      </c>
      <c r="S207" s="340" t="s">
        <v>447</v>
      </c>
      <c r="T207" s="340">
        <v>2</v>
      </c>
      <c r="U207" s="340" t="s">
        <v>0</v>
      </c>
      <c r="V207" s="340" t="s">
        <v>448</v>
      </c>
      <c r="W207" s="340" t="s">
        <v>0</v>
      </c>
      <c r="X207" s="340" t="s">
        <v>465</v>
      </c>
      <c r="Y207" s="340" t="s">
        <v>0</v>
      </c>
      <c r="Z207" s="340" t="s">
        <v>1229</v>
      </c>
      <c r="AA207" s="340" t="s">
        <v>0</v>
      </c>
      <c r="AB207" s="340" t="s">
        <v>466</v>
      </c>
      <c r="AC207" s="340" t="s">
        <v>0</v>
      </c>
      <c r="AD207" s="340">
        <v>70938</v>
      </c>
      <c r="AE207" s="340" t="s">
        <v>452</v>
      </c>
      <c r="AF207" s="340" t="s">
        <v>453</v>
      </c>
      <c r="AG207" s="340" t="s">
        <v>447</v>
      </c>
      <c r="AH207" s="342">
        <v>44176</v>
      </c>
      <c r="AI207" s="340" t="s">
        <v>454</v>
      </c>
      <c r="AJ207" s="340" t="s">
        <v>455</v>
      </c>
      <c r="AK207" s="340" t="s">
        <v>456</v>
      </c>
      <c r="AL207" s="340" t="s">
        <v>457</v>
      </c>
      <c r="AM207" s="340">
        <v>6</v>
      </c>
      <c r="AN207" s="340" t="s">
        <v>458</v>
      </c>
      <c r="AO207" s="340" t="s">
        <v>459</v>
      </c>
      <c r="AP207" s="340">
        <v>3</v>
      </c>
      <c r="AQ207" s="340" t="s">
        <v>460</v>
      </c>
      <c r="AR207" s="340">
        <v>3086</v>
      </c>
      <c r="AS207" s="340" t="s">
        <v>771</v>
      </c>
      <c r="AT207" s="340">
        <v>1</v>
      </c>
      <c r="AU207" s="340" t="s">
        <v>462</v>
      </c>
      <c r="AV207" s="343">
        <v>0.375</v>
      </c>
      <c r="AW207" s="343">
        <v>0.58333333333333337</v>
      </c>
      <c r="AX207" s="340" t="s">
        <v>463</v>
      </c>
      <c r="AY207" s="340" t="s">
        <v>464</v>
      </c>
    </row>
    <row r="208" spans="1:51" x14ac:dyDescent="0.25">
      <c r="A208" s="339" t="s">
        <v>441</v>
      </c>
      <c r="B208" s="339" t="s">
        <v>442</v>
      </c>
      <c r="C208" s="339" t="s">
        <v>443</v>
      </c>
      <c r="D208" s="339">
        <v>2</v>
      </c>
      <c r="E208" s="339">
        <v>3</v>
      </c>
      <c r="F208" s="339">
        <v>6.5</v>
      </c>
      <c r="G208" s="340">
        <v>2040110900</v>
      </c>
      <c r="H208" s="346">
        <v>401109</v>
      </c>
      <c r="I208" s="348">
        <v>24</v>
      </c>
      <c r="J208" s="341">
        <v>14</v>
      </c>
      <c r="K208" s="341">
        <v>21</v>
      </c>
      <c r="L208" s="348">
        <f t="shared" si="10"/>
        <v>35</v>
      </c>
      <c r="M208" s="341">
        <v>401</v>
      </c>
      <c r="N208" s="340" t="s">
        <v>774</v>
      </c>
      <c r="O208" s="340">
        <v>64</v>
      </c>
      <c r="P208" s="340" t="s">
        <v>1230</v>
      </c>
      <c r="Q208" s="340" t="s">
        <v>0</v>
      </c>
      <c r="R208" s="340" t="s">
        <v>446</v>
      </c>
      <c r="S208" s="340" t="s">
        <v>447</v>
      </c>
      <c r="T208" s="340">
        <v>2</v>
      </c>
      <c r="U208" s="340" t="s">
        <v>0</v>
      </c>
      <c r="V208" s="340" t="s">
        <v>448</v>
      </c>
      <c r="W208" s="340" t="s">
        <v>0</v>
      </c>
      <c r="X208" s="340" t="s">
        <v>465</v>
      </c>
      <c r="Y208" s="340" t="s">
        <v>0</v>
      </c>
      <c r="Z208" s="340" t="s">
        <v>1231</v>
      </c>
      <c r="AA208" s="340" t="s">
        <v>0</v>
      </c>
      <c r="AB208" s="340" t="s">
        <v>466</v>
      </c>
      <c r="AC208" s="340" t="s">
        <v>0</v>
      </c>
      <c r="AD208" s="340">
        <v>70937</v>
      </c>
      <c r="AE208" s="340" t="s">
        <v>452</v>
      </c>
      <c r="AF208" s="340" t="s">
        <v>453</v>
      </c>
      <c r="AG208" s="340" t="s">
        <v>447</v>
      </c>
      <c r="AH208" s="342">
        <v>44614</v>
      </c>
      <c r="AI208" s="340" t="s">
        <v>454</v>
      </c>
      <c r="AJ208" s="340" t="s">
        <v>455</v>
      </c>
      <c r="AK208" s="340" t="s">
        <v>456</v>
      </c>
      <c r="AL208" s="340" t="s">
        <v>457</v>
      </c>
      <c r="AM208" s="340">
        <v>6</v>
      </c>
      <c r="AN208" s="340" t="s">
        <v>458</v>
      </c>
      <c r="AO208" s="340" t="s">
        <v>459</v>
      </c>
      <c r="AP208" s="340">
        <v>3</v>
      </c>
      <c r="AQ208" s="340" t="s">
        <v>460</v>
      </c>
      <c r="AR208" s="340">
        <v>3086</v>
      </c>
      <c r="AS208" s="340" t="s">
        <v>771</v>
      </c>
      <c r="AT208" s="340">
        <v>1</v>
      </c>
      <c r="AU208" s="340" t="s">
        <v>462</v>
      </c>
      <c r="AV208" s="343">
        <v>0.375</v>
      </c>
      <c r="AW208" s="343">
        <v>0.58333333333333337</v>
      </c>
      <c r="AX208" s="340" t="s">
        <v>463</v>
      </c>
      <c r="AY208" s="340" t="s">
        <v>464</v>
      </c>
    </row>
    <row r="209" spans="1:51" x14ac:dyDescent="0.25">
      <c r="A209" s="339" t="s">
        <v>441</v>
      </c>
      <c r="B209" s="339" t="s">
        <v>442</v>
      </c>
      <c r="C209" s="339" t="s">
        <v>443</v>
      </c>
      <c r="D209" s="339">
        <v>2</v>
      </c>
      <c r="E209" s="339">
        <v>3</v>
      </c>
      <c r="F209" s="339">
        <v>6.5</v>
      </c>
      <c r="G209" s="340">
        <v>2040111000</v>
      </c>
      <c r="H209" s="346">
        <v>401110</v>
      </c>
      <c r="I209" s="348">
        <v>168</v>
      </c>
      <c r="J209" s="341">
        <v>168</v>
      </c>
      <c r="K209" s="341">
        <v>73</v>
      </c>
      <c r="L209" s="348">
        <f t="shared" si="10"/>
        <v>241</v>
      </c>
      <c r="M209" s="341">
        <v>401</v>
      </c>
      <c r="N209" s="340" t="s">
        <v>774</v>
      </c>
      <c r="O209" s="340">
        <v>1</v>
      </c>
      <c r="P209" s="340" t="s">
        <v>1232</v>
      </c>
      <c r="Q209" s="340" t="s">
        <v>0</v>
      </c>
      <c r="R209" s="340" t="s">
        <v>446</v>
      </c>
      <c r="S209" s="340" t="s">
        <v>447</v>
      </c>
      <c r="T209" s="340">
        <v>2</v>
      </c>
      <c r="U209" s="340" t="s">
        <v>0</v>
      </c>
      <c r="V209" s="340" t="s">
        <v>448</v>
      </c>
      <c r="W209" s="340" t="s">
        <v>0</v>
      </c>
      <c r="X209" s="340" t="s">
        <v>516</v>
      </c>
      <c r="Y209" s="340" t="s">
        <v>0</v>
      </c>
      <c r="Z209" s="340" t="s">
        <v>1233</v>
      </c>
      <c r="AA209" s="340" t="s">
        <v>0</v>
      </c>
      <c r="AB209" s="340" t="s">
        <v>1234</v>
      </c>
      <c r="AC209" s="340" t="s">
        <v>0</v>
      </c>
      <c r="AD209" s="340">
        <v>70937</v>
      </c>
      <c r="AE209" s="340" t="s">
        <v>452</v>
      </c>
      <c r="AF209" s="340" t="s">
        <v>453</v>
      </c>
      <c r="AG209" s="340" t="s">
        <v>447</v>
      </c>
      <c r="AH209" s="342">
        <v>45831</v>
      </c>
      <c r="AI209" s="340" t="s">
        <v>454</v>
      </c>
      <c r="AJ209" s="340" t="s">
        <v>455</v>
      </c>
      <c r="AK209" s="340" t="s">
        <v>456</v>
      </c>
      <c r="AL209" s="340" t="s">
        <v>457</v>
      </c>
      <c r="AM209" s="340">
        <v>6</v>
      </c>
      <c r="AN209" s="340" t="s">
        <v>458</v>
      </c>
      <c r="AO209" s="340" t="s">
        <v>459</v>
      </c>
      <c r="AP209" s="340">
        <v>3</v>
      </c>
      <c r="AQ209" s="340" t="s">
        <v>460</v>
      </c>
      <c r="AR209" s="340">
        <v>3086</v>
      </c>
      <c r="AS209" s="340" t="s">
        <v>771</v>
      </c>
      <c r="AT209" s="340">
        <v>208773</v>
      </c>
      <c r="AU209" s="340" t="s">
        <v>652</v>
      </c>
      <c r="AV209" s="343">
        <v>0.375</v>
      </c>
      <c r="AW209" s="343">
        <v>0.58333333333333337</v>
      </c>
      <c r="AX209" s="340" t="s">
        <v>463</v>
      </c>
      <c r="AY209" s="340" t="s">
        <v>464</v>
      </c>
    </row>
    <row r="210" spans="1:51" x14ac:dyDescent="0.25">
      <c r="A210" s="339" t="s">
        <v>441</v>
      </c>
      <c r="B210" s="339" t="s">
        <v>442</v>
      </c>
      <c r="C210" s="339" t="s">
        <v>443</v>
      </c>
      <c r="D210" s="339">
        <v>2</v>
      </c>
      <c r="E210" s="339">
        <v>3</v>
      </c>
      <c r="F210" s="339">
        <v>6.5</v>
      </c>
      <c r="G210" s="340">
        <v>2040111100</v>
      </c>
      <c r="H210" s="346">
        <v>401111</v>
      </c>
      <c r="I210" s="348">
        <v>72</v>
      </c>
      <c r="J210" s="341">
        <v>60</v>
      </c>
      <c r="K210" s="341">
        <v>46</v>
      </c>
      <c r="L210" s="348">
        <f t="shared" si="10"/>
        <v>106</v>
      </c>
      <c r="M210" s="341">
        <v>401</v>
      </c>
      <c r="N210" s="340" t="s">
        <v>774</v>
      </c>
      <c r="O210" s="340">
        <v>3</v>
      </c>
      <c r="P210" s="340" t="s">
        <v>1235</v>
      </c>
      <c r="Q210" s="340" t="s">
        <v>0</v>
      </c>
      <c r="R210" s="340" t="s">
        <v>446</v>
      </c>
      <c r="S210" s="340" t="s">
        <v>447</v>
      </c>
      <c r="T210" s="340">
        <v>6</v>
      </c>
      <c r="U210" s="340" t="s">
        <v>0</v>
      </c>
      <c r="V210" s="340" t="s">
        <v>1236</v>
      </c>
      <c r="W210" s="340" t="s">
        <v>0</v>
      </c>
      <c r="X210" s="340" t="s">
        <v>465</v>
      </c>
      <c r="Y210" s="340" t="s">
        <v>0</v>
      </c>
      <c r="Z210" s="340" t="s">
        <v>1237</v>
      </c>
      <c r="AA210" s="340" t="s">
        <v>0</v>
      </c>
      <c r="AB210" s="340" t="s">
        <v>1238</v>
      </c>
      <c r="AC210" s="340" t="s">
        <v>0</v>
      </c>
      <c r="AD210" s="340">
        <v>70938</v>
      </c>
      <c r="AE210" s="340" t="s">
        <v>452</v>
      </c>
      <c r="AF210" s="340" t="s">
        <v>453</v>
      </c>
      <c r="AG210" s="340" t="s">
        <v>447</v>
      </c>
      <c r="AH210" s="342">
        <v>46100</v>
      </c>
      <c r="AI210" s="340" t="s">
        <v>454</v>
      </c>
      <c r="AJ210" s="340" t="s">
        <v>455</v>
      </c>
      <c r="AK210" s="340" t="s">
        <v>456</v>
      </c>
      <c r="AL210" s="340" t="s">
        <v>457</v>
      </c>
      <c r="AM210" s="340">
        <v>6</v>
      </c>
      <c r="AN210" s="340" t="s">
        <v>458</v>
      </c>
      <c r="AO210" s="340" t="s">
        <v>459</v>
      </c>
      <c r="AP210" s="340">
        <v>3</v>
      </c>
      <c r="AQ210" s="340" t="s">
        <v>460</v>
      </c>
      <c r="AR210" s="340">
        <v>3086</v>
      </c>
      <c r="AS210" s="340" t="s">
        <v>771</v>
      </c>
      <c r="AT210" s="340">
        <v>208773</v>
      </c>
      <c r="AU210" s="340" t="s">
        <v>652</v>
      </c>
      <c r="AV210" s="343">
        <v>0.375</v>
      </c>
      <c r="AW210" s="343">
        <v>0.58333333333333337</v>
      </c>
      <c r="AX210" s="340" t="s">
        <v>463</v>
      </c>
      <c r="AY210" s="340" t="s">
        <v>464</v>
      </c>
    </row>
    <row r="211" spans="1:51" x14ac:dyDescent="0.25">
      <c r="A211" s="339" t="s">
        <v>441</v>
      </c>
      <c r="B211" s="339" t="s">
        <v>442</v>
      </c>
      <c r="C211" s="339" t="s">
        <v>443</v>
      </c>
      <c r="D211" s="339">
        <v>2</v>
      </c>
      <c r="E211" s="339">
        <v>5</v>
      </c>
      <c r="F211" s="339">
        <v>6.5</v>
      </c>
      <c r="G211" s="340">
        <v>2040210100</v>
      </c>
      <c r="H211" s="346">
        <v>402101</v>
      </c>
      <c r="I211" s="348">
        <v>39</v>
      </c>
      <c r="J211" s="341">
        <v>17</v>
      </c>
      <c r="K211" s="341">
        <v>38</v>
      </c>
      <c r="L211" s="348">
        <f t="shared" si="10"/>
        <v>55</v>
      </c>
      <c r="M211" s="341">
        <v>402</v>
      </c>
      <c r="N211" s="340" t="s">
        <v>1239</v>
      </c>
      <c r="O211" s="340">
        <v>1</v>
      </c>
      <c r="P211" s="340" t="s">
        <v>1240</v>
      </c>
      <c r="Q211" s="340" t="s">
        <v>0</v>
      </c>
      <c r="R211" s="340" t="s">
        <v>446</v>
      </c>
      <c r="S211" s="340" t="s">
        <v>447</v>
      </c>
      <c r="T211" s="340">
        <v>2</v>
      </c>
      <c r="U211" s="340" t="s">
        <v>0</v>
      </c>
      <c r="V211" s="340" t="s">
        <v>448</v>
      </c>
      <c r="W211" s="340" t="s">
        <v>0</v>
      </c>
      <c r="X211" s="340" t="s">
        <v>516</v>
      </c>
      <c r="Y211" s="340" t="s">
        <v>0</v>
      </c>
      <c r="Z211" s="340" t="s">
        <v>1241</v>
      </c>
      <c r="AA211" s="340" t="s">
        <v>0</v>
      </c>
      <c r="AB211" s="340" t="s">
        <v>1242</v>
      </c>
      <c r="AC211" s="340" t="s">
        <v>0</v>
      </c>
      <c r="AD211" s="340">
        <v>71655</v>
      </c>
      <c r="AE211" s="340" t="s">
        <v>452</v>
      </c>
      <c r="AF211" s="340" t="s">
        <v>453</v>
      </c>
      <c r="AG211" s="340" t="s">
        <v>447</v>
      </c>
      <c r="AH211" s="342">
        <v>44179</v>
      </c>
      <c r="AI211" s="340" t="s">
        <v>454</v>
      </c>
      <c r="AJ211" s="340" t="s">
        <v>455</v>
      </c>
      <c r="AK211" s="340" t="s">
        <v>456</v>
      </c>
      <c r="AL211" s="340" t="s">
        <v>457</v>
      </c>
      <c r="AM211" s="340">
        <v>6</v>
      </c>
      <c r="AN211" s="340" t="s">
        <v>458</v>
      </c>
      <c r="AO211" s="340" t="s">
        <v>459</v>
      </c>
      <c r="AP211" s="340">
        <v>3</v>
      </c>
      <c r="AQ211" s="340" t="s">
        <v>460</v>
      </c>
      <c r="AR211" s="340">
        <v>3042</v>
      </c>
      <c r="AS211" s="340" t="s">
        <v>846</v>
      </c>
      <c r="AT211" s="340">
        <v>1</v>
      </c>
      <c r="AU211" s="340" t="s">
        <v>462</v>
      </c>
      <c r="AV211" s="343">
        <v>0.375</v>
      </c>
      <c r="AW211" s="343">
        <v>0.58333333333333337</v>
      </c>
      <c r="AX211" s="340" t="s">
        <v>463</v>
      </c>
      <c r="AY211" s="340" t="s">
        <v>464</v>
      </c>
    </row>
    <row r="212" spans="1:51" x14ac:dyDescent="0.25">
      <c r="A212" s="339" t="s">
        <v>441</v>
      </c>
      <c r="B212" s="339" t="s">
        <v>442</v>
      </c>
      <c r="C212" s="339" t="s">
        <v>443</v>
      </c>
      <c r="D212" s="339">
        <v>3</v>
      </c>
      <c r="E212" s="339">
        <v>1</v>
      </c>
      <c r="F212" s="339">
        <v>6.5</v>
      </c>
      <c r="G212" s="340">
        <v>2041010300</v>
      </c>
      <c r="H212" s="346">
        <v>410103</v>
      </c>
      <c r="I212" s="348">
        <v>29</v>
      </c>
      <c r="J212" s="341">
        <v>14</v>
      </c>
      <c r="K212" s="341">
        <v>27</v>
      </c>
      <c r="L212" s="348">
        <f t="shared" si="10"/>
        <v>41</v>
      </c>
      <c r="M212" s="341">
        <v>410</v>
      </c>
      <c r="N212" s="340" t="s">
        <v>1243</v>
      </c>
      <c r="O212" s="340">
        <v>1</v>
      </c>
      <c r="P212" s="340" t="s">
        <v>1244</v>
      </c>
      <c r="Q212" s="340" t="s">
        <v>0</v>
      </c>
      <c r="R212" s="340" t="s">
        <v>446</v>
      </c>
      <c r="S212" s="340" t="s">
        <v>447</v>
      </c>
      <c r="T212" s="340">
        <v>2</v>
      </c>
      <c r="U212" s="340" t="s">
        <v>0</v>
      </c>
      <c r="V212" s="340" t="s">
        <v>448</v>
      </c>
      <c r="W212" s="340" t="s">
        <v>0</v>
      </c>
      <c r="X212" s="340" t="s">
        <v>508</v>
      </c>
      <c r="Y212" s="340" t="s">
        <v>0</v>
      </c>
      <c r="Z212" s="340" t="s">
        <v>1245</v>
      </c>
      <c r="AA212" s="340" t="s">
        <v>0</v>
      </c>
      <c r="AB212" s="340" t="s">
        <v>466</v>
      </c>
      <c r="AC212" s="340" t="s">
        <v>0</v>
      </c>
      <c r="AD212" s="340">
        <v>70565</v>
      </c>
      <c r="AE212" s="340" t="s">
        <v>452</v>
      </c>
      <c r="AF212" s="340" t="s">
        <v>453</v>
      </c>
      <c r="AG212" s="340" t="s">
        <v>447</v>
      </c>
      <c r="AH212" s="342">
        <v>44614</v>
      </c>
      <c r="AI212" s="340" t="s">
        <v>454</v>
      </c>
      <c r="AJ212" s="340" t="s">
        <v>455</v>
      </c>
      <c r="AK212" s="340" t="s">
        <v>456</v>
      </c>
      <c r="AL212" s="340" t="s">
        <v>457</v>
      </c>
      <c r="AM212" s="340">
        <v>6</v>
      </c>
      <c r="AN212" s="340" t="s">
        <v>458</v>
      </c>
      <c r="AO212" s="340" t="s">
        <v>459</v>
      </c>
      <c r="AP212" s="340">
        <v>3</v>
      </c>
      <c r="AQ212" s="340" t="s">
        <v>460</v>
      </c>
      <c r="AR212" s="340">
        <v>3198</v>
      </c>
      <c r="AS212" s="340" t="s">
        <v>596</v>
      </c>
      <c r="AT212" s="340">
        <v>1</v>
      </c>
      <c r="AU212" s="340" t="s">
        <v>462</v>
      </c>
      <c r="AV212" s="343">
        <v>0.375</v>
      </c>
      <c r="AW212" s="343">
        <v>0.58333333333333337</v>
      </c>
      <c r="AX212" s="340" t="s">
        <v>463</v>
      </c>
      <c r="AY212" s="340" t="s">
        <v>464</v>
      </c>
    </row>
    <row r="213" spans="1:51" x14ac:dyDescent="0.25">
      <c r="A213" s="339" t="s">
        <v>441</v>
      </c>
      <c r="B213" s="339" t="s">
        <v>442</v>
      </c>
      <c r="C213" s="339" t="s">
        <v>443</v>
      </c>
      <c r="D213" s="339">
        <v>6</v>
      </c>
      <c r="E213" s="339">
        <v>3</v>
      </c>
      <c r="F213" s="339">
        <v>6.5</v>
      </c>
      <c r="G213" s="340">
        <v>2041110200</v>
      </c>
      <c r="H213" s="346">
        <v>411102</v>
      </c>
      <c r="I213" s="348">
        <v>73</v>
      </c>
      <c r="J213" s="341">
        <v>42</v>
      </c>
      <c r="K213" s="341">
        <v>74</v>
      </c>
      <c r="L213" s="348">
        <f t="shared" si="10"/>
        <v>116</v>
      </c>
      <c r="M213" s="341">
        <v>411</v>
      </c>
      <c r="N213" s="340" t="s">
        <v>1246</v>
      </c>
      <c r="O213" s="340">
        <v>1</v>
      </c>
      <c r="P213" s="340" t="s">
        <v>1247</v>
      </c>
      <c r="Q213" s="340" t="s">
        <v>0</v>
      </c>
      <c r="R213" s="340" t="s">
        <v>446</v>
      </c>
      <c r="S213" s="340" t="s">
        <v>447</v>
      </c>
      <c r="T213" s="340">
        <v>3</v>
      </c>
      <c r="U213" s="340" t="s">
        <v>0</v>
      </c>
      <c r="V213" s="340" t="s">
        <v>472</v>
      </c>
      <c r="W213" s="340" t="s">
        <v>0</v>
      </c>
      <c r="X213" s="340" t="s">
        <v>1248</v>
      </c>
      <c r="Y213" s="340" t="s">
        <v>0</v>
      </c>
      <c r="Z213" s="340" t="s">
        <v>1249</v>
      </c>
      <c r="AA213" s="340" t="s">
        <v>0</v>
      </c>
      <c r="AB213" s="340" t="s">
        <v>1250</v>
      </c>
      <c r="AC213" s="340" t="s">
        <v>0</v>
      </c>
      <c r="AD213" s="340">
        <v>70417</v>
      </c>
      <c r="AE213" s="340" t="s">
        <v>452</v>
      </c>
      <c r="AF213" s="340" t="s">
        <v>453</v>
      </c>
      <c r="AG213" s="340" t="s">
        <v>447</v>
      </c>
      <c r="AH213" s="342">
        <v>45079</v>
      </c>
      <c r="AI213" s="340" t="s">
        <v>454</v>
      </c>
      <c r="AJ213" s="340" t="s">
        <v>455</v>
      </c>
      <c r="AK213" s="340" t="s">
        <v>456</v>
      </c>
      <c r="AL213" s="340" t="s">
        <v>457</v>
      </c>
      <c r="AM213" s="340">
        <v>6</v>
      </c>
      <c r="AN213" s="340" t="s">
        <v>458</v>
      </c>
      <c r="AO213" s="340" t="s">
        <v>459</v>
      </c>
      <c r="AP213" s="340">
        <v>3</v>
      </c>
      <c r="AQ213" s="340" t="s">
        <v>460</v>
      </c>
      <c r="AR213" s="340">
        <v>3020</v>
      </c>
      <c r="AS213" s="340" t="s">
        <v>882</v>
      </c>
      <c r="AT213" s="340">
        <v>1</v>
      </c>
      <c r="AU213" s="340" t="s">
        <v>462</v>
      </c>
      <c r="AV213" s="343">
        <v>0.375</v>
      </c>
      <c r="AW213" s="343">
        <v>0.58333333333333337</v>
      </c>
      <c r="AX213" s="340" t="s">
        <v>463</v>
      </c>
      <c r="AY213" s="340" t="s">
        <v>464</v>
      </c>
    </row>
    <row r="214" spans="1:51" x14ac:dyDescent="0.25">
      <c r="A214" s="339" t="s">
        <v>441</v>
      </c>
      <c r="B214" s="339" t="s">
        <v>442</v>
      </c>
      <c r="C214" s="339" t="s">
        <v>443</v>
      </c>
      <c r="D214" s="339">
        <v>2</v>
      </c>
      <c r="E214" s="339">
        <v>2</v>
      </c>
      <c r="F214" s="339">
        <v>6.5</v>
      </c>
      <c r="G214" s="340">
        <v>2041311000</v>
      </c>
      <c r="H214" s="346">
        <v>413110</v>
      </c>
      <c r="I214" s="348">
        <v>41</v>
      </c>
      <c r="J214" s="341">
        <v>19</v>
      </c>
      <c r="K214" s="341">
        <v>34</v>
      </c>
      <c r="L214" s="348">
        <f t="shared" si="10"/>
        <v>53</v>
      </c>
      <c r="M214" s="341">
        <v>413</v>
      </c>
      <c r="N214" s="340" t="s">
        <v>762</v>
      </c>
      <c r="O214" s="340">
        <v>38</v>
      </c>
      <c r="P214" s="340" t="s">
        <v>1251</v>
      </c>
      <c r="Q214" s="340" t="s">
        <v>0</v>
      </c>
      <c r="R214" s="340" t="s">
        <v>446</v>
      </c>
      <c r="S214" s="340" t="s">
        <v>447</v>
      </c>
      <c r="T214" s="340">
        <v>2</v>
      </c>
      <c r="U214" s="340" t="s">
        <v>0</v>
      </c>
      <c r="V214" s="340" t="s">
        <v>448</v>
      </c>
      <c r="W214" s="340" t="s">
        <v>0</v>
      </c>
      <c r="X214" s="340" t="s">
        <v>1252</v>
      </c>
      <c r="Y214" s="340" t="s">
        <v>0</v>
      </c>
      <c r="Z214" s="340" t="s">
        <v>450</v>
      </c>
      <c r="AA214" s="340" t="s">
        <v>0</v>
      </c>
      <c r="AB214" s="340" t="s">
        <v>1253</v>
      </c>
      <c r="AC214" s="340" t="s">
        <v>0</v>
      </c>
      <c r="AD214" s="340">
        <v>70980</v>
      </c>
      <c r="AE214" s="340" t="s">
        <v>452</v>
      </c>
      <c r="AF214" s="340" t="s">
        <v>453</v>
      </c>
      <c r="AG214" s="340" t="s">
        <v>447</v>
      </c>
      <c r="AH214" s="342">
        <v>41625</v>
      </c>
      <c r="AI214" s="340" t="s">
        <v>454</v>
      </c>
      <c r="AJ214" s="340" t="s">
        <v>455</v>
      </c>
      <c r="AK214" s="340" t="s">
        <v>456</v>
      </c>
      <c r="AL214" s="340" t="s">
        <v>457</v>
      </c>
      <c r="AM214" s="340">
        <v>6</v>
      </c>
      <c r="AN214" s="340" t="s">
        <v>458</v>
      </c>
      <c r="AO214" s="340" t="s">
        <v>459</v>
      </c>
      <c r="AP214" s="340">
        <v>3</v>
      </c>
      <c r="AQ214" s="340" t="s">
        <v>460</v>
      </c>
      <c r="AR214" s="340">
        <v>3199</v>
      </c>
      <c r="AS214" s="340" t="s">
        <v>509</v>
      </c>
      <c r="AT214" s="340">
        <v>1</v>
      </c>
      <c r="AU214" s="340" t="s">
        <v>462</v>
      </c>
      <c r="AV214" s="343">
        <v>0.33333333333333331</v>
      </c>
      <c r="AW214" s="343">
        <v>0.58333333333333337</v>
      </c>
      <c r="AX214" s="340" t="s">
        <v>463</v>
      </c>
      <c r="AY214" s="340" t="s">
        <v>464</v>
      </c>
    </row>
    <row r="215" spans="1:51" x14ac:dyDescent="0.25">
      <c r="A215" s="339" t="s">
        <v>441</v>
      </c>
      <c r="B215" s="339" t="s">
        <v>442</v>
      </c>
      <c r="C215" s="339" t="s">
        <v>443</v>
      </c>
      <c r="D215" s="339">
        <v>2</v>
      </c>
      <c r="E215" s="339">
        <v>2</v>
      </c>
      <c r="F215" s="339">
        <v>6.5</v>
      </c>
      <c r="G215" s="340">
        <v>2041311300</v>
      </c>
      <c r="H215" s="346">
        <v>413113</v>
      </c>
      <c r="I215" s="348">
        <v>32</v>
      </c>
      <c r="J215" s="341">
        <v>23</v>
      </c>
      <c r="K215" s="341">
        <v>28</v>
      </c>
      <c r="L215" s="348">
        <f t="shared" si="10"/>
        <v>51</v>
      </c>
      <c r="M215" s="341">
        <v>413</v>
      </c>
      <c r="N215" s="340" t="s">
        <v>762</v>
      </c>
      <c r="O215" s="340">
        <v>40</v>
      </c>
      <c r="P215" s="340" t="s">
        <v>535</v>
      </c>
      <c r="Q215" s="340" t="s">
        <v>0</v>
      </c>
      <c r="R215" s="340" t="s">
        <v>446</v>
      </c>
      <c r="S215" s="340" t="s">
        <v>447</v>
      </c>
      <c r="T215" s="340">
        <v>2</v>
      </c>
      <c r="U215" s="340" t="s">
        <v>0</v>
      </c>
      <c r="V215" s="340" t="s">
        <v>448</v>
      </c>
      <c r="W215" s="340" t="s">
        <v>0</v>
      </c>
      <c r="X215" s="340" t="s">
        <v>1254</v>
      </c>
      <c r="Y215" s="340" t="s">
        <v>0</v>
      </c>
      <c r="Z215" s="340" t="s">
        <v>914</v>
      </c>
      <c r="AA215" s="340" t="s">
        <v>0</v>
      </c>
      <c r="AB215" s="340" t="s">
        <v>1255</v>
      </c>
      <c r="AC215" s="340" t="s">
        <v>0</v>
      </c>
      <c r="AD215" s="340">
        <v>70984</v>
      </c>
      <c r="AE215" s="340" t="s">
        <v>452</v>
      </c>
      <c r="AF215" s="340" t="s">
        <v>453</v>
      </c>
      <c r="AG215" s="340" t="s">
        <v>447</v>
      </c>
      <c r="AH215" s="342">
        <v>44874</v>
      </c>
      <c r="AI215" s="340" t="s">
        <v>454</v>
      </c>
      <c r="AJ215" s="340" t="s">
        <v>455</v>
      </c>
      <c r="AK215" s="340" t="s">
        <v>456</v>
      </c>
      <c r="AL215" s="340" t="s">
        <v>457</v>
      </c>
      <c r="AM215" s="340">
        <v>6</v>
      </c>
      <c r="AN215" s="340" t="s">
        <v>458</v>
      </c>
      <c r="AO215" s="340" t="s">
        <v>459</v>
      </c>
      <c r="AP215" s="340">
        <v>3</v>
      </c>
      <c r="AQ215" s="340" t="s">
        <v>460</v>
      </c>
      <c r="AR215" s="340">
        <v>3199</v>
      </c>
      <c r="AS215" s="340" t="s">
        <v>509</v>
      </c>
      <c r="AT215" s="340">
        <v>1</v>
      </c>
      <c r="AU215" s="340" t="s">
        <v>462</v>
      </c>
      <c r="AV215" s="343">
        <v>0.375</v>
      </c>
      <c r="AW215" s="343">
        <v>0.58333333333333337</v>
      </c>
      <c r="AX215" s="340" t="s">
        <v>463</v>
      </c>
      <c r="AY215" s="340" t="s">
        <v>464</v>
      </c>
    </row>
    <row r="216" spans="1:51" x14ac:dyDescent="0.25">
      <c r="A216" s="339" t="s">
        <v>441</v>
      </c>
      <c r="B216" s="339" t="s">
        <v>442</v>
      </c>
      <c r="C216" s="339" t="s">
        <v>443</v>
      </c>
      <c r="D216" s="339">
        <v>2</v>
      </c>
      <c r="E216" s="339">
        <v>2</v>
      </c>
      <c r="F216" s="339">
        <v>6.5</v>
      </c>
      <c r="G216" s="340">
        <v>2041311400</v>
      </c>
      <c r="H216" s="346">
        <v>413114</v>
      </c>
      <c r="I216" s="348">
        <v>69</v>
      </c>
      <c r="J216" s="341">
        <v>48</v>
      </c>
      <c r="K216" s="341">
        <v>56</v>
      </c>
      <c r="L216" s="348">
        <f t="shared" si="10"/>
        <v>104</v>
      </c>
      <c r="M216" s="341">
        <v>413</v>
      </c>
      <c r="N216" s="340" t="s">
        <v>762</v>
      </c>
      <c r="O216" s="340">
        <v>129</v>
      </c>
      <c r="P216" s="340" t="s">
        <v>1256</v>
      </c>
      <c r="Q216" s="340" t="s">
        <v>0</v>
      </c>
      <c r="R216" s="340" t="s">
        <v>446</v>
      </c>
      <c r="S216" s="340" t="s">
        <v>447</v>
      </c>
      <c r="T216" s="340">
        <v>2</v>
      </c>
      <c r="U216" s="340" t="s">
        <v>0</v>
      </c>
      <c r="V216" s="340" t="s">
        <v>448</v>
      </c>
      <c r="W216" s="340" t="s">
        <v>0</v>
      </c>
      <c r="X216" s="340" t="s">
        <v>1257</v>
      </c>
      <c r="Y216" s="340" t="s">
        <v>0</v>
      </c>
      <c r="Z216" s="340" t="s">
        <v>1258</v>
      </c>
      <c r="AA216" s="340" t="s">
        <v>0</v>
      </c>
      <c r="AB216" s="340" t="s">
        <v>1259</v>
      </c>
      <c r="AC216" s="340" t="s">
        <v>0</v>
      </c>
      <c r="AD216" s="340">
        <v>70985</v>
      </c>
      <c r="AE216" s="340" t="s">
        <v>452</v>
      </c>
      <c r="AF216" s="340" t="s">
        <v>453</v>
      </c>
      <c r="AG216" s="340" t="s">
        <v>447</v>
      </c>
      <c r="AH216" s="342">
        <v>45133</v>
      </c>
      <c r="AI216" s="340" t="s">
        <v>454</v>
      </c>
      <c r="AJ216" s="340" t="s">
        <v>455</v>
      </c>
      <c r="AK216" s="340" t="s">
        <v>456</v>
      </c>
      <c r="AL216" s="340" t="s">
        <v>457</v>
      </c>
      <c r="AM216" s="340">
        <v>6</v>
      </c>
      <c r="AN216" s="340" t="s">
        <v>458</v>
      </c>
      <c r="AO216" s="340" t="s">
        <v>459</v>
      </c>
      <c r="AP216" s="340">
        <v>3</v>
      </c>
      <c r="AQ216" s="340" t="s">
        <v>460</v>
      </c>
      <c r="AR216" s="340">
        <v>3199</v>
      </c>
      <c r="AS216" s="340" t="s">
        <v>509</v>
      </c>
      <c r="AT216" s="340">
        <v>208831</v>
      </c>
      <c r="AU216" s="340" t="s">
        <v>622</v>
      </c>
      <c r="AV216" s="343">
        <v>0.375</v>
      </c>
      <c r="AW216" s="343">
        <v>0.58333333333333337</v>
      </c>
      <c r="AX216" s="340" t="s">
        <v>463</v>
      </c>
      <c r="AY216" s="340" t="s">
        <v>464</v>
      </c>
    </row>
    <row r="217" spans="1:51" x14ac:dyDescent="0.25">
      <c r="A217" s="339" t="s">
        <v>441</v>
      </c>
      <c r="B217" s="339" t="s">
        <v>442</v>
      </c>
      <c r="C217" s="339" t="s">
        <v>469</v>
      </c>
      <c r="D217" s="339">
        <v>2</v>
      </c>
      <c r="E217" s="339">
        <v>6</v>
      </c>
      <c r="F217" s="339">
        <v>6.5</v>
      </c>
      <c r="G217" s="340">
        <v>2041410200</v>
      </c>
      <c r="H217" s="346">
        <v>414102</v>
      </c>
      <c r="I217" s="348">
        <v>73</v>
      </c>
      <c r="J217" s="341">
        <v>48</v>
      </c>
      <c r="K217" s="341">
        <v>54</v>
      </c>
      <c r="L217" s="348">
        <f t="shared" si="10"/>
        <v>102</v>
      </c>
      <c r="M217" s="341">
        <v>414</v>
      </c>
      <c r="N217" s="340" t="s">
        <v>797</v>
      </c>
      <c r="O217" s="340">
        <v>7</v>
      </c>
      <c r="P217" s="340" t="s">
        <v>1260</v>
      </c>
      <c r="Q217" s="340" t="s">
        <v>0</v>
      </c>
      <c r="R217" s="340" t="s">
        <v>446</v>
      </c>
      <c r="S217" s="340" t="s">
        <v>447</v>
      </c>
      <c r="T217" s="340">
        <v>2</v>
      </c>
      <c r="U217" s="340" t="s">
        <v>0</v>
      </c>
      <c r="V217" s="340" t="s">
        <v>448</v>
      </c>
      <c r="W217" s="340" t="s">
        <v>0</v>
      </c>
      <c r="X217" s="340" t="s">
        <v>1261</v>
      </c>
      <c r="Y217" s="340" t="s">
        <v>0</v>
      </c>
      <c r="Z217" s="340" t="s">
        <v>450</v>
      </c>
      <c r="AA217" s="340" t="s">
        <v>0</v>
      </c>
      <c r="AB217" s="340" t="s">
        <v>1262</v>
      </c>
      <c r="AC217" s="340" t="s">
        <v>0</v>
      </c>
      <c r="AD217" s="340">
        <v>71790</v>
      </c>
      <c r="AE217" s="340" t="s">
        <v>452</v>
      </c>
      <c r="AF217" s="340" t="s">
        <v>453</v>
      </c>
      <c r="AG217" s="340" t="s">
        <v>447</v>
      </c>
      <c r="AH217" s="342">
        <v>37826</v>
      </c>
      <c r="AI217" s="340" t="s">
        <v>454</v>
      </c>
      <c r="AJ217" s="340" t="s">
        <v>455</v>
      </c>
      <c r="AK217" s="340" t="s">
        <v>456</v>
      </c>
      <c r="AL217" s="340" t="s">
        <v>457</v>
      </c>
      <c r="AM217" s="340">
        <v>6</v>
      </c>
      <c r="AN217" s="340" t="s">
        <v>458</v>
      </c>
      <c r="AO217" s="340" t="s">
        <v>459</v>
      </c>
      <c r="AP217" s="340">
        <v>3</v>
      </c>
      <c r="AQ217" s="340" t="s">
        <v>460</v>
      </c>
      <c r="AR217" s="340">
        <v>3102</v>
      </c>
      <c r="AS217" s="340" t="s">
        <v>697</v>
      </c>
      <c r="AT217" s="340">
        <v>1</v>
      </c>
      <c r="AU217" s="340" t="s">
        <v>462</v>
      </c>
      <c r="AV217" s="343">
        <v>0.33333333333333331</v>
      </c>
      <c r="AW217" s="343">
        <v>0.54166666666666663</v>
      </c>
      <c r="AX217" s="340" t="s">
        <v>463</v>
      </c>
      <c r="AY217" s="340" t="s">
        <v>464</v>
      </c>
    </row>
    <row r="218" spans="1:51" x14ac:dyDescent="0.25">
      <c r="A218" s="339" t="s">
        <v>441</v>
      </c>
      <c r="B218" s="339" t="s">
        <v>442</v>
      </c>
      <c r="C218" s="339" t="s">
        <v>469</v>
      </c>
      <c r="D218" s="339">
        <v>2</v>
      </c>
      <c r="E218" s="339">
        <v>6</v>
      </c>
      <c r="F218" s="339">
        <v>6.5</v>
      </c>
      <c r="G218" s="340">
        <v>2041410300</v>
      </c>
      <c r="H218" s="346">
        <v>414103</v>
      </c>
      <c r="I218" s="348">
        <v>93</v>
      </c>
      <c r="J218" s="341">
        <v>59</v>
      </c>
      <c r="K218" s="341">
        <v>65</v>
      </c>
      <c r="L218" s="348">
        <f t="shared" si="10"/>
        <v>124</v>
      </c>
      <c r="M218" s="341">
        <v>414</v>
      </c>
      <c r="N218" s="340" t="s">
        <v>797</v>
      </c>
      <c r="O218" s="340">
        <v>5</v>
      </c>
      <c r="P218" s="340" t="s">
        <v>1263</v>
      </c>
      <c r="Q218" s="340" t="s">
        <v>0</v>
      </c>
      <c r="R218" s="340" t="s">
        <v>446</v>
      </c>
      <c r="S218" s="340" t="s">
        <v>447</v>
      </c>
      <c r="T218" s="340">
        <v>2</v>
      </c>
      <c r="U218" s="340" t="s">
        <v>0</v>
      </c>
      <c r="V218" s="340" t="s">
        <v>448</v>
      </c>
      <c r="W218" s="340" t="s">
        <v>0</v>
      </c>
      <c r="X218" s="340" t="s">
        <v>550</v>
      </c>
      <c r="Y218" s="340" t="s">
        <v>0</v>
      </c>
      <c r="Z218" s="340" t="s">
        <v>1264</v>
      </c>
      <c r="AA218" s="340" t="s">
        <v>0</v>
      </c>
      <c r="AB218" s="340" t="s">
        <v>1265</v>
      </c>
      <c r="AC218" s="340" t="s">
        <v>0</v>
      </c>
      <c r="AD218" s="340">
        <v>71790</v>
      </c>
      <c r="AE218" s="340" t="s">
        <v>452</v>
      </c>
      <c r="AF218" s="340" t="s">
        <v>453</v>
      </c>
      <c r="AG218" s="340" t="s">
        <v>447</v>
      </c>
      <c r="AH218" s="342">
        <v>39591</v>
      </c>
      <c r="AI218" s="340" t="s">
        <v>454</v>
      </c>
      <c r="AJ218" s="340" t="s">
        <v>455</v>
      </c>
      <c r="AK218" s="340" t="s">
        <v>456</v>
      </c>
      <c r="AL218" s="340" t="s">
        <v>457</v>
      </c>
      <c r="AM218" s="340">
        <v>6</v>
      </c>
      <c r="AN218" s="340" t="s">
        <v>458</v>
      </c>
      <c r="AO218" s="340" t="s">
        <v>459</v>
      </c>
      <c r="AP218" s="340">
        <v>3</v>
      </c>
      <c r="AQ218" s="340" t="s">
        <v>460</v>
      </c>
      <c r="AR218" s="340">
        <v>3102</v>
      </c>
      <c r="AS218" s="340" t="s">
        <v>697</v>
      </c>
      <c r="AT218" s="340">
        <v>1</v>
      </c>
      <c r="AU218" s="340" t="s">
        <v>462</v>
      </c>
      <c r="AV218" s="343">
        <v>0.33333333333333331</v>
      </c>
      <c r="AW218" s="343">
        <v>0.54166666666666663</v>
      </c>
      <c r="AX218" s="340" t="s">
        <v>463</v>
      </c>
      <c r="AY218" s="340" t="s">
        <v>464</v>
      </c>
    </row>
    <row r="219" spans="1:51" x14ac:dyDescent="0.25">
      <c r="A219" s="339" t="s">
        <v>441</v>
      </c>
      <c r="B219" s="339" t="s">
        <v>442</v>
      </c>
      <c r="C219" s="339" t="s">
        <v>469</v>
      </c>
      <c r="D219" s="339">
        <v>2</v>
      </c>
      <c r="E219" s="339">
        <v>7</v>
      </c>
      <c r="F219" s="339">
        <v>6.5</v>
      </c>
      <c r="G219" s="340">
        <v>2041510100</v>
      </c>
      <c r="H219" s="346">
        <v>415101</v>
      </c>
      <c r="I219" s="348">
        <v>68</v>
      </c>
      <c r="J219" s="341">
        <v>43</v>
      </c>
      <c r="K219" s="341">
        <v>52</v>
      </c>
      <c r="L219" s="348">
        <f t="shared" si="10"/>
        <v>95</v>
      </c>
      <c r="M219" s="341">
        <v>415</v>
      </c>
      <c r="N219" s="340" t="s">
        <v>1266</v>
      </c>
      <c r="O219" s="340">
        <v>17</v>
      </c>
      <c r="P219" s="340" t="s">
        <v>1267</v>
      </c>
      <c r="Q219" s="340" t="s">
        <v>0</v>
      </c>
      <c r="R219" s="340" t="s">
        <v>446</v>
      </c>
      <c r="S219" s="340" t="s">
        <v>447</v>
      </c>
      <c r="T219" s="340">
        <v>3</v>
      </c>
      <c r="U219" s="340" t="s">
        <v>0</v>
      </c>
      <c r="V219" s="340" t="s">
        <v>472</v>
      </c>
      <c r="W219" s="340" t="s">
        <v>0</v>
      </c>
      <c r="X219" s="340" t="s">
        <v>1268</v>
      </c>
      <c r="Y219" s="340" t="s">
        <v>0</v>
      </c>
      <c r="Z219" s="340" t="s">
        <v>450</v>
      </c>
      <c r="AA219" s="340" t="s">
        <v>0</v>
      </c>
      <c r="AB219" s="340" t="s">
        <v>983</v>
      </c>
      <c r="AC219" s="340" t="s">
        <v>0</v>
      </c>
      <c r="AD219" s="340">
        <v>71091</v>
      </c>
      <c r="AE219" s="340" t="s">
        <v>452</v>
      </c>
      <c r="AF219" s="340" t="s">
        <v>453</v>
      </c>
      <c r="AG219" s="340" t="s">
        <v>447</v>
      </c>
      <c r="AH219" s="342">
        <v>36281</v>
      </c>
      <c r="AI219" s="340" t="s">
        <v>454</v>
      </c>
      <c r="AJ219" s="340" t="s">
        <v>455</v>
      </c>
      <c r="AK219" s="340" t="s">
        <v>456</v>
      </c>
      <c r="AL219" s="340" t="s">
        <v>457</v>
      </c>
      <c r="AM219" s="340">
        <v>6</v>
      </c>
      <c r="AN219" s="340" t="s">
        <v>458</v>
      </c>
      <c r="AO219" s="340" t="s">
        <v>459</v>
      </c>
      <c r="AP219" s="340">
        <v>3</v>
      </c>
      <c r="AQ219" s="340" t="s">
        <v>460</v>
      </c>
      <c r="AR219" s="340">
        <v>3123</v>
      </c>
      <c r="AS219" s="340" t="s">
        <v>539</v>
      </c>
      <c r="AT219" s="340">
        <v>1</v>
      </c>
      <c r="AU219" s="340" t="s">
        <v>462</v>
      </c>
      <c r="AV219" s="343">
        <v>0.375</v>
      </c>
      <c r="AW219" s="343">
        <v>0.58333333333333337</v>
      </c>
      <c r="AX219" s="340" t="s">
        <v>463</v>
      </c>
      <c r="AY219" s="340" t="s">
        <v>464</v>
      </c>
    </row>
    <row r="220" spans="1:51" x14ac:dyDescent="0.25">
      <c r="A220" s="339" t="s">
        <v>441</v>
      </c>
      <c r="B220" s="339" t="s">
        <v>442</v>
      </c>
      <c r="C220" s="339" t="s">
        <v>469</v>
      </c>
      <c r="D220" s="339">
        <v>2</v>
      </c>
      <c r="E220" s="339">
        <v>7</v>
      </c>
      <c r="F220" s="339">
        <v>6.5</v>
      </c>
      <c r="G220" s="340">
        <v>2041510200</v>
      </c>
      <c r="H220" s="346">
        <v>415102</v>
      </c>
      <c r="I220" s="348">
        <v>71</v>
      </c>
      <c r="J220" s="341">
        <v>40</v>
      </c>
      <c r="K220" s="341">
        <v>47</v>
      </c>
      <c r="L220" s="348">
        <f t="shared" si="10"/>
        <v>87</v>
      </c>
      <c r="M220" s="341">
        <v>415</v>
      </c>
      <c r="N220" s="340" t="s">
        <v>1266</v>
      </c>
      <c r="O220" s="340">
        <v>1</v>
      </c>
      <c r="P220" s="340" t="s">
        <v>1269</v>
      </c>
      <c r="Q220" s="340" t="s">
        <v>0</v>
      </c>
      <c r="R220" s="340" t="s">
        <v>446</v>
      </c>
      <c r="S220" s="340" t="s">
        <v>447</v>
      </c>
      <c r="T220" s="340">
        <v>2</v>
      </c>
      <c r="U220" s="340" t="s">
        <v>0</v>
      </c>
      <c r="V220" s="340" t="s">
        <v>448</v>
      </c>
      <c r="W220" s="340" t="s">
        <v>0</v>
      </c>
      <c r="X220" s="340" t="s">
        <v>1270</v>
      </c>
      <c r="Y220" s="340" t="s">
        <v>0</v>
      </c>
      <c r="Z220" s="340" t="s">
        <v>450</v>
      </c>
      <c r="AA220" s="340" t="s">
        <v>0</v>
      </c>
      <c r="AB220" s="340" t="s">
        <v>1271</v>
      </c>
      <c r="AC220" s="340" t="s">
        <v>0</v>
      </c>
      <c r="AD220" s="340">
        <v>71091</v>
      </c>
      <c r="AE220" s="340" t="s">
        <v>452</v>
      </c>
      <c r="AF220" s="340" t="s">
        <v>453</v>
      </c>
      <c r="AG220" s="340" t="s">
        <v>447</v>
      </c>
      <c r="AH220" s="342">
        <v>38201</v>
      </c>
      <c r="AI220" s="340" t="s">
        <v>454</v>
      </c>
      <c r="AJ220" s="340" t="s">
        <v>455</v>
      </c>
      <c r="AK220" s="340" t="s">
        <v>456</v>
      </c>
      <c r="AL220" s="340" t="s">
        <v>457</v>
      </c>
      <c r="AM220" s="340">
        <v>6</v>
      </c>
      <c r="AN220" s="340" t="s">
        <v>458</v>
      </c>
      <c r="AO220" s="340" t="s">
        <v>459</v>
      </c>
      <c r="AP220" s="340">
        <v>3</v>
      </c>
      <c r="AQ220" s="340" t="s">
        <v>460</v>
      </c>
      <c r="AR220" s="340">
        <v>3123</v>
      </c>
      <c r="AS220" s="340" t="s">
        <v>539</v>
      </c>
      <c r="AT220" s="340">
        <v>1</v>
      </c>
      <c r="AU220" s="340" t="s">
        <v>462</v>
      </c>
      <c r="AV220" s="343">
        <v>0.33333333333333331</v>
      </c>
      <c r="AW220" s="343">
        <v>0.54166666666666663</v>
      </c>
      <c r="AX220" s="340" t="s">
        <v>463</v>
      </c>
      <c r="AY220" s="340" t="s">
        <v>464</v>
      </c>
    </row>
    <row r="221" spans="1:51" x14ac:dyDescent="0.25">
      <c r="A221" s="339" t="s">
        <v>441</v>
      </c>
      <c r="B221" s="339" t="s">
        <v>442</v>
      </c>
      <c r="C221" s="339" t="s">
        <v>469</v>
      </c>
      <c r="D221" s="339">
        <v>2</v>
      </c>
      <c r="E221" s="339">
        <v>7</v>
      </c>
      <c r="F221" s="339">
        <v>6.5</v>
      </c>
      <c r="G221" s="340">
        <v>2041510300</v>
      </c>
      <c r="H221" s="346">
        <v>415103</v>
      </c>
      <c r="I221" s="348">
        <v>61</v>
      </c>
      <c r="J221" s="341">
        <v>44</v>
      </c>
      <c r="K221" s="341">
        <v>41</v>
      </c>
      <c r="L221" s="348">
        <f t="shared" si="10"/>
        <v>85</v>
      </c>
      <c r="M221" s="341">
        <v>415</v>
      </c>
      <c r="N221" s="340" t="s">
        <v>1266</v>
      </c>
      <c r="O221" s="340">
        <v>14</v>
      </c>
      <c r="P221" s="340" t="s">
        <v>1272</v>
      </c>
      <c r="Q221" s="340" t="s">
        <v>0</v>
      </c>
      <c r="R221" s="340" t="s">
        <v>446</v>
      </c>
      <c r="S221" s="340" t="s">
        <v>447</v>
      </c>
      <c r="T221" s="340">
        <v>2</v>
      </c>
      <c r="U221" s="340" t="s">
        <v>0</v>
      </c>
      <c r="V221" s="340" t="s">
        <v>448</v>
      </c>
      <c r="W221" s="340" t="s">
        <v>0</v>
      </c>
      <c r="X221" s="340" t="s">
        <v>844</v>
      </c>
      <c r="Y221" s="340" t="s">
        <v>0</v>
      </c>
      <c r="Z221" s="340" t="s">
        <v>450</v>
      </c>
      <c r="AA221" s="340" t="s">
        <v>0</v>
      </c>
      <c r="AB221" s="340" t="s">
        <v>1273</v>
      </c>
      <c r="AC221" s="340" t="s">
        <v>0</v>
      </c>
      <c r="AD221" s="340">
        <v>71091</v>
      </c>
      <c r="AE221" s="340" t="s">
        <v>452</v>
      </c>
      <c r="AF221" s="340" t="s">
        <v>453</v>
      </c>
      <c r="AG221" s="340" t="s">
        <v>447</v>
      </c>
      <c r="AH221" s="342">
        <v>39783</v>
      </c>
      <c r="AI221" s="340" t="s">
        <v>454</v>
      </c>
      <c r="AJ221" s="340" t="s">
        <v>455</v>
      </c>
      <c r="AK221" s="340" t="s">
        <v>456</v>
      </c>
      <c r="AL221" s="340" t="s">
        <v>457</v>
      </c>
      <c r="AM221" s="340">
        <v>6</v>
      </c>
      <c r="AN221" s="340" t="s">
        <v>458</v>
      </c>
      <c r="AO221" s="340" t="s">
        <v>459</v>
      </c>
      <c r="AP221" s="340">
        <v>3</v>
      </c>
      <c r="AQ221" s="340" t="s">
        <v>460</v>
      </c>
      <c r="AR221" s="340">
        <v>3123</v>
      </c>
      <c r="AS221" s="340" t="s">
        <v>539</v>
      </c>
      <c r="AT221" s="340">
        <v>1</v>
      </c>
      <c r="AU221" s="340" t="s">
        <v>462</v>
      </c>
      <c r="AV221" s="340" t="s">
        <v>447</v>
      </c>
      <c r="AW221" s="340" t="s">
        <v>447</v>
      </c>
      <c r="AX221" s="340" t="s">
        <v>463</v>
      </c>
      <c r="AY221" s="340" t="s">
        <v>464</v>
      </c>
    </row>
    <row r="222" spans="1:51" x14ac:dyDescent="0.25">
      <c r="A222" s="339" t="s">
        <v>441</v>
      </c>
      <c r="B222" s="339" t="s">
        <v>442</v>
      </c>
      <c r="C222" s="339" t="s">
        <v>469</v>
      </c>
      <c r="D222" s="339">
        <v>3</v>
      </c>
      <c r="E222" s="339">
        <v>1</v>
      </c>
      <c r="F222" s="339">
        <v>6.5</v>
      </c>
      <c r="G222" s="340">
        <v>2041810100</v>
      </c>
      <c r="H222" s="346">
        <v>418101</v>
      </c>
      <c r="I222" s="348">
        <v>206</v>
      </c>
      <c r="J222" s="341">
        <v>115</v>
      </c>
      <c r="K222" s="341">
        <v>202</v>
      </c>
      <c r="L222" s="348">
        <f t="shared" si="10"/>
        <v>317</v>
      </c>
      <c r="M222" s="341">
        <v>418</v>
      </c>
      <c r="N222" s="340" t="s">
        <v>1274</v>
      </c>
      <c r="O222" s="340">
        <v>1</v>
      </c>
      <c r="P222" s="340" t="s">
        <v>1275</v>
      </c>
      <c r="Q222" s="340" t="s">
        <v>0</v>
      </c>
      <c r="R222" s="340" t="s">
        <v>446</v>
      </c>
      <c r="S222" s="340" t="s">
        <v>447</v>
      </c>
      <c r="T222" s="340">
        <v>4</v>
      </c>
      <c r="U222" s="340" t="s">
        <v>0</v>
      </c>
      <c r="V222" s="340" t="s">
        <v>498</v>
      </c>
      <c r="W222" s="340" t="s">
        <v>0</v>
      </c>
      <c r="X222" s="340" t="s">
        <v>1276</v>
      </c>
      <c r="Y222" s="340" t="s">
        <v>0</v>
      </c>
      <c r="Z222" s="340" t="s">
        <v>1277</v>
      </c>
      <c r="AA222" s="340" t="s">
        <v>0</v>
      </c>
      <c r="AB222" s="340" t="s">
        <v>1278</v>
      </c>
      <c r="AC222" s="340" t="s">
        <v>0</v>
      </c>
      <c r="AD222" s="340">
        <v>70710</v>
      </c>
      <c r="AE222" s="340" t="s">
        <v>452</v>
      </c>
      <c r="AF222" s="340" t="s">
        <v>453</v>
      </c>
      <c r="AG222" s="340" t="s">
        <v>447</v>
      </c>
      <c r="AH222" s="342">
        <v>37651</v>
      </c>
      <c r="AI222" s="340" t="s">
        <v>454</v>
      </c>
      <c r="AJ222" s="340" t="s">
        <v>455</v>
      </c>
      <c r="AK222" s="340" t="s">
        <v>456</v>
      </c>
      <c r="AL222" s="340" t="s">
        <v>457</v>
      </c>
      <c r="AM222" s="340">
        <v>6</v>
      </c>
      <c r="AN222" s="340" t="s">
        <v>458</v>
      </c>
      <c r="AO222" s="340" t="s">
        <v>459</v>
      </c>
      <c r="AP222" s="340">
        <v>3</v>
      </c>
      <c r="AQ222" s="340" t="s">
        <v>460</v>
      </c>
      <c r="AR222" s="340">
        <v>3198</v>
      </c>
      <c r="AS222" s="340" t="s">
        <v>596</v>
      </c>
      <c r="AT222" s="340">
        <v>1</v>
      </c>
      <c r="AU222" s="340" t="s">
        <v>462</v>
      </c>
      <c r="AV222" s="343">
        <v>0.375</v>
      </c>
      <c r="AW222" s="343">
        <v>0.54166666666666663</v>
      </c>
      <c r="AX222" s="340" t="s">
        <v>463</v>
      </c>
      <c r="AY222" s="340" t="s">
        <v>464</v>
      </c>
    </row>
    <row r="223" spans="1:51" x14ac:dyDescent="0.25">
      <c r="A223" s="339" t="s">
        <v>441</v>
      </c>
      <c r="B223" s="339" t="s">
        <v>442</v>
      </c>
      <c r="C223" s="339" t="s">
        <v>443</v>
      </c>
      <c r="D223" s="339">
        <v>3</v>
      </c>
      <c r="E223" s="339">
        <v>1</v>
      </c>
      <c r="F223" s="339">
        <v>6.5</v>
      </c>
      <c r="G223" s="340">
        <v>2041810200</v>
      </c>
      <c r="H223" s="346">
        <v>418102</v>
      </c>
      <c r="I223" s="348">
        <v>50</v>
      </c>
      <c r="J223" s="341">
        <v>24</v>
      </c>
      <c r="K223" s="341">
        <v>36</v>
      </c>
      <c r="L223" s="348">
        <f t="shared" ref="L223:L241" si="11">J223+K223</f>
        <v>60</v>
      </c>
      <c r="M223" s="341">
        <v>418</v>
      </c>
      <c r="N223" s="340" t="s">
        <v>1274</v>
      </c>
      <c r="O223" s="340">
        <v>4</v>
      </c>
      <c r="P223" s="340" t="s">
        <v>1279</v>
      </c>
      <c r="Q223" s="340" t="s">
        <v>0</v>
      </c>
      <c r="R223" s="340" t="s">
        <v>446</v>
      </c>
      <c r="S223" s="340" t="s">
        <v>447</v>
      </c>
      <c r="T223" s="340">
        <v>2</v>
      </c>
      <c r="U223" s="340" t="s">
        <v>0</v>
      </c>
      <c r="V223" s="340" t="s">
        <v>448</v>
      </c>
      <c r="W223" s="340" t="s">
        <v>0</v>
      </c>
      <c r="X223" s="340" t="s">
        <v>465</v>
      </c>
      <c r="Y223" s="340" t="s">
        <v>0</v>
      </c>
      <c r="Z223" s="340" t="s">
        <v>1280</v>
      </c>
      <c r="AA223" s="340" t="s">
        <v>0</v>
      </c>
      <c r="AB223" s="340" t="s">
        <v>1281</v>
      </c>
      <c r="AC223" s="340" t="s">
        <v>0</v>
      </c>
      <c r="AD223" s="340">
        <v>70711</v>
      </c>
      <c r="AE223" s="340" t="s">
        <v>452</v>
      </c>
      <c r="AF223" s="340" t="s">
        <v>453</v>
      </c>
      <c r="AG223" s="340" t="s">
        <v>447</v>
      </c>
      <c r="AH223" s="342">
        <v>44880</v>
      </c>
      <c r="AI223" s="340" t="s">
        <v>454</v>
      </c>
      <c r="AJ223" s="340" t="s">
        <v>455</v>
      </c>
      <c r="AK223" s="340" t="s">
        <v>456</v>
      </c>
      <c r="AL223" s="340" t="s">
        <v>457</v>
      </c>
      <c r="AM223" s="340">
        <v>6</v>
      </c>
      <c r="AN223" s="340" t="s">
        <v>458</v>
      </c>
      <c r="AO223" s="340" t="s">
        <v>459</v>
      </c>
      <c r="AP223" s="340">
        <v>3</v>
      </c>
      <c r="AQ223" s="340" t="s">
        <v>460</v>
      </c>
      <c r="AR223" s="340">
        <v>3198</v>
      </c>
      <c r="AS223" s="340" t="s">
        <v>596</v>
      </c>
      <c r="AT223" s="340">
        <v>1</v>
      </c>
      <c r="AU223" s="340" t="s">
        <v>462</v>
      </c>
      <c r="AV223" s="343">
        <v>0.375</v>
      </c>
      <c r="AW223" s="343">
        <v>0.58333333333333337</v>
      </c>
      <c r="AX223" s="340" t="s">
        <v>463</v>
      </c>
      <c r="AY223" s="340" t="s">
        <v>464</v>
      </c>
    </row>
    <row r="224" spans="1:51" x14ac:dyDescent="0.25">
      <c r="A224" s="339" t="s">
        <v>441</v>
      </c>
      <c r="B224" s="339" t="s">
        <v>442</v>
      </c>
      <c r="C224" s="339" t="s">
        <v>443</v>
      </c>
      <c r="D224" s="339">
        <v>6</v>
      </c>
      <c r="E224" s="339">
        <v>1</v>
      </c>
      <c r="F224" s="339">
        <v>6.5</v>
      </c>
      <c r="G224" s="340">
        <v>2041910100</v>
      </c>
      <c r="H224" s="346">
        <v>419101</v>
      </c>
      <c r="I224" s="348">
        <v>21</v>
      </c>
      <c r="J224" s="341">
        <v>13</v>
      </c>
      <c r="K224" s="341">
        <v>20</v>
      </c>
      <c r="L224" s="348">
        <f t="shared" si="11"/>
        <v>33</v>
      </c>
      <c r="M224" s="341">
        <v>419</v>
      </c>
      <c r="N224" s="340" t="s">
        <v>1282</v>
      </c>
      <c r="O224" s="340">
        <v>1</v>
      </c>
      <c r="P224" s="340" t="s">
        <v>1283</v>
      </c>
      <c r="Q224" s="340" t="s">
        <v>0</v>
      </c>
      <c r="R224" s="340" t="s">
        <v>446</v>
      </c>
      <c r="S224" s="340" t="s">
        <v>447</v>
      </c>
      <c r="T224" s="340">
        <v>3</v>
      </c>
      <c r="U224" s="340" t="s">
        <v>0</v>
      </c>
      <c r="V224" s="340" t="s">
        <v>472</v>
      </c>
      <c r="W224" s="340" t="s">
        <v>0</v>
      </c>
      <c r="X224" s="340" t="s">
        <v>1284</v>
      </c>
      <c r="Y224" s="340" t="s">
        <v>0</v>
      </c>
      <c r="Z224" s="340" t="s">
        <v>450</v>
      </c>
      <c r="AA224" s="340" t="s">
        <v>0</v>
      </c>
      <c r="AB224" s="340" t="s">
        <v>766</v>
      </c>
      <c r="AC224" s="340" t="s">
        <v>0</v>
      </c>
      <c r="AD224" s="340">
        <v>68750</v>
      </c>
      <c r="AE224" s="340" t="s">
        <v>452</v>
      </c>
      <c r="AF224" s="340" t="s">
        <v>453</v>
      </c>
      <c r="AG224" s="340" t="s">
        <v>447</v>
      </c>
      <c r="AH224" s="342">
        <v>44434</v>
      </c>
      <c r="AI224" s="340" t="s">
        <v>454</v>
      </c>
      <c r="AJ224" s="340" t="s">
        <v>455</v>
      </c>
      <c r="AK224" s="340" t="s">
        <v>456</v>
      </c>
      <c r="AL224" s="340" t="s">
        <v>457</v>
      </c>
      <c r="AM224" s="340">
        <v>6</v>
      </c>
      <c r="AN224" s="340" t="s">
        <v>458</v>
      </c>
      <c r="AO224" s="340" t="s">
        <v>459</v>
      </c>
      <c r="AP224" s="340">
        <v>3</v>
      </c>
      <c r="AQ224" s="340" t="s">
        <v>460</v>
      </c>
      <c r="AR224" s="340">
        <v>3032</v>
      </c>
      <c r="AS224" s="340" t="s">
        <v>578</v>
      </c>
      <c r="AT224" s="340">
        <v>1</v>
      </c>
      <c r="AU224" s="340" t="s">
        <v>462</v>
      </c>
      <c r="AV224" s="343">
        <v>0.375</v>
      </c>
      <c r="AW224" s="343">
        <v>0.58333333333333337</v>
      </c>
      <c r="AX224" s="340" t="s">
        <v>463</v>
      </c>
      <c r="AY224" s="340" t="s">
        <v>464</v>
      </c>
    </row>
    <row r="225" spans="1:51" x14ac:dyDescent="0.25">
      <c r="A225" s="339" t="s">
        <v>441</v>
      </c>
      <c r="B225" s="339" t="s">
        <v>442</v>
      </c>
      <c r="C225" s="339" t="s">
        <v>443</v>
      </c>
      <c r="D225" s="339">
        <v>4</v>
      </c>
      <c r="E225" s="339">
        <v>5</v>
      </c>
      <c r="F225" s="339">
        <v>6.5</v>
      </c>
      <c r="G225" s="340">
        <v>2042210100</v>
      </c>
      <c r="H225" s="346">
        <v>422101</v>
      </c>
      <c r="I225" s="348">
        <v>58</v>
      </c>
      <c r="J225" s="341">
        <v>20</v>
      </c>
      <c r="K225" s="341">
        <v>59</v>
      </c>
      <c r="L225" s="348">
        <f t="shared" si="11"/>
        <v>79</v>
      </c>
      <c r="M225" s="341">
        <v>422</v>
      </c>
      <c r="N225" s="340" t="s">
        <v>1285</v>
      </c>
      <c r="O225" s="340">
        <v>1</v>
      </c>
      <c r="P225" s="340" t="s">
        <v>1286</v>
      </c>
      <c r="Q225" s="340" t="s">
        <v>0</v>
      </c>
      <c r="R225" s="340" t="s">
        <v>446</v>
      </c>
      <c r="S225" s="340" t="s">
        <v>447</v>
      </c>
      <c r="T225" s="340">
        <v>2</v>
      </c>
      <c r="U225" s="340" t="s">
        <v>0</v>
      </c>
      <c r="V225" s="340" t="s">
        <v>448</v>
      </c>
      <c r="W225" s="340" t="s">
        <v>0</v>
      </c>
      <c r="X225" s="340" t="s">
        <v>499</v>
      </c>
      <c r="Y225" s="340" t="s">
        <v>0</v>
      </c>
      <c r="Z225" s="340" t="s">
        <v>1287</v>
      </c>
      <c r="AA225" s="340" t="s">
        <v>0</v>
      </c>
      <c r="AB225" s="340" t="s">
        <v>739</v>
      </c>
      <c r="AC225" s="340" t="s">
        <v>0</v>
      </c>
      <c r="AD225" s="340">
        <v>69390</v>
      </c>
      <c r="AE225" s="340" t="s">
        <v>452</v>
      </c>
      <c r="AF225" s="340" t="s">
        <v>453</v>
      </c>
      <c r="AG225" s="340" t="s">
        <v>447</v>
      </c>
      <c r="AH225" s="342">
        <v>44060</v>
      </c>
      <c r="AI225" s="340" t="s">
        <v>454</v>
      </c>
      <c r="AJ225" s="340" t="s">
        <v>455</v>
      </c>
      <c r="AK225" s="340" t="s">
        <v>456</v>
      </c>
      <c r="AL225" s="340" t="s">
        <v>457</v>
      </c>
      <c r="AM225" s="340">
        <v>6</v>
      </c>
      <c r="AN225" s="340" t="s">
        <v>458</v>
      </c>
      <c r="AO225" s="340" t="s">
        <v>459</v>
      </c>
      <c r="AP225" s="340">
        <v>3</v>
      </c>
      <c r="AQ225" s="340" t="s">
        <v>460</v>
      </c>
      <c r="AR225" s="340">
        <v>3033</v>
      </c>
      <c r="AS225" s="340" t="s">
        <v>825</v>
      </c>
      <c r="AT225" s="340">
        <v>1</v>
      </c>
      <c r="AU225" s="340" t="s">
        <v>462</v>
      </c>
      <c r="AV225" s="343">
        <v>0.375</v>
      </c>
      <c r="AW225" s="343">
        <v>0.58333333333333337</v>
      </c>
      <c r="AX225" s="340" t="s">
        <v>463</v>
      </c>
      <c r="AY225" s="340" t="s">
        <v>464</v>
      </c>
    </row>
    <row r="226" spans="1:51" x14ac:dyDescent="0.25">
      <c r="A226" s="339" t="s">
        <v>441</v>
      </c>
      <c r="B226" s="339" t="s">
        <v>442</v>
      </c>
      <c r="C226" s="339" t="s">
        <v>443</v>
      </c>
      <c r="D226" s="339">
        <v>6</v>
      </c>
      <c r="E226" s="339">
        <v>5</v>
      </c>
      <c r="F226" s="339">
        <v>6.5</v>
      </c>
      <c r="G226" s="340">
        <v>2043210300</v>
      </c>
      <c r="H226" s="346">
        <v>432103</v>
      </c>
      <c r="I226" s="348">
        <v>51</v>
      </c>
      <c r="J226" s="341">
        <v>38</v>
      </c>
      <c r="K226" s="341">
        <v>24</v>
      </c>
      <c r="L226" s="348">
        <f t="shared" si="11"/>
        <v>62</v>
      </c>
      <c r="M226" s="341">
        <v>432</v>
      </c>
      <c r="N226" s="340" t="s">
        <v>1288</v>
      </c>
      <c r="O226" s="340">
        <v>1</v>
      </c>
      <c r="P226" s="340" t="s">
        <v>1289</v>
      </c>
      <c r="Q226" s="340" t="s">
        <v>0</v>
      </c>
      <c r="R226" s="340" t="s">
        <v>446</v>
      </c>
      <c r="S226" s="340" t="s">
        <v>447</v>
      </c>
      <c r="T226" s="340">
        <v>2</v>
      </c>
      <c r="U226" s="340" t="s">
        <v>0</v>
      </c>
      <c r="V226" s="340" t="s">
        <v>448</v>
      </c>
      <c r="W226" s="340" t="s">
        <v>0</v>
      </c>
      <c r="X226" s="340" t="s">
        <v>503</v>
      </c>
      <c r="Y226" s="340" t="s">
        <v>0</v>
      </c>
      <c r="Z226" s="340" t="s">
        <v>450</v>
      </c>
      <c r="AA226" s="340" t="s">
        <v>0</v>
      </c>
      <c r="AB226" s="340" t="s">
        <v>466</v>
      </c>
      <c r="AC226" s="340" t="s">
        <v>0</v>
      </c>
      <c r="AD226" s="340">
        <v>68834</v>
      </c>
      <c r="AE226" s="340" t="s">
        <v>452</v>
      </c>
      <c r="AF226" s="340" t="s">
        <v>453</v>
      </c>
      <c r="AG226" s="340" t="s">
        <v>447</v>
      </c>
      <c r="AH226" s="342">
        <v>44778</v>
      </c>
      <c r="AI226" s="340" t="s">
        <v>454</v>
      </c>
      <c r="AJ226" s="340" t="s">
        <v>455</v>
      </c>
      <c r="AK226" s="340" t="s">
        <v>456</v>
      </c>
      <c r="AL226" s="340" t="s">
        <v>457</v>
      </c>
      <c r="AM226" s="340">
        <v>6</v>
      </c>
      <c r="AN226" s="340" t="s">
        <v>458</v>
      </c>
      <c r="AO226" s="340" t="s">
        <v>459</v>
      </c>
      <c r="AP226" s="340">
        <v>3</v>
      </c>
      <c r="AQ226" s="340" t="s">
        <v>460</v>
      </c>
      <c r="AR226" s="340">
        <v>3040</v>
      </c>
      <c r="AS226" s="340" t="s">
        <v>657</v>
      </c>
      <c r="AT226" s="340">
        <v>1</v>
      </c>
      <c r="AU226" s="340" t="s">
        <v>462</v>
      </c>
      <c r="AV226" s="343">
        <v>0.375</v>
      </c>
      <c r="AW226" s="343">
        <v>0.58333333333333337</v>
      </c>
      <c r="AX226" s="340" t="s">
        <v>463</v>
      </c>
      <c r="AY226" s="340" t="s">
        <v>464</v>
      </c>
    </row>
    <row r="227" spans="1:51" x14ac:dyDescent="0.25">
      <c r="A227" s="339" t="s">
        <v>441</v>
      </c>
      <c r="B227" s="339" t="s">
        <v>442</v>
      </c>
      <c r="C227" s="339" t="s">
        <v>443</v>
      </c>
      <c r="D227" s="339">
        <v>6</v>
      </c>
      <c r="E227" s="339">
        <v>5</v>
      </c>
      <c r="F227" s="339">
        <v>6.5</v>
      </c>
      <c r="G227" s="340">
        <v>2043710100</v>
      </c>
      <c r="H227" s="346">
        <v>437101</v>
      </c>
      <c r="I227" s="348">
        <v>41</v>
      </c>
      <c r="J227" s="341">
        <v>32</v>
      </c>
      <c r="K227" s="341">
        <v>19</v>
      </c>
      <c r="L227" s="348">
        <f t="shared" si="11"/>
        <v>51</v>
      </c>
      <c r="M227" s="341">
        <v>437</v>
      </c>
      <c r="N227" s="340" t="s">
        <v>781</v>
      </c>
      <c r="O227" s="340">
        <v>8</v>
      </c>
      <c r="P227" s="340" t="s">
        <v>1290</v>
      </c>
      <c r="Q227" s="340" t="s">
        <v>0</v>
      </c>
      <c r="R227" s="340" t="s">
        <v>446</v>
      </c>
      <c r="S227" s="340" t="s">
        <v>447</v>
      </c>
      <c r="T227" s="340">
        <v>2</v>
      </c>
      <c r="U227" s="340" t="s">
        <v>0</v>
      </c>
      <c r="V227" s="340" t="s">
        <v>448</v>
      </c>
      <c r="W227" s="340" t="s">
        <v>0</v>
      </c>
      <c r="X227" s="340" t="s">
        <v>465</v>
      </c>
      <c r="Y227" s="340" t="s">
        <v>0</v>
      </c>
      <c r="Z227" s="340" t="s">
        <v>1291</v>
      </c>
      <c r="AA227" s="340" t="s">
        <v>0</v>
      </c>
      <c r="AB227" s="340" t="s">
        <v>466</v>
      </c>
      <c r="AC227" s="340" t="s">
        <v>0</v>
      </c>
      <c r="AD227" s="340">
        <v>70267</v>
      </c>
      <c r="AE227" s="340" t="s">
        <v>452</v>
      </c>
      <c r="AF227" s="340" t="s">
        <v>453</v>
      </c>
      <c r="AG227" s="340" t="s">
        <v>447</v>
      </c>
      <c r="AH227" s="342">
        <v>44802</v>
      </c>
      <c r="AI227" s="340" t="s">
        <v>454</v>
      </c>
      <c r="AJ227" s="340" t="s">
        <v>455</v>
      </c>
      <c r="AK227" s="340" t="s">
        <v>456</v>
      </c>
      <c r="AL227" s="340" t="s">
        <v>457</v>
      </c>
      <c r="AM227" s="340">
        <v>6</v>
      </c>
      <c r="AN227" s="340" t="s">
        <v>458</v>
      </c>
      <c r="AO227" s="340" t="s">
        <v>459</v>
      </c>
      <c r="AP227" s="340">
        <v>3</v>
      </c>
      <c r="AQ227" s="340" t="s">
        <v>460</v>
      </c>
      <c r="AR227" s="340">
        <v>3040</v>
      </c>
      <c r="AS227" s="340" t="s">
        <v>657</v>
      </c>
      <c r="AT227" s="340">
        <v>1</v>
      </c>
      <c r="AU227" s="340" t="s">
        <v>462</v>
      </c>
      <c r="AV227" s="343">
        <v>0.375</v>
      </c>
      <c r="AW227" s="343">
        <v>0.58333333333333337</v>
      </c>
      <c r="AX227" s="340" t="s">
        <v>463</v>
      </c>
      <c r="AY227" s="340" t="s">
        <v>464</v>
      </c>
    </row>
    <row r="228" spans="1:51" x14ac:dyDescent="0.25">
      <c r="A228" s="339" t="s">
        <v>441</v>
      </c>
      <c r="B228" s="339" t="s">
        <v>442</v>
      </c>
      <c r="C228" s="339" t="s">
        <v>443</v>
      </c>
      <c r="D228" s="339">
        <v>6</v>
      </c>
      <c r="E228" s="339">
        <v>2</v>
      </c>
      <c r="F228" s="339">
        <v>6.5</v>
      </c>
      <c r="G228" s="340">
        <v>2043710200</v>
      </c>
      <c r="H228" s="346">
        <v>437102</v>
      </c>
      <c r="I228" s="348">
        <v>63</v>
      </c>
      <c r="J228" s="341">
        <v>41</v>
      </c>
      <c r="K228" s="341">
        <v>34</v>
      </c>
      <c r="L228" s="348">
        <f t="shared" si="11"/>
        <v>75</v>
      </c>
      <c r="M228" s="341">
        <v>437</v>
      </c>
      <c r="N228" s="340" t="s">
        <v>781</v>
      </c>
      <c r="O228" s="340">
        <v>5</v>
      </c>
      <c r="P228" s="340" t="s">
        <v>1292</v>
      </c>
      <c r="Q228" s="340" t="s">
        <v>0</v>
      </c>
      <c r="R228" s="340" t="s">
        <v>446</v>
      </c>
      <c r="S228" s="340" t="s">
        <v>447</v>
      </c>
      <c r="T228" s="340">
        <v>2</v>
      </c>
      <c r="U228" s="340" t="s">
        <v>0</v>
      </c>
      <c r="V228" s="340" t="s">
        <v>448</v>
      </c>
      <c r="W228" s="340" t="s">
        <v>0</v>
      </c>
      <c r="X228" s="340" t="s">
        <v>465</v>
      </c>
      <c r="Y228" s="340" t="s">
        <v>0</v>
      </c>
      <c r="Z228" s="340" t="s">
        <v>1093</v>
      </c>
      <c r="AA228" s="340" t="s">
        <v>0</v>
      </c>
      <c r="AB228" s="340" t="s">
        <v>1293</v>
      </c>
      <c r="AC228" s="340" t="s">
        <v>0</v>
      </c>
      <c r="AD228" s="340">
        <v>70265</v>
      </c>
      <c r="AE228" s="340" t="s">
        <v>452</v>
      </c>
      <c r="AF228" s="340" t="s">
        <v>453</v>
      </c>
      <c r="AG228" s="340" t="s">
        <v>447</v>
      </c>
      <c r="AH228" s="342">
        <v>45105</v>
      </c>
      <c r="AI228" s="340" t="s">
        <v>454</v>
      </c>
      <c r="AJ228" s="340" t="s">
        <v>455</v>
      </c>
      <c r="AK228" s="340" t="s">
        <v>456</v>
      </c>
      <c r="AL228" s="340" t="s">
        <v>457</v>
      </c>
      <c r="AM228" s="340">
        <v>6</v>
      </c>
      <c r="AN228" s="340" t="s">
        <v>458</v>
      </c>
      <c r="AO228" s="340" t="s">
        <v>459</v>
      </c>
      <c r="AP228" s="340">
        <v>3</v>
      </c>
      <c r="AQ228" s="340" t="s">
        <v>460</v>
      </c>
      <c r="AR228" s="340">
        <v>3039</v>
      </c>
      <c r="AS228" s="340" t="s">
        <v>467</v>
      </c>
      <c r="AT228" s="340">
        <v>208742</v>
      </c>
      <c r="AU228" s="340" t="s">
        <v>872</v>
      </c>
      <c r="AV228" s="343">
        <v>0.375</v>
      </c>
      <c r="AW228" s="343">
        <v>0.58333333333333337</v>
      </c>
      <c r="AX228" s="340" t="s">
        <v>463</v>
      </c>
      <c r="AY228" s="340" t="s">
        <v>464</v>
      </c>
    </row>
    <row r="229" spans="1:51" x14ac:dyDescent="0.25">
      <c r="A229" s="339" t="s">
        <v>441</v>
      </c>
      <c r="B229" s="339" t="s">
        <v>442</v>
      </c>
      <c r="C229" s="339" t="s">
        <v>443</v>
      </c>
      <c r="D229" s="339">
        <v>2</v>
      </c>
      <c r="E229" s="339">
        <v>7</v>
      </c>
      <c r="F229" s="339">
        <v>6.5</v>
      </c>
      <c r="G229" s="340">
        <v>2044610100</v>
      </c>
      <c r="H229" s="346">
        <v>446101</v>
      </c>
      <c r="I229" s="348">
        <v>38</v>
      </c>
      <c r="J229" s="341">
        <v>18</v>
      </c>
      <c r="K229" s="341">
        <v>34</v>
      </c>
      <c r="L229" s="348">
        <f t="shared" si="11"/>
        <v>52</v>
      </c>
      <c r="M229" s="341">
        <v>446</v>
      </c>
      <c r="N229" s="340" t="s">
        <v>1294</v>
      </c>
      <c r="O229" s="340">
        <v>5</v>
      </c>
      <c r="P229" s="340" t="s">
        <v>1295</v>
      </c>
      <c r="Q229" s="340" t="s">
        <v>0</v>
      </c>
      <c r="R229" s="340" t="s">
        <v>446</v>
      </c>
      <c r="S229" s="340" t="s">
        <v>447</v>
      </c>
      <c r="T229" s="340">
        <v>3</v>
      </c>
      <c r="U229" s="340" t="s">
        <v>0</v>
      </c>
      <c r="V229" s="340" t="s">
        <v>472</v>
      </c>
      <c r="W229" s="340" t="s">
        <v>0</v>
      </c>
      <c r="X229" s="340" t="s">
        <v>810</v>
      </c>
      <c r="Y229" s="340" t="s">
        <v>0</v>
      </c>
      <c r="Z229" s="340" t="s">
        <v>1296</v>
      </c>
      <c r="AA229" s="340" t="s">
        <v>0</v>
      </c>
      <c r="AB229" s="340" t="s">
        <v>1297</v>
      </c>
      <c r="AC229" s="340" t="s">
        <v>0</v>
      </c>
      <c r="AD229" s="340">
        <v>71114</v>
      </c>
      <c r="AE229" s="340" t="s">
        <v>452</v>
      </c>
      <c r="AF229" s="340" t="s">
        <v>453</v>
      </c>
      <c r="AG229" s="340" t="s">
        <v>447</v>
      </c>
      <c r="AH229" s="342">
        <v>44678</v>
      </c>
      <c r="AI229" s="340" t="s">
        <v>454</v>
      </c>
      <c r="AJ229" s="340" t="s">
        <v>455</v>
      </c>
      <c r="AK229" s="340" t="s">
        <v>456</v>
      </c>
      <c r="AL229" s="340" t="s">
        <v>457</v>
      </c>
      <c r="AM229" s="340">
        <v>6</v>
      </c>
      <c r="AN229" s="340" t="s">
        <v>458</v>
      </c>
      <c r="AO229" s="340" t="s">
        <v>459</v>
      </c>
      <c r="AP229" s="340">
        <v>3</v>
      </c>
      <c r="AQ229" s="340" t="s">
        <v>460</v>
      </c>
      <c r="AR229" s="340">
        <v>3123</v>
      </c>
      <c r="AS229" s="340" t="s">
        <v>539</v>
      </c>
      <c r="AT229" s="340">
        <v>1</v>
      </c>
      <c r="AU229" s="340" t="s">
        <v>462</v>
      </c>
      <c r="AV229" s="343">
        <v>0.375</v>
      </c>
      <c r="AW229" s="343">
        <v>0.58333333333333337</v>
      </c>
      <c r="AX229" s="340" t="s">
        <v>463</v>
      </c>
      <c r="AY229" s="340" t="s">
        <v>464</v>
      </c>
    </row>
    <row r="230" spans="1:51" x14ac:dyDescent="0.25">
      <c r="A230" s="339" t="s">
        <v>441</v>
      </c>
      <c r="B230" s="339" t="s">
        <v>442</v>
      </c>
      <c r="C230" s="339" t="s">
        <v>469</v>
      </c>
      <c r="D230" s="339">
        <v>2</v>
      </c>
      <c r="E230" s="339">
        <v>7</v>
      </c>
      <c r="F230" s="339">
        <v>6.5</v>
      </c>
      <c r="G230" s="340">
        <v>2044710300</v>
      </c>
      <c r="H230" s="346">
        <v>447103</v>
      </c>
      <c r="I230" s="348">
        <v>103</v>
      </c>
      <c r="J230" s="341">
        <v>45</v>
      </c>
      <c r="K230" s="341">
        <v>83</v>
      </c>
      <c r="L230" s="348">
        <f t="shared" si="11"/>
        <v>128</v>
      </c>
      <c r="M230" s="341">
        <v>447</v>
      </c>
      <c r="N230" s="340" t="s">
        <v>847</v>
      </c>
      <c r="O230" s="340">
        <v>4</v>
      </c>
      <c r="P230" s="340" t="s">
        <v>1298</v>
      </c>
      <c r="Q230" s="340" t="s">
        <v>0</v>
      </c>
      <c r="R230" s="340" t="s">
        <v>446</v>
      </c>
      <c r="S230" s="340" t="s">
        <v>447</v>
      </c>
      <c r="T230" s="340">
        <v>2</v>
      </c>
      <c r="U230" s="340" t="s">
        <v>0</v>
      </c>
      <c r="V230" s="340" t="s">
        <v>448</v>
      </c>
      <c r="W230" s="340" t="s">
        <v>0</v>
      </c>
      <c r="X230" s="340" t="s">
        <v>516</v>
      </c>
      <c r="Y230" s="340" t="s">
        <v>0</v>
      </c>
      <c r="Z230" s="340" t="s">
        <v>450</v>
      </c>
      <c r="AA230" s="340" t="s">
        <v>0</v>
      </c>
      <c r="AB230" s="340" t="s">
        <v>1299</v>
      </c>
      <c r="AC230" s="340" t="s">
        <v>0</v>
      </c>
      <c r="AD230" s="340">
        <v>71050</v>
      </c>
      <c r="AE230" s="340" t="s">
        <v>452</v>
      </c>
      <c r="AF230" s="340" t="s">
        <v>453</v>
      </c>
      <c r="AG230" s="340" t="s">
        <v>447</v>
      </c>
      <c r="AH230" s="342">
        <v>40260</v>
      </c>
      <c r="AI230" s="340" t="s">
        <v>454</v>
      </c>
      <c r="AJ230" s="340" t="s">
        <v>455</v>
      </c>
      <c r="AK230" s="340" t="s">
        <v>456</v>
      </c>
      <c r="AL230" s="340" t="s">
        <v>457</v>
      </c>
      <c r="AM230" s="340">
        <v>6</v>
      </c>
      <c r="AN230" s="340" t="s">
        <v>458</v>
      </c>
      <c r="AO230" s="340" t="s">
        <v>459</v>
      </c>
      <c r="AP230" s="340">
        <v>3</v>
      </c>
      <c r="AQ230" s="340" t="s">
        <v>460</v>
      </c>
      <c r="AR230" s="340">
        <v>3123</v>
      </c>
      <c r="AS230" s="340" t="s">
        <v>539</v>
      </c>
      <c r="AT230" s="340">
        <v>1</v>
      </c>
      <c r="AU230" s="340" t="s">
        <v>462</v>
      </c>
      <c r="AV230" s="343">
        <v>0.33333333333333331</v>
      </c>
      <c r="AW230" s="343">
        <v>0.54166666666666663</v>
      </c>
      <c r="AX230" s="340" t="s">
        <v>463</v>
      </c>
      <c r="AY230" s="340" t="s">
        <v>464</v>
      </c>
    </row>
    <row r="231" spans="1:51" x14ac:dyDescent="0.25">
      <c r="A231" s="339" t="s">
        <v>441</v>
      </c>
      <c r="B231" s="339" t="s">
        <v>442</v>
      </c>
      <c r="C231" s="339" t="s">
        <v>443</v>
      </c>
      <c r="D231" s="339">
        <v>2</v>
      </c>
      <c r="E231" s="339">
        <v>7</v>
      </c>
      <c r="F231" s="339">
        <v>6.5</v>
      </c>
      <c r="G231" s="340">
        <v>2044710600</v>
      </c>
      <c r="H231" s="346">
        <v>447106</v>
      </c>
      <c r="I231" s="348">
        <v>44</v>
      </c>
      <c r="J231" s="341">
        <v>23</v>
      </c>
      <c r="K231" s="341">
        <v>31</v>
      </c>
      <c r="L231" s="348">
        <f t="shared" si="11"/>
        <v>54</v>
      </c>
      <c r="M231" s="341">
        <v>447</v>
      </c>
      <c r="N231" s="340" t="s">
        <v>847</v>
      </c>
      <c r="O231" s="340">
        <v>11</v>
      </c>
      <c r="P231" s="340" t="s">
        <v>1300</v>
      </c>
      <c r="Q231" s="340" t="s">
        <v>0</v>
      </c>
      <c r="R231" s="340" t="s">
        <v>446</v>
      </c>
      <c r="S231" s="340" t="s">
        <v>447</v>
      </c>
      <c r="T231" s="340">
        <v>2</v>
      </c>
      <c r="U231" s="340" t="s">
        <v>0</v>
      </c>
      <c r="V231" s="340" t="s">
        <v>448</v>
      </c>
      <c r="W231" s="340" t="s">
        <v>0</v>
      </c>
      <c r="X231" s="340" t="s">
        <v>550</v>
      </c>
      <c r="Y231" s="340" t="s">
        <v>0</v>
      </c>
      <c r="Z231" s="340" t="s">
        <v>450</v>
      </c>
      <c r="AA231" s="340" t="s">
        <v>0</v>
      </c>
      <c r="AB231" s="340" t="s">
        <v>1301</v>
      </c>
      <c r="AC231" s="340" t="s">
        <v>0</v>
      </c>
      <c r="AD231" s="340">
        <v>71200</v>
      </c>
      <c r="AE231" s="340" t="s">
        <v>452</v>
      </c>
      <c r="AF231" s="340" t="s">
        <v>453</v>
      </c>
      <c r="AG231" s="340" t="s">
        <v>447</v>
      </c>
      <c r="AH231" s="342">
        <v>41829</v>
      </c>
      <c r="AI231" s="340" t="s">
        <v>454</v>
      </c>
      <c r="AJ231" s="340" t="s">
        <v>455</v>
      </c>
      <c r="AK231" s="340" t="s">
        <v>456</v>
      </c>
      <c r="AL231" s="340" t="s">
        <v>457</v>
      </c>
      <c r="AM231" s="340">
        <v>6</v>
      </c>
      <c r="AN231" s="340" t="s">
        <v>458</v>
      </c>
      <c r="AO231" s="340" t="s">
        <v>459</v>
      </c>
      <c r="AP231" s="340">
        <v>3</v>
      </c>
      <c r="AQ231" s="340" t="s">
        <v>460</v>
      </c>
      <c r="AR231" s="340">
        <v>3123</v>
      </c>
      <c r="AS231" s="340" t="s">
        <v>539</v>
      </c>
      <c r="AT231" s="340">
        <v>1</v>
      </c>
      <c r="AU231" s="340" t="s">
        <v>462</v>
      </c>
      <c r="AV231" s="343">
        <v>0.33333333333333331</v>
      </c>
      <c r="AW231" s="343">
        <v>0.58333333333333337</v>
      </c>
      <c r="AX231" s="340" t="s">
        <v>463</v>
      </c>
      <c r="AY231" s="340" t="s">
        <v>464</v>
      </c>
    </row>
    <row r="232" spans="1:51" x14ac:dyDescent="0.25">
      <c r="A232" s="339" t="s">
        <v>441</v>
      </c>
      <c r="B232" s="339" t="s">
        <v>442</v>
      </c>
      <c r="C232" s="339" t="s">
        <v>443</v>
      </c>
      <c r="D232" s="339">
        <v>6</v>
      </c>
      <c r="E232" s="339">
        <v>1</v>
      </c>
      <c r="F232" s="339">
        <v>6.5</v>
      </c>
      <c r="G232" s="340">
        <v>2045810100</v>
      </c>
      <c r="H232" s="346">
        <v>458101</v>
      </c>
      <c r="I232" s="348">
        <v>26</v>
      </c>
      <c r="J232" s="341">
        <v>12</v>
      </c>
      <c r="K232" s="341">
        <v>28</v>
      </c>
      <c r="L232" s="348">
        <f t="shared" si="11"/>
        <v>40</v>
      </c>
      <c r="M232" s="341">
        <v>458</v>
      </c>
      <c r="N232" s="340" t="s">
        <v>1302</v>
      </c>
      <c r="O232" s="340">
        <v>1</v>
      </c>
      <c r="P232" s="340" t="s">
        <v>1302</v>
      </c>
      <c r="Q232" s="340" t="s">
        <v>0</v>
      </c>
      <c r="R232" s="340" t="s">
        <v>446</v>
      </c>
      <c r="S232" s="340" t="s">
        <v>447</v>
      </c>
      <c r="T232" s="340">
        <v>2</v>
      </c>
      <c r="U232" s="340" t="s">
        <v>0</v>
      </c>
      <c r="V232" s="340" t="s">
        <v>448</v>
      </c>
      <c r="W232" s="340" t="s">
        <v>0</v>
      </c>
      <c r="X232" s="340" t="s">
        <v>1303</v>
      </c>
      <c r="Y232" s="340" t="s">
        <v>0</v>
      </c>
      <c r="Z232" s="340" t="s">
        <v>1304</v>
      </c>
      <c r="AA232" s="340" t="s">
        <v>0</v>
      </c>
      <c r="AB232" s="340" t="s">
        <v>1305</v>
      </c>
      <c r="AC232" s="340" t="s">
        <v>0</v>
      </c>
      <c r="AD232" s="340">
        <v>68710</v>
      </c>
      <c r="AE232" s="340" t="s">
        <v>452</v>
      </c>
      <c r="AF232" s="340" t="s">
        <v>453</v>
      </c>
      <c r="AG232" s="340" t="s">
        <v>447</v>
      </c>
      <c r="AH232" s="342">
        <v>44750</v>
      </c>
      <c r="AI232" s="340" t="s">
        <v>454</v>
      </c>
      <c r="AJ232" s="340" t="s">
        <v>455</v>
      </c>
      <c r="AK232" s="340" t="s">
        <v>456</v>
      </c>
      <c r="AL232" s="340" t="s">
        <v>457</v>
      </c>
      <c r="AM232" s="340">
        <v>6</v>
      </c>
      <c r="AN232" s="340" t="s">
        <v>458</v>
      </c>
      <c r="AO232" s="340" t="s">
        <v>459</v>
      </c>
      <c r="AP232" s="340">
        <v>3</v>
      </c>
      <c r="AQ232" s="340" t="s">
        <v>460</v>
      </c>
      <c r="AR232" s="340">
        <v>3032</v>
      </c>
      <c r="AS232" s="340" t="s">
        <v>578</v>
      </c>
      <c r="AT232" s="340">
        <v>208653</v>
      </c>
      <c r="AU232" s="340" t="s">
        <v>495</v>
      </c>
      <c r="AV232" s="343">
        <v>0.375</v>
      </c>
      <c r="AW232" s="343">
        <v>0.58333333333333337</v>
      </c>
      <c r="AX232" s="340" t="s">
        <v>463</v>
      </c>
      <c r="AY232" s="340" t="s">
        <v>464</v>
      </c>
    </row>
    <row r="233" spans="1:51" x14ac:dyDescent="0.25">
      <c r="A233" s="339" t="s">
        <v>441</v>
      </c>
      <c r="B233" s="339" t="s">
        <v>442</v>
      </c>
      <c r="C233" s="339" t="s">
        <v>443</v>
      </c>
      <c r="D233" s="339">
        <v>4</v>
      </c>
      <c r="E233" s="339">
        <v>8</v>
      </c>
      <c r="F233" s="339">
        <v>6.5</v>
      </c>
      <c r="G233" s="340">
        <v>2045910100</v>
      </c>
      <c r="H233" s="346">
        <v>459101</v>
      </c>
      <c r="I233" s="348">
        <v>87</v>
      </c>
      <c r="J233" s="341">
        <v>23</v>
      </c>
      <c r="K233" s="341">
        <v>86</v>
      </c>
      <c r="L233" s="348">
        <f t="shared" si="11"/>
        <v>109</v>
      </c>
      <c r="M233" s="341">
        <v>459</v>
      </c>
      <c r="N233" s="340" t="s">
        <v>829</v>
      </c>
      <c r="O233" s="340">
        <v>9</v>
      </c>
      <c r="P233" s="340" t="s">
        <v>1306</v>
      </c>
      <c r="Q233" s="340" t="s">
        <v>0</v>
      </c>
      <c r="R233" s="340" t="s">
        <v>446</v>
      </c>
      <c r="S233" s="340" t="s">
        <v>447</v>
      </c>
      <c r="T233" s="340">
        <v>2</v>
      </c>
      <c r="U233" s="340" t="s">
        <v>0</v>
      </c>
      <c r="V233" s="340" t="s">
        <v>448</v>
      </c>
      <c r="W233" s="340" t="s">
        <v>0</v>
      </c>
      <c r="X233" s="340" t="s">
        <v>1307</v>
      </c>
      <c r="Y233" s="340" t="s">
        <v>0</v>
      </c>
      <c r="Z233" s="340" t="s">
        <v>1308</v>
      </c>
      <c r="AA233" s="340" t="s">
        <v>0</v>
      </c>
      <c r="AB233" s="340" t="s">
        <v>1309</v>
      </c>
      <c r="AC233" s="340" t="s">
        <v>0</v>
      </c>
      <c r="AD233" s="340">
        <v>69011</v>
      </c>
      <c r="AE233" s="340" t="s">
        <v>452</v>
      </c>
      <c r="AF233" s="340" t="s">
        <v>453</v>
      </c>
      <c r="AG233" s="340" t="s">
        <v>447</v>
      </c>
      <c r="AH233" s="342">
        <v>46035</v>
      </c>
      <c r="AI233" s="340" t="s">
        <v>454</v>
      </c>
      <c r="AJ233" s="340" t="s">
        <v>455</v>
      </c>
      <c r="AK233" s="340" t="s">
        <v>456</v>
      </c>
      <c r="AL233" s="340" t="s">
        <v>457</v>
      </c>
      <c r="AM233" s="340">
        <v>6</v>
      </c>
      <c r="AN233" s="340" t="s">
        <v>458</v>
      </c>
      <c r="AO233" s="340" t="s">
        <v>459</v>
      </c>
      <c r="AP233" s="340">
        <v>3</v>
      </c>
      <c r="AQ233" s="340" t="s">
        <v>460</v>
      </c>
      <c r="AR233" s="340">
        <v>3128</v>
      </c>
      <c r="AS233" s="340" t="s">
        <v>524</v>
      </c>
      <c r="AT233" s="340">
        <v>209155</v>
      </c>
      <c r="AU233" s="340" t="s">
        <v>954</v>
      </c>
      <c r="AV233" s="343">
        <v>0.375</v>
      </c>
      <c r="AW233" s="343">
        <v>0.58333333333333337</v>
      </c>
      <c r="AX233" s="340" t="s">
        <v>463</v>
      </c>
      <c r="AY233" s="340" t="s">
        <v>464</v>
      </c>
    </row>
    <row r="234" spans="1:51" x14ac:dyDescent="0.25">
      <c r="A234" s="339" t="s">
        <v>441</v>
      </c>
      <c r="B234" s="339" t="s">
        <v>442</v>
      </c>
      <c r="C234" s="339" t="s">
        <v>443</v>
      </c>
      <c r="D234" s="339">
        <v>2</v>
      </c>
      <c r="E234" s="339">
        <v>7</v>
      </c>
      <c r="F234" s="339">
        <v>6.5</v>
      </c>
      <c r="G234" s="340">
        <v>2046910400</v>
      </c>
      <c r="H234" s="346">
        <v>469104</v>
      </c>
      <c r="I234" s="348">
        <v>85</v>
      </c>
      <c r="J234" s="341">
        <v>89</v>
      </c>
      <c r="K234" s="341">
        <v>40</v>
      </c>
      <c r="L234" s="348">
        <f t="shared" si="11"/>
        <v>129</v>
      </c>
      <c r="M234" s="341">
        <v>469</v>
      </c>
      <c r="N234" s="340" t="s">
        <v>784</v>
      </c>
      <c r="O234" s="340">
        <v>21</v>
      </c>
      <c r="P234" s="340" t="s">
        <v>1310</v>
      </c>
      <c r="Q234" s="340" t="s">
        <v>0</v>
      </c>
      <c r="R234" s="340" t="s">
        <v>446</v>
      </c>
      <c r="S234" s="340" t="s">
        <v>447</v>
      </c>
      <c r="T234" s="340">
        <v>2</v>
      </c>
      <c r="U234" s="340" t="s">
        <v>0</v>
      </c>
      <c r="V234" s="340" t="s">
        <v>448</v>
      </c>
      <c r="W234" s="340" t="s">
        <v>0</v>
      </c>
      <c r="X234" s="340" t="s">
        <v>465</v>
      </c>
      <c r="Y234" s="340" t="s">
        <v>0</v>
      </c>
      <c r="Z234" s="340" t="s">
        <v>1311</v>
      </c>
      <c r="AA234" s="340" t="s">
        <v>0</v>
      </c>
      <c r="AB234" s="340" t="s">
        <v>1312</v>
      </c>
      <c r="AC234" s="340" t="s">
        <v>0</v>
      </c>
      <c r="AD234" s="340">
        <v>69716</v>
      </c>
      <c r="AE234" s="340" t="s">
        <v>452</v>
      </c>
      <c r="AF234" s="340" t="s">
        <v>453</v>
      </c>
      <c r="AG234" s="340" t="s">
        <v>447</v>
      </c>
      <c r="AH234" s="342">
        <v>45201</v>
      </c>
      <c r="AI234" s="340" t="s">
        <v>454</v>
      </c>
      <c r="AJ234" s="340" t="s">
        <v>455</v>
      </c>
      <c r="AK234" s="340" t="s">
        <v>456</v>
      </c>
      <c r="AL234" s="340" t="s">
        <v>457</v>
      </c>
      <c r="AM234" s="340">
        <v>6</v>
      </c>
      <c r="AN234" s="340" t="s">
        <v>458</v>
      </c>
      <c r="AO234" s="340" t="s">
        <v>459</v>
      </c>
      <c r="AP234" s="340">
        <v>3</v>
      </c>
      <c r="AQ234" s="340" t="s">
        <v>460</v>
      </c>
      <c r="AR234" s="340">
        <v>3123</v>
      </c>
      <c r="AS234" s="340" t="s">
        <v>539</v>
      </c>
      <c r="AT234" s="340">
        <v>293915</v>
      </c>
      <c r="AU234" s="340" t="s">
        <v>1313</v>
      </c>
      <c r="AV234" s="343">
        <v>0.375</v>
      </c>
      <c r="AW234" s="343">
        <v>0.58333333333333337</v>
      </c>
      <c r="AX234" s="340" t="s">
        <v>463</v>
      </c>
      <c r="AY234" s="340" t="s">
        <v>464</v>
      </c>
    </row>
    <row r="235" spans="1:51" x14ac:dyDescent="0.25">
      <c r="A235" s="339" t="s">
        <v>441</v>
      </c>
      <c r="B235" s="339" t="s">
        <v>442</v>
      </c>
      <c r="C235" s="339" t="s">
        <v>443</v>
      </c>
      <c r="D235" s="339">
        <v>4</v>
      </c>
      <c r="E235" s="339">
        <v>10</v>
      </c>
      <c r="F235" s="339">
        <v>6.5</v>
      </c>
      <c r="G235" s="340">
        <v>2046910500</v>
      </c>
      <c r="H235" s="346">
        <v>469105</v>
      </c>
      <c r="I235" s="348">
        <v>55</v>
      </c>
      <c r="J235" s="341">
        <v>65</v>
      </c>
      <c r="K235" s="341">
        <v>42</v>
      </c>
      <c r="L235" s="348">
        <f t="shared" si="11"/>
        <v>107</v>
      </c>
      <c r="M235" s="341">
        <v>469</v>
      </c>
      <c r="N235" s="340" t="s">
        <v>784</v>
      </c>
      <c r="O235" s="340">
        <v>63</v>
      </c>
      <c r="P235" s="340" t="s">
        <v>1314</v>
      </c>
      <c r="Q235" s="340" t="s">
        <v>0</v>
      </c>
      <c r="R235" s="340" t="s">
        <v>446</v>
      </c>
      <c r="S235" s="340" t="s">
        <v>447</v>
      </c>
      <c r="T235" s="340">
        <v>2</v>
      </c>
      <c r="U235" s="340" t="s">
        <v>0</v>
      </c>
      <c r="V235" s="340" t="s">
        <v>448</v>
      </c>
      <c r="W235" s="340" t="s">
        <v>0</v>
      </c>
      <c r="X235" s="340" t="s">
        <v>465</v>
      </c>
      <c r="Y235" s="340" t="s">
        <v>0</v>
      </c>
      <c r="Z235" s="340" t="s">
        <v>1315</v>
      </c>
      <c r="AA235" s="340" t="s">
        <v>0</v>
      </c>
      <c r="AB235" s="340" t="s">
        <v>1316</v>
      </c>
      <c r="AC235" s="340" t="s">
        <v>0</v>
      </c>
      <c r="AD235" s="340">
        <v>69718</v>
      </c>
      <c r="AE235" s="340" t="s">
        <v>452</v>
      </c>
      <c r="AF235" s="340" t="s">
        <v>453</v>
      </c>
      <c r="AG235" s="340" t="s">
        <v>447</v>
      </c>
      <c r="AH235" s="342">
        <v>45896</v>
      </c>
      <c r="AI235" s="340" t="s">
        <v>454</v>
      </c>
      <c r="AJ235" s="340" t="s">
        <v>455</v>
      </c>
      <c r="AK235" s="340" t="s">
        <v>456</v>
      </c>
      <c r="AL235" s="340" t="s">
        <v>457</v>
      </c>
      <c r="AM235" s="340">
        <v>6</v>
      </c>
      <c r="AN235" s="340" t="s">
        <v>458</v>
      </c>
      <c r="AO235" s="340" t="s">
        <v>459</v>
      </c>
      <c r="AP235" s="340">
        <v>3</v>
      </c>
      <c r="AQ235" s="340" t="s">
        <v>460</v>
      </c>
      <c r="AR235" s="340">
        <v>3153</v>
      </c>
      <c r="AS235" s="340" t="s">
        <v>514</v>
      </c>
      <c r="AT235" s="340">
        <v>209051</v>
      </c>
      <c r="AU235" s="340" t="s">
        <v>885</v>
      </c>
      <c r="AV235" s="343">
        <v>0.375</v>
      </c>
      <c r="AW235" s="343">
        <v>0.58333333333333337</v>
      </c>
      <c r="AX235" s="340" t="s">
        <v>463</v>
      </c>
      <c r="AY235" s="340" t="s">
        <v>464</v>
      </c>
    </row>
    <row r="236" spans="1:51" x14ac:dyDescent="0.25">
      <c r="A236" s="339" t="s">
        <v>441</v>
      </c>
      <c r="B236" s="339" t="s">
        <v>442</v>
      </c>
      <c r="C236" s="339" t="s">
        <v>443</v>
      </c>
      <c r="D236" s="339">
        <v>4</v>
      </c>
      <c r="E236" s="339">
        <v>10</v>
      </c>
      <c r="F236" s="339">
        <v>6.5</v>
      </c>
      <c r="G236" s="340">
        <v>2046910600</v>
      </c>
      <c r="H236" s="346">
        <v>469106</v>
      </c>
      <c r="I236" s="348">
        <v>65</v>
      </c>
      <c r="J236" s="341">
        <v>71</v>
      </c>
      <c r="K236" s="341">
        <v>33</v>
      </c>
      <c r="L236" s="348">
        <f t="shared" si="11"/>
        <v>104</v>
      </c>
      <c r="M236" s="341">
        <v>469</v>
      </c>
      <c r="N236" s="340" t="s">
        <v>784</v>
      </c>
      <c r="O236" s="340">
        <v>43</v>
      </c>
      <c r="P236" s="340" t="s">
        <v>1317</v>
      </c>
      <c r="Q236" s="340" t="s">
        <v>0</v>
      </c>
      <c r="R236" s="340" t="s">
        <v>446</v>
      </c>
      <c r="S236" s="340" t="s">
        <v>447</v>
      </c>
      <c r="T236" s="340">
        <v>2</v>
      </c>
      <c r="U236" s="340" t="s">
        <v>0</v>
      </c>
      <c r="V236" s="340" t="s">
        <v>448</v>
      </c>
      <c r="W236" s="340" t="s">
        <v>0</v>
      </c>
      <c r="X236" s="340" t="s">
        <v>465</v>
      </c>
      <c r="Y236" s="340" t="s">
        <v>0</v>
      </c>
      <c r="Z236" s="340" t="s">
        <v>1318</v>
      </c>
      <c r="AA236" s="340" t="s">
        <v>0</v>
      </c>
      <c r="AB236" s="340" t="s">
        <v>1319</v>
      </c>
      <c r="AC236" s="340" t="s">
        <v>0</v>
      </c>
      <c r="AD236" s="340">
        <v>69726</v>
      </c>
      <c r="AE236" s="340" t="s">
        <v>452</v>
      </c>
      <c r="AF236" s="340" t="s">
        <v>453</v>
      </c>
      <c r="AG236" s="340" t="s">
        <v>447</v>
      </c>
      <c r="AH236" s="342">
        <v>45910</v>
      </c>
      <c r="AI236" s="340" t="s">
        <v>454</v>
      </c>
      <c r="AJ236" s="340" t="s">
        <v>455</v>
      </c>
      <c r="AK236" s="340" t="s">
        <v>456</v>
      </c>
      <c r="AL236" s="340" t="s">
        <v>457</v>
      </c>
      <c r="AM236" s="340">
        <v>6</v>
      </c>
      <c r="AN236" s="340" t="s">
        <v>458</v>
      </c>
      <c r="AO236" s="340" t="s">
        <v>459</v>
      </c>
      <c r="AP236" s="340">
        <v>3</v>
      </c>
      <c r="AQ236" s="340" t="s">
        <v>460</v>
      </c>
      <c r="AR236" s="340">
        <v>3153</v>
      </c>
      <c r="AS236" s="340" t="s">
        <v>514</v>
      </c>
      <c r="AT236" s="340">
        <v>209155</v>
      </c>
      <c r="AU236" s="340" t="s">
        <v>954</v>
      </c>
      <c r="AV236" s="343">
        <v>0.375</v>
      </c>
      <c r="AW236" s="343">
        <v>0.58333333333333337</v>
      </c>
      <c r="AX236" s="340" t="s">
        <v>463</v>
      </c>
      <c r="AY236" s="340" t="s">
        <v>464</v>
      </c>
    </row>
    <row r="237" spans="1:51" x14ac:dyDescent="0.25">
      <c r="A237" s="339" t="s">
        <v>441</v>
      </c>
      <c r="B237" s="339" t="s">
        <v>442</v>
      </c>
      <c r="C237" s="339" t="s">
        <v>443</v>
      </c>
      <c r="D237" s="339">
        <v>3</v>
      </c>
      <c r="E237" s="339">
        <v>3</v>
      </c>
      <c r="F237" s="339">
        <v>6.5</v>
      </c>
      <c r="G237" s="340">
        <v>2047210300</v>
      </c>
      <c r="H237" s="346">
        <v>472103</v>
      </c>
      <c r="I237" s="348">
        <v>87</v>
      </c>
      <c r="J237" s="341">
        <v>51</v>
      </c>
      <c r="K237" s="341">
        <v>88</v>
      </c>
      <c r="L237" s="348">
        <f t="shared" si="11"/>
        <v>139</v>
      </c>
      <c r="M237" s="341">
        <v>472</v>
      </c>
      <c r="N237" s="340" t="s">
        <v>1320</v>
      </c>
      <c r="O237" s="340">
        <v>1</v>
      </c>
      <c r="P237" s="340" t="s">
        <v>1320</v>
      </c>
      <c r="Q237" s="340" t="s">
        <v>0</v>
      </c>
      <c r="R237" s="340" t="s">
        <v>446</v>
      </c>
      <c r="S237" s="340" t="s">
        <v>447</v>
      </c>
      <c r="T237" s="340">
        <v>2</v>
      </c>
      <c r="U237" s="340" t="s">
        <v>0</v>
      </c>
      <c r="V237" s="340" t="s">
        <v>448</v>
      </c>
      <c r="W237" s="340" t="s">
        <v>0</v>
      </c>
      <c r="X237" s="340" t="s">
        <v>1321</v>
      </c>
      <c r="Y237" s="340" t="s">
        <v>0</v>
      </c>
      <c r="Z237" s="340" t="s">
        <v>1322</v>
      </c>
      <c r="AA237" s="340" t="s">
        <v>0</v>
      </c>
      <c r="AB237" s="340" t="s">
        <v>1323</v>
      </c>
      <c r="AC237" s="340" t="s">
        <v>0</v>
      </c>
      <c r="AD237" s="340">
        <v>70720</v>
      </c>
      <c r="AE237" s="340" t="s">
        <v>452</v>
      </c>
      <c r="AF237" s="340" t="s">
        <v>453</v>
      </c>
      <c r="AG237" s="340" t="s">
        <v>447</v>
      </c>
      <c r="AH237" s="342">
        <v>45337</v>
      </c>
      <c r="AI237" s="340" t="s">
        <v>454</v>
      </c>
      <c r="AJ237" s="340" t="s">
        <v>455</v>
      </c>
      <c r="AK237" s="340" t="s">
        <v>456</v>
      </c>
      <c r="AL237" s="340" t="s">
        <v>457</v>
      </c>
      <c r="AM237" s="340">
        <v>6</v>
      </c>
      <c r="AN237" s="340" t="s">
        <v>458</v>
      </c>
      <c r="AO237" s="340" t="s">
        <v>459</v>
      </c>
      <c r="AP237" s="340">
        <v>3</v>
      </c>
      <c r="AQ237" s="340" t="s">
        <v>460</v>
      </c>
      <c r="AR237" s="340">
        <v>3148</v>
      </c>
      <c r="AS237" s="340" t="s">
        <v>484</v>
      </c>
      <c r="AT237" s="340">
        <v>208645</v>
      </c>
      <c r="AU237" s="340" t="s">
        <v>659</v>
      </c>
      <c r="AV237" s="343">
        <v>0.375</v>
      </c>
      <c r="AW237" s="343">
        <v>0.58333333333333337</v>
      </c>
      <c r="AX237" s="340" t="s">
        <v>463</v>
      </c>
      <c r="AY237" s="340" t="s">
        <v>464</v>
      </c>
    </row>
    <row r="238" spans="1:51" x14ac:dyDescent="0.25">
      <c r="A238" s="339" t="s">
        <v>441</v>
      </c>
      <c r="B238" s="339" t="s">
        <v>442</v>
      </c>
      <c r="C238" s="339" t="s">
        <v>443</v>
      </c>
      <c r="D238" s="339">
        <v>6</v>
      </c>
      <c r="E238" s="339">
        <v>1</v>
      </c>
      <c r="F238" s="339">
        <v>6.5</v>
      </c>
      <c r="G238" s="340">
        <v>2047310100</v>
      </c>
      <c r="H238" s="346">
        <v>473101</v>
      </c>
      <c r="I238" s="348">
        <v>48</v>
      </c>
      <c r="J238" s="341">
        <v>35</v>
      </c>
      <c r="K238" s="341">
        <v>29</v>
      </c>
      <c r="L238" s="348">
        <f t="shared" si="11"/>
        <v>64</v>
      </c>
      <c r="M238" s="341">
        <v>473</v>
      </c>
      <c r="N238" s="340" t="s">
        <v>1324</v>
      </c>
      <c r="O238" s="340">
        <v>1</v>
      </c>
      <c r="P238" s="340" t="s">
        <v>1324</v>
      </c>
      <c r="Q238" s="340" t="s">
        <v>0</v>
      </c>
      <c r="R238" s="340" t="s">
        <v>446</v>
      </c>
      <c r="S238" s="340" t="s">
        <v>447</v>
      </c>
      <c r="T238" s="340">
        <v>2</v>
      </c>
      <c r="U238" s="340" t="s">
        <v>0</v>
      </c>
      <c r="V238" s="340" t="s">
        <v>448</v>
      </c>
      <c r="W238" s="340" t="s">
        <v>0</v>
      </c>
      <c r="X238" s="340" t="s">
        <v>499</v>
      </c>
      <c r="Y238" s="340" t="s">
        <v>0</v>
      </c>
      <c r="Z238" s="340" t="s">
        <v>1325</v>
      </c>
      <c r="AA238" s="340" t="s">
        <v>0</v>
      </c>
      <c r="AB238" s="340" t="s">
        <v>877</v>
      </c>
      <c r="AC238" s="340" t="s">
        <v>0</v>
      </c>
      <c r="AD238" s="340">
        <v>68795</v>
      </c>
      <c r="AE238" s="340" t="s">
        <v>452</v>
      </c>
      <c r="AF238" s="340" t="s">
        <v>453</v>
      </c>
      <c r="AG238" s="340" t="s">
        <v>447</v>
      </c>
      <c r="AH238" s="342">
        <v>43735</v>
      </c>
      <c r="AI238" s="340" t="s">
        <v>454</v>
      </c>
      <c r="AJ238" s="340" t="s">
        <v>455</v>
      </c>
      <c r="AK238" s="340" t="s">
        <v>456</v>
      </c>
      <c r="AL238" s="340" t="s">
        <v>457</v>
      </c>
      <c r="AM238" s="340">
        <v>6</v>
      </c>
      <c r="AN238" s="340" t="s">
        <v>458</v>
      </c>
      <c r="AO238" s="340" t="s">
        <v>459</v>
      </c>
      <c r="AP238" s="340">
        <v>3</v>
      </c>
      <c r="AQ238" s="340" t="s">
        <v>460</v>
      </c>
      <c r="AR238" s="340">
        <v>3032</v>
      </c>
      <c r="AS238" s="340" t="s">
        <v>578</v>
      </c>
      <c r="AT238" s="340">
        <v>1</v>
      </c>
      <c r="AU238" s="340" t="s">
        <v>462</v>
      </c>
      <c r="AV238" s="343">
        <v>0.375</v>
      </c>
      <c r="AW238" s="343">
        <v>0.58333333333333337</v>
      </c>
      <c r="AX238" s="340" t="s">
        <v>463</v>
      </c>
      <c r="AY238" s="340" t="s">
        <v>464</v>
      </c>
    </row>
    <row r="239" spans="1:51" x14ac:dyDescent="0.25">
      <c r="A239" s="339" t="s">
        <v>441</v>
      </c>
      <c r="B239" s="339" t="s">
        <v>442</v>
      </c>
      <c r="C239" s="339" t="s">
        <v>443</v>
      </c>
      <c r="D239" s="339">
        <v>2</v>
      </c>
      <c r="E239" s="339">
        <v>5</v>
      </c>
      <c r="F239" s="339">
        <v>6.5</v>
      </c>
      <c r="G239" s="340">
        <v>2047410100</v>
      </c>
      <c r="H239" s="346">
        <v>474101</v>
      </c>
      <c r="I239" s="348">
        <v>138</v>
      </c>
      <c r="J239" s="341">
        <v>110</v>
      </c>
      <c r="K239" s="341">
        <v>168</v>
      </c>
      <c r="L239" s="348">
        <f t="shared" si="11"/>
        <v>278</v>
      </c>
      <c r="M239" s="341">
        <v>474</v>
      </c>
      <c r="N239" s="340" t="s">
        <v>1300</v>
      </c>
      <c r="O239" s="340">
        <v>1</v>
      </c>
      <c r="P239" s="340" t="s">
        <v>1300</v>
      </c>
      <c r="Q239" s="340" t="s">
        <v>0</v>
      </c>
      <c r="R239" s="340" t="s">
        <v>446</v>
      </c>
      <c r="S239" s="340" t="s">
        <v>447</v>
      </c>
      <c r="T239" s="340">
        <v>2</v>
      </c>
      <c r="U239" s="340" t="s">
        <v>0</v>
      </c>
      <c r="V239" s="340" t="s">
        <v>448</v>
      </c>
      <c r="W239" s="340" t="s">
        <v>0</v>
      </c>
      <c r="X239" s="340" t="s">
        <v>986</v>
      </c>
      <c r="Y239" s="340" t="s">
        <v>0</v>
      </c>
      <c r="Z239" s="340" t="s">
        <v>1326</v>
      </c>
      <c r="AA239" s="340" t="s">
        <v>0</v>
      </c>
      <c r="AB239" s="340" t="s">
        <v>1327</v>
      </c>
      <c r="AC239" s="340" t="s">
        <v>0</v>
      </c>
      <c r="AD239" s="340">
        <v>71660</v>
      </c>
      <c r="AE239" s="340" t="s">
        <v>452</v>
      </c>
      <c r="AF239" s="340" t="s">
        <v>453</v>
      </c>
      <c r="AG239" s="340" t="s">
        <v>447</v>
      </c>
      <c r="AH239" s="342">
        <v>43951</v>
      </c>
      <c r="AI239" s="340" t="s">
        <v>454</v>
      </c>
      <c r="AJ239" s="340" t="s">
        <v>455</v>
      </c>
      <c r="AK239" s="340" t="s">
        <v>456</v>
      </c>
      <c r="AL239" s="340" t="s">
        <v>457</v>
      </c>
      <c r="AM239" s="340">
        <v>6</v>
      </c>
      <c r="AN239" s="340" t="s">
        <v>458</v>
      </c>
      <c r="AO239" s="340" t="s">
        <v>459</v>
      </c>
      <c r="AP239" s="340">
        <v>3</v>
      </c>
      <c r="AQ239" s="340" t="s">
        <v>460</v>
      </c>
      <c r="AR239" s="340">
        <v>3042</v>
      </c>
      <c r="AS239" s="340" t="s">
        <v>846</v>
      </c>
      <c r="AT239" s="340">
        <v>1</v>
      </c>
      <c r="AU239" s="340" t="s">
        <v>462</v>
      </c>
      <c r="AV239" s="343">
        <v>0.375</v>
      </c>
      <c r="AW239" s="343">
        <v>0.54166666666666663</v>
      </c>
      <c r="AX239" s="340" t="s">
        <v>463</v>
      </c>
      <c r="AY239" s="340" t="s">
        <v>464</v>
      </c>
    </row>
    <row r="240" spans="1:51" x14ac:dyDescent="0.25">
      <c r="A240" s="339" t="s">
        <v>441</v>
      </c>
      <c r="B240" s="339" t="s">
        <v>442</v>
      </c>
      <c r="C240" s="339" t="s">
        <v>443</v>
      </c>
      <c r="D240" s="339">
        <v>2</v>
      </c>
      <c r="E240" s="339">
        <v>5</v>
      </c>
      <c r="F240" s="339">
        <v>6.5</v>
      </c>
      <c r="G240" s="340">
        <v>2047410200</v>
      </c>
      <c r="H240" s="346">
        <v>474102</v>
      </c>
      <c r="I240" s="348">
        <v>39</v>
      </c>
      <c r="J240" s="341">
        <v>20</v>
      </c>
      <c r="K240" s="341">
        <v>30</v>
      </c>
      <c r="L240" s="348">
        <f t="shared" si="11"/>
        <v>50</v>
      </c>
      <c r="M240" s="341">
        <v>474</v>
      </c>
      <c r="N240" s="340" t="s">
        <v>1300</v>
      </c>
      <c r="O240" s="340">
        <v>2</v>
      </c>
      <c r="P240" s="340" t="s">
        <v>1328</v>
      </c>
      <c r="Q240" s="340" t="s">
        <v>0</v>
      </c>
      <c r="R240" s="340" t="s">
        <v>446</v>
      </c>
      <c r="S240" s="340" t="s">
        <v>447</v>
      </c>
      <c r="T240" s="340">
        <v>2</v>
      </c>
      <c r="U240" s="340" t="s">
        <v>0</v>
      </c>
      <c r="V240" s="340" t="s">
        <v>448</v>
      </c>
      <c r="W240" s="340" t="s">
        <v>0</v>
      </c>
      <c r="X240" s="340" t="s">
        <v>465</v>
      </c>
      <c r="Y240" s="340" t="s">
        <v>0</v>
      </c>
      <c r="Z240" s="340" t="s">
        <v>450</v>
      </c>
      <c r="AA240" s="340" t="s">
        <v>0</v>
      </c>
      <c r="AB240" s="340" t="s">
        <v>466</v>
      </c>
      <c r="AC240" s="340" t="s">
        <v>0</v>
      </c>
      <c r="AD240" s="340">
        <v>71660</v>
      </c>
      <c r="AE240" s="340" t="s">
        <v>452</v>
      </c>
      <c r="AF240" s="340" t="s">
        <v>453</v>
      </c>
      <c r="AG240" s="340" t="s">
        <v>447</v>
      </c>
      <c r="AH240" s="342">
        <v>44179</v>
      </c>
      <c r="AI240" s="340" t="s">
        <v>454</v>
      </c>
      <c r="AJ240" s="340" t="s">
        <v>455</v>
      </c>
      <c r="AK240" s="340" t="s">
        <v>456</v>
      </c>
      <c r="AL240" s="340" t="s">
        <v>457</v>
      </c>
      <c r="AM240" s="340">
        <v>6</v>
      </c>
      <c r="AN240" s="340" t="s">
        <v>458</v>
      </c>
      <c r="AO240" s="340" t="s">
        <v>459</v>
      </c>
      <c r="AP240" s="340">
        <v>3</v>
      </c>
      <c r="AQ240" s="340" t="s">
        <v>460</v>
      </c>
      <c r="AR240" s="340">
        <v>3042</v>
      </c>
      <c r="AS240" s="340" t="s">
        <v>846</v>
      </c>
      <c r="AT240" s="340">
        <v>1</v>
      </c>
      <c r="AU240" s="340" t="s">
        <v>462</v>
      </c>
      <c r="AV240" s="343">
        <v>0.375</v>
      </c>
      <c r="AW240" s="343">
        <v>0.58333333333333337</v>
      </c>
      <c r="AX240" s="340" t="s">
        <v>463</v>
      </c>
      <c r="AY240" s="340" t="s">
        <v>464</v>
      </c>
    </row>
    <row r="241" spans="1:51" x14ac:dyDescent="0.25">
      <c r="A241" s="339" t="s">
        <v>441</v>
      </c>
      <c r="B241" s="339" t="s">
        <v>442</v>
      </c>
      <c r="C241" s="339" t="s">
        <v>443</v>
      </c>
      <c r="D241" s="339">
        <v>6</v>
      </c>
      <c r="E241" s="339">
        <v>3</v>
      </c>
      <c r="F241" s="339">
        <v>6.5</v>
      </c>
      <c r="G241" s="340">
        <v>2047510500</v>
      </c>
      <c r="H241" s="346">
        <v>475105</v>
      </c>
      <c r="I241" s="348">
        <v>75</v>
      </c>
      <c r="J241" s="341">
        <v>51</v>
      </c>
      <c r="K241" s="341">
        <v>56</v>
      </c>
      <c r="L241" s="348">
        <f t="shared" si="11"/>
        <v>107</v>
      </c>
      <c r="M241" s="341">
        <v>475</v>
      </c>
      <c r="N241" s="340" t="s">
        <v>1329</v>
      </c>
      <c r="O241" s="340">
        <v>1</v>
      </c>
      <c r="P241" s="340" t="s">
        <v>1330</v>
      </c>
      <c r="Q241" s="340" t="s">
        <v>0</v>
      </c>
      <c r="R241" s="340" t="s">
        <v>446</v>
      </c>
      <c r="S241" s="340" t="s">
        <v>447</v>
      </c>
      <c r="T241" s="340">
        <v>2</v>
      </c>
      <c r="U241" s="340" t="s">
        <v>0</v>
      </c>
      <c r="V241" s="340" t="s">
        <v>448</v>
      </c>
      <c r="W241" s="340" t="s">
        <v>0</v>
      </c>
      <c r="X241" s="340" t="s">
        <v>521</v>
      </c>
      <c r="Y241" s="340" t="s">
        <v>0</v>
      </c>
      <c r="Z241" s="340" t="s">
        <v>1331</v>
      </c>
      <c r="AA241" s="340" t="s">
        <v>0</v>
      </c>
      <c r="AB241" s="340" t="s">
        <v>1332</v>
      </c>
      <c r="AC241" s="340" t="s">
        <v>0</v>
      </c>
      <c r="AD241" s="340">
        <v>70440</v>
      </c>
      <c r="AE241" s="340" t="s">
        <v>452</v>
      </c>
      <c r="AF241" s="340" t="s">
        <v>453</v>
      </c>
      <c r="AG241" s="340" t="s">
        <v>447</v>
      </c>
      <c r="AH241" s="342">
        <v>45133</v>
      </c>
      <c r="AI241" s="340" t="s">
        <v>454</v>
      </c>
      <c r="AJ241" s="340" t="s">
        <v>455</v>
      </c>
      <c r="AK241" s="340" t="s">
        <v>456</v>
      </c>
      <c r="AL241" s="340" t="s">
        <v>457</v>
      </c>
      <c r="AM241" s="340">
        <v>6</v>
      </c>
      <c r="AN241" s="340" t="s">
        <v>458</v>
      </c>
      <c r="AO241" s="340" t="s">
        <v>459</v>
      </c>
      <c r="AP241" s="340">
        <v>3</v>
      </c>
      <c r="AQ241" s="340" t="s">
        <v>460</v>
      </c>
      <c r="AR241" s="340">
        <v>3020</v>
      </c>
      <c r="AS241" s="340" t="s">
        <v>882</v>
      </c>
      <c r="AT241" s="340">
        <v>208781</v>
      </c>
      <c r="AU241" s="340" t="s">
        <v>485</v>
      </c>
      <c r="AV241" s="343">
        <v>0.375</v>
      </c>
      <c r="AW241" s="343">
        <v>0.58333333333333337</v>
      </c>
      <c r="AX241" s="340" t="s">
        <v>463</v>
      </c>
      <c r="AY241" s="340" t="s">
        <v>464</v>
      </c>
    </row>
    <row r="242" spans="1:51" x14ac:dyDescent="0.25">
      <c r="A242" s="339" t="s">
        <v>441</v>
      </c>
      <c r="B242" s="339" t="s">
        <v>442</v>
      </c>
      <c r="C242" s="339" t="s">
        <v>443</v>
      </c>
      <c r="D242" s="339">
        <v>4</v>
      </c>
      <c r="E242" s="339">
        <v>3</v>
      </c>
      <c r="F242" s="339">
        <v>6.5</v>
      </c>
      <c r="G242" s="340">
        <v>2048010100</v>
      </c>
      <c r="H242" s="346">
        <v>480101</v>
      </c>
      <c r="I242" s="348">
        <v>67</v>
      </c>
      <c r="J242" s="341">
        <v>31</v>
      </c>
      <c r="K242" s="341">
        <v>62</v>
      </c>
      <c r="L242" s="348">
        <f t="shared" ref="L242:L256" si="12">J242+K242</f>
        <v>93</v>
      </c>
      <c r="M242" s="341">
        <v>480</v>
      </c>
      <c r="N242" s="340" t="s">
        <v>1333</v>
      </c>
      <c r="O242" s="340">
        <v>1</v>
      </c>
      <c r="P242" s="340" t="s">
        <v>1333</v>
      </c>
      <c r="Q242" s="340" t="s">
        <v>0</v>
      </c>
      <c r="R242" s="340" t="s">
        <v>446</v>
      </c>
      <c r="S242" s="340" t="s">
        <v>447</v>
      </c>
      <c r="T242" s="340">
        <v>2</v>
      </c>
      <c r="U242" s="340" t="s">
        <v>0</v>
      </c>
      <c r="V242" s="340" t="s">
        <v>448</v>
      </c>
      <c r="W242" s="340" t="s">
        <v>0</v>
      </c>
      <c r="X242" s="340" t="s">
        <v>465</v>
      </c>
      <c r="Y242" s="340" t="s">
        <v>0</v>
      </c>
      <c r="Z242" s="340" t="s">
        <v>450</v>
      </c>
      <c r="AA242" s="340" t="s">
        <v>0</v>
      </c>
      <c r="AB242" s="340" t="s">
        <v>1334</v>
      </c>
      <c r="AC242" s="340" t="s">
        <v>0</v>
      </c>
      <c r="AD242" s="340">
        <v>69824</v>
      </c>
      <c r="AE242" s="340" t="s">
        <v>452</v>
      </c>
      <c r="AF242" s="340" t="s">
        <v>453</v>
      </c>
      <c r="AG242" s="340" t="s">
        <v>447</v>
      </c>
      <c r="AH242" s="342">
        <v>43388</v>
      </c>
      <c r="AI242" s="340" t="s">
        <v>454</v>
      </c>
      <c r="AJ242" s="340" t="s">
        <v>455</v>
      </c>
      <c r="AK242" s="340" t="s">
        <v>456</v>
      </c>
      <c r="AL242" s="340" t="s">
        <v>457</v>
      </c>
      <c r="AM242" s="340">
        <v>6</v>
      </c>
      <c r="AN242" s="340" t="s">
        <v>458</v>
      </c>
      <c r="AO242" s="340" t="s">
        <v>459</v>
      </c>
      <c r="AP242" s="340">
        <v>3</v>
      </c>
      <c r="AQ242" s="340" t="s">
        <v>460</v>
      </c>
      <c r="AR242" s="340">
        <v>3151</v>
      </c>
      <c r="AS242" s="340" t="s">
        <v>715</v>
      </c>
      <c r="AT242" s="340">
        <v>1</v>
      </c>
      <c r="AU242" s="340" t="s">
        <v>462</v>
      </c>
      <c r="AV242" s="343">
        <v>0.375</v>
      </c>
      <c r="AW242" s="343">
        <v>0.58333333333333337</v>
      </c>
      <c r="AX242" s="340" t="s">
        <v>463</v>
      </c>
      <c r="AY242" s="340" t="s">
        <v>464</v>
      </c>
    </row>
    <row r="243" spans="1:51" x14ac:dyDescent="0.25">
      <c r="A243" s="339" t="s">
        <v>589</v>
      </c>
      <c r="B243" s="339" t="s">
        <v>442</v>
      </c>
      <c r="C243" s="339" t="s">
        <v>443</v>
      </c>
      <c r="D243" s="339">
        <v>2</v>
      </c>
      <c r="E243" s="339">
        <v>6</v>
      </c>
      <c r="F243" s="339">
        <v>6.5</v>
      </c>
      <c r="G243" s="340">
        <v>2048210500</v>
      </c>
      <c r="H243" s="346">
        <v>482105</v>
      </c>
      <c r="I243" s="348">
        <v>286</v>
      </c>
      <c r="J243" s="341">
        <v>196</v>
      </c>
      <c r="K243" s="341">
        <v>272</v>
      </c>
      <c r="L243" s="348">
        <f t="shared" si="12"/>
        <v>468</v>
      </c>
      <c r="M243" s="341">
        <v>482</v>
      </c>
      <c r="N243" s="340" t="s">
        <v>1335</v>
      </c>
      <c r="O243" s="340">
        <v>1</v>
      </c>
      <c r="P243" s="340" t="s">
        <v>1335</v>
      </c>
      <c r="Q243" s="340" t="s">
        <v>0</v>
      </c>
      <c r="R243" s="340" t="s">
        <v>446</v>
      </c>
      <c r="S243" s="340" t="s">
        <v>447</v>
      </c>
      <c r="T243" s="340">
        <v>2</v>
      </c>
      <c r="U243" s="340" t="s">
        <v>0</v>
      </c>
      <c r="V243" s="340" t="s">
        <v>448</v>
      </c>
      <c r="W243" s="340" t="s">
        <v>0</v>
      </c>
      <c r="X243" s="340" t="s">
        <v>516</v>
      </c>
      <c r="Y243" s="340" t="s">
        <v>0</v>
      </c>
      <c r="Z243" s="340" t="s">
        <v>450</v>
      </c>
      <c r="AA243" s="340" t="s">
        <v>0</v>
      </c>
      <c r="AB243" s="340" t="s">
        <v>1336</v>
      </c>
      <c r="AC243" s="340" t="s">
        <v>0</v>
      </c>
      <c r="AD243" s="340">
        <v>71600</v>
      </c>
      <c r="AE243" s="340" t="s">
        <v>452</v>
      </c>
      <c r="AF243" s="340" t="s">
        <v>453</v>
      </c>
      <c r="AG243" s="340" t="s">
        <v>447</v>
      </c>
      <c r="AH243" s="342">
        <v>41893</v>
      </c>
      <c r="AI243" s="340" t="s">
        <v>454</v>
      </c>
      <c r="AJ243" s="340" t="s">
        <v>455</v>
      </c>
      <c r="AK243" s="340" t="s">
        <v>456</v>
      </c>
      <c r="AL243" s="340" t="s">
        <v>457</v>
      </c>
      <c r="AM243" s="340">
        <v>6</v>
      </c>
      <c r="AN243" s="340" t="s">
        <v>458</v>
      </c>
      <c r="AO243" s="340" t="s">
        <v>459</v>
      </c>
      <c r="AP243" s="340">
        <v>3</v>
      </c>
      <c r="AQ243" s="340" t="s">
        <v>460</v>
      </c>
      <c r="AR243" s="340">
        <v>3102</v>
      </c>
      <c r="AS243" s="340" t="s">
        <v>697</v>
      </c>
      <c r="AT243" s="340">
        <v>1</v>
      </c>
      <c r="AU243" s="340" t="s">
        <v>462</v>
      </c>
      <c r="AV243" s="343">
        <v>0.375</v>
      </c>
      <c r="AW243" s="343">
        <v>0.58333333333333337</v>
      </c>
      <c r="AX243" s="340" t="s">
        <v>463</v>
      </c>
      <c r="AY243" s="340" t="s">
        <v>464</v>
      </c>
    </row>
    <row r="244" spans="1:51" x14ac:dyDescent="0.25">
      <c r="A244" s="339" t="s">
        <v>441</v>
      </c>
      <c r="B244" s="339" t="s">
        <v>442</v>
      </c>
      <c r="C244" s="339" t="s">
        <v>443</v>
      </c>
      <c r="D244" s="339">
        <v>2</v>
      </c>
      <c r="E244" s="339">
        <v>6</v>
      </c>
      <c r="F244" s="339">
        <v>6.5</v>
      </c>
      <c r="G244" s="340">
        <v>2048210600</v>
      </c>
      <c r="H244" s="346">
        <v>482106</v>
      </c>
      <c r="I244" s="348">
        <v>73</v>
      </c>
      <c r="J244" s="341">
        <v>39</v>
      </c>
      <c r="K244" s="341">
        <v>63</v>
      </c>
      <c r="L244" s="348">
        <f t="shared" si="12"/>
        <v>102</v>
      </c>
      <c r="M244" s="341">
        <v>482</v>
      </c>
      <c r="N244" s="340" t="s">
        <v>1335</v>
      </c>
      <c r="O244" s="340">
        <v>6</v>
      </c>
      <c r="P244" s="340" t="s">
        <v>1337</v>
      </c>
      <c r="Q244" s="340" t="s">
        <v>0</v>
      </c>
      <c r="R244" s="340" t="s">
        <v>446</v>
      </c>
      <c r="S244" s="340" t="s">
        <v>447</v>
      </c>
      <c r="T244" s="340">
        <v>2</v>
      </c>
      <c r="U244" s="340" t="s">
        <v>0</v>
      </c>
      <c r="V244" s="340" t="s">
        <v>448</v>
      </c>
      <c r="W244" s="340" t="s">
        <v>0</v>
      </c>
      <c r="X244" s="340" t="s">
        <v>465</v>
      </c>
      <c r="Y244" s="340" t="s">
        <v>0</v>
      </c>
      <c r="Z244" s="340" t="s">
        <v>1338</v>
      </c>
      <c r="AA244" s="340" t="s">
        <v>0</v>
      </c>
      <c r="AB244" s="340" t="s">
        <v>466</v>
      </c>
      <c r="AC244" s="340" t="s">
        <v>0</v>
      </c>
      <c r="AD244" s="340">
        <v>71608</v>
      </c>
      <c r="AE244" s="340" t="s">
        <v>452</v>
      </c>
      <c r="AF244" s="340" t="s">
        <v>453</v>
      </c>
      <c r="AG244" s="340" t="s">
        <v>447</v>
      </c>
      <c r="AH244" s="342">
        <v>43815</v>
      </c>
      <c r="AI244" s="340" t="s">
        <v>454</v>
      </c>
      <c r="AJ244" s="340" t="s">
        <v>455</v>
      </c>
      <c r="AK244" s="340" t="s">
        <v>456</v>
      </c>
      <c r="AL244" s="340" t="s">
        <v>457</v>
      </c>
      <c r="AM244" s="340">
        <v>6</v>
      </c>
      <c r="AN244" s="340" t="s">
        <v>458</v>
      </c>
      <c r="AO244" s="340" t="s">
        <v>459</v>
      </c>
      <c r="AP244" s="340">
        <v>3</v>
      </c>
      <c r="AQ244" s="340" t="s">
        <v>460</v>
      </c>
      <c r="AR244" s="340">
        <v>3102</v>
      </c>
      <c r="AS244" s="340" t="s">
        <v>697</v>
      </c>
      <c r="AT244" s="340">
        <v>1</v>
      </c>
      <c r="AU244" s="340" t="s">
        <v>462</v>
      </c>
      <c r="AV244" s="343">
        <v>0.375</v>
      </c>
      <c r="AW244" s="343">
        <v>0.5</v>
      </c>
      <c r="AX244" s="340" t="s">
        <v>463</v>
      </c>
      <c r="AY244" s="340" t="s">
        <v>464</v>
      </c>
    </row>
    <row r="245" spans="1:51" x14ac:dyDescent="0.25">
      <c r="A245" s="339" t="s">
        <v>441</v>
      </c>
      <c r="B245" s="339" t="s">
        <v>442</v>
      </c>
      <c r="C245" s="339" t="s">
        <v>443</v>
      </c>
      <c r="D245" s="339">
        <v>2</v>
      </c>
      <c r="E245" s="339">
        <v>6</v>
      </c>
      <c r="F245" s="339">
        <v>6.5</v>
      </c>
      <c r="G245" s="340">
        <v>2048210700</v>
      </c>
      <c r="H245" s="346">
        <v>482107</v>
      </c>
      <c r="I245" s="348">
        <v>81</v>
      </c>
      <c r="J245" s="341">
        <v>35</v>
      </c>
      <c r="K245" s="341">
        <v>68</v>
      </c>
      <c r="L245" s="348">
        <f t="shared" si="12"/>
        <v>103</v>
      </c>
      <c r="M245" s="341">
        <v>482</v>
      </c>
      <c r="N245" s="340" t="s">
        <v>1335</v>
      </c>
      <c r="O245" s="340">
        <v>9</v>
      </c>
      <c r="P245" s="340" t="s">
        <v>1339</v>
      </c>
      <c r="Q245" s="340" t="s">
        <v>0</v>
      </c>
      <c r="R245" s="340" t="s">
        <v>446</v>
      </c>
      <c r="S245" s="340" t="s">
        <v>447</v>
      </c>
      <c r="T245" s="340">
        <v>2</v>
      </c>
      <c r="U245" s="340" t="s">
        <v>0</v>
      </c>
      <c r="V245" s="340" t="s">
        <v>448</v>
      </c>
      <c r="W245" s="340" t="s">
        <v>0</v>
      </c>
      <c r="X245" s="340" t="s">
        <v>672</v>
      </c>
      <c r="Y245" s="340" t="s">
        <v>0</v>
      </c>
      <c r="Z245" s="340" t="s">
        <v>1340</v>
      </c>
      <c r="AA245" s="340" t="s">
        <v>0</v>
      </c>
      <c r="AB245" s="340" t="s">
        <v>1341</v>
      </c>
      <c r="AC245" s="340" t="s">
        <v>0</v>
      </c>
      <c r="AD245" s="340">
        <v>71608</v>
      </c>
      <c r="AE245" s="340" t="s">
        <v>452</v>
      </c>
      <c r="AF245" s="340" t="s">
        <v>453</v>
      </c>
      <c r="AG245" s="340" t="s">
        <v>447</v>
      </c>
      <c r="AH245" s="342">
        <v>43865</v>
      </c>
      <c r="AI245" s="340" t="s">
        <v>454</v>
      </c>
      <c r="AJ245" s="340" t="s">
        <v>455</v>
      </c>
      <c r="AK245" s="340" t="s">
        <v>456</v>
      </c>
      <c r="AL245" s="340" t="s">
        <v>457</v>
      </c>
      <c r="AM245" s="340">
        <v>6</v>
      </c>
      <c r="AN245" s="340" t="s">
        <v>458</v>
      </c>
      <c r="AO245" s="340" t="s">
        <v>459</v>
      </c>
      <c r="AP245" s="340">
        <v>3</v>
      </c>
      <c r="AQ245" s="340" t="s">
        <v>460</v>
      </c>
      <c r="AR245" s="340">
        <v>3102</v>
      </c>
      <c r="AS245" s="340" t="s">
        <v>697</v>
      </c>
      <c r="AT245" s="340">
        <v>1</v>
      </c>
      <c r="AU245" s="340" t="s">
        <v>462</v>
      </c>
      <c r="AV245" s="343">
        <v>0.33333333333333331</v>
      </c>
      <c r="AW245" s="343">
        <v>0.54166666666666663</v>
      </c>
      <c r="AX245" s="340" t="s">
        <v>463</v>
      </c>
      <c r="AY245" s="340" t="s">
        <v>464</v>
      </c>
    </row>
    <row r="246" spans="1:51" x14ac:dyDescent="0.25">
      <c r="A246" s="339" t="s">
        <v>441</v>
      </c>
      <c r="B246" s="339" t="s">
        <v>442</v>
      </c>
      <c r="C246" s="339" t="s">
        <v>443</v>
      </c>
      <c r="D246" s="339">
        <v>2</v>
      </c>
      <c r="E246" s="339">
        <v>5</v>
      </c>
      <c r="F246" s="339">
        <v>6.5</v>
      </c>
      <c r="G246" s="340">
        <v>2048210900</v>
      </c>
      <c r="H246" s="346">
        <v>482109</v>
      </c>
      <c r="I246" s="348">
        <v>34</v>
      </c>
      <c r="J246" s="341">
        <v>27</v>
      </c>
      <c r="K246" s="341">
        <v>26</v>
      </c>
      <c r="L246" s="348">
        <f t="shared" si="12"/>
        <v>53</v>
      </c>
      <c r="M246" s="341">
        <v>482</v>
      </c>
      <c r="N246" s="340" t="s">
        <v>1335</v>
      </c>
      <c r="O246" s="340">
        <v>21</v>
      </c>
      <c r="P246" s="340" t="s">
        <v>1342</v>
      </c>
      <c r="Q246" s="340" t="s">
        <v>0</v>
      </c>
      <c r="R246" s="340" t="s">
        <v>446</v>
      </c>
      <c r="S246" s="340" t="s">
        <v>447</v>
      </c>
      <c r="T246" s="340">
        <v>2</v>
      </c>
      <c r="U246" s="340" t="s">
        <v>0</v>
      </c>
      <c r="V246" s="340" t="s">
        <v>448</v>
      </c>
      <c r="W246" s="340" t="s">
        <v>0</v>
      </c>
      <c r="X246" s="340" t="s">
        <v>1343</v>
      </c>
      <c r="Y246" s="340" t="s">
        <v>0</v>
      </c>
      <c r="Z246" s="340" t="s">
        <v>1344</v>
      </c>
      <c r="AA246" s="340" t="s">
        <v>0</v>
      </c>
      <c r="AB246" s="340" t="s">
        <v>1345</v>
      </c>
      <c r="AC246" s="340" t="s">
        <v>0</v>
      </c>
      <c r="AD246" s="340">
        <v>71606</v>
      </c>
      <c r="AE246" s="340" t="s">
        <v>452</v>
      </c>
      <c r="AF246" s="340" t="s">
        <v>453</v>
      </c>
      <c r="AG246" s="340" t="s">
        <v>447</v>
      </c>
      <c r="AH246" s="342">
        <v>44172</v>
      </c>
      <c r="AI246" s="340" t="s">
        <v>454</v>
      </c>
      <c r="AJ246" s="340" t="s">
        <v>455</v>
      </c>
      <c r="AK246" s="340" t="s">
        <v>456</v>
      </c>
      <c r="AL246" s="340" t="s">
        <v>457</v>
      </c>
      <c r="AM246" s="340">
        <v>6</v>
      </c>
      <c r="AN246" s="340" t="s">
        <v>458</v>
      </c>
      <c r="AO246" s="340" t="s">
        <v>459</v>
      </c>
      <c r="AP246" s="340">
        <v>3</v>
      </c>
      <c r="AQ246" s="340" t="s">
        <v>460</v>
      </c>
      <c r="AR246" s="340">
        <v>3042</v>
      </c>
      <c r="AS246" s="340" t="s">
        <v>846</v>
      </c>
      <c r="AT246" s="340">
        <v>1</v>
      </c>
      <c r="AU246" s="340" t="s">
        <v>462</v>
      </c>
      <c r="AV246" s="343">
        <v>0.375</v>
      </c>
      <c r="AW246" s="343">
        <v>0.58333333333333337</v>
      </c>
      <c r="AX246" s="340" t="s">
        <v>463</v>
      </c>
      <c r="AY246" s="340" t="s">
        <v>464</v>
      </c>
    </row>
    <row r="247" spans="1:51" x14ac:dyDescent="0.25">
      <c r="A247" s="339" t="s">
        <v>441</v>
      </c>
      <c r="B247" s="339" t="s">
        <v>442</v>
      </c>
      <c r="C247" s="339" t="s">
        <v>443</v>
      </c>
      <c r="D247" s="339">
        <v>6</v>
      </c>
      <c r="E247" s="339">
        <v>3</v>
      </c>
      <c r="F247" s="339">
        <v>6.5</v>
      </c>
      <c r="G247" s="340">
        <v>2048710100</v>
      </c>
      <c r="H247" s="346">
        <v>487101</v>
      </c>
      <c r="I247" s="348">
        <v>45</v>
      </c>
      <c r="J247" s="341">
        <v>28</v>
      </c>
      <c r="K247" s="341">
        <v>36</v>
      </c>
      <c r="L247" s="348">
        <f t="shared" si="12"/>
        <v>64</v>
      </c>
      <c r="M247" s="341">
        <v>487</v>
      </c>
      <c r="N247" s="340" t="s">
        <v>1346</v>
      </c>
      <c r="O247" s="340">
        <v>1</v>
      </c>
      <c r="P247" s="340" t="s">
        <v>1346</v>
      </c>
      <c r="Q247" s="340" t="s">
        <v>0</v>
      </c>
      <c r="R247" s="340" t="s">
        <v>446</v>
      </c>
      <c r="S247" s="340" t="s">
        <v>447</v>
      </c>
      <c r="T247" s="340">
        <v>2</v>
      </c>
      <c r="U247" s="340" t="s">
        <v>0</v>
      </c>
      <c r="V247" s="340" t="s">
        <v>448</v>
      </c>
      <c r="W247" s="340" t="s">
        <v>0</v>
      </c>
      <c r="X247" s="340" t="s">
        <v>1347</v>
      </c>
      <c r="Y247" s="340" t="s">
        <v>0</v>
      </c>
      <c r="Z247" s="340" t="s">
        <v>450</v>
      </c>
      <c r="AA247" s="340" t="s">
        <v>0</v>
      </c>
      <c r="AB247" s="340" t="s">
        <v>1348</v>
      </c>
      <c r="AC247" s="340" t="s">
        <v>0</v>
      </c>
      <c r="AD247" s="340">
        <v>68217</v>
      </c>
      <c r="AE247" s="340" t="s">
        <v>452</v>
      </c>
      <c r="AF247" s="340" t="s">
        <v>453</v>
      </c>
      <c r="AG247" s="340" t="s">
        <v>447</v>
      </c>
      <c r="AH247" s="342">
        <v>42109</v>
      </c>
      <c r="AI247" s="340" t="s">
        <v>454</v>
      </c>
      <c r="AJ247" s="340" t="s">
        <v>455</v>
      </c>
      <c r="AK247" s="340" t="s">
        <v>456</v>
      </c>
      <c r="AL247" s="340" t="s">
        <v>457</v>
      </c>
      <c r="AM247" s="340">
        <v>6</v>
      </c>
      <c r="AN247" s="340" t="s">
        <v>458</v>
      </c>
      <c r="AO247" s="340" t="s">
        <v>459</v>
      </c>
      <c r="AP247" s="340">
        <v>3</v>
      </c>
      <c r="AQ247" s="340" t="s">
        <v>460</v>
      </c>
      <c r="AR247" s="340">
        <v>3020</v>
      </c>
      <c r="AS247" s="340" t="s">
        <v>882</v>
      </c>
      <c r="AT247" s="340">
        <v>1</v>
      </c>
      <c r="AU247" s="340" t="s">
        <v>462</v>
      </c>
      <c r="AV247" s="343">
        <v>0.375</v>
      </c>
      <c r="AW247" s="343">
        <v>0.58333333333333337</v>
      </c>
      <c r="AX247" s="340" t="s">
        <v>463</v>
      </c>
      <c r="AY247" s="340" t="s">
        <v>464</v>
      </c>
    </row>
    <row r="248" spans="1:51" x14ac:dyDescent="0.25">
      <c r="A248" s="339" t="s">
        <v>441</v>
      </c>
      <c r="B248" s="339" t="s">
        <v>442</v>
      </c>
      <c r="C248" s="339" t="s">
        <v>469</v>
      </c>
      <c r="D248" s="339">
        <v>4</v>
      </c>
      <c r="E248" s="339">
        <v>3</v>
      </c>
      <c r="F248" s="339">
        <v>6.5</v>
      </c>
      <c r="G248" s="340">
        <v>2049910200</v>
      </c>
      <c r="H248" s="346">
        <v>499102</v>
      </c>
      <c r="I248" s="348">
        <v>122</v>
      </c>
      <c r="J248" s="341">
        <v>55</v>
      </c>
      <c r="K248" s="341">
        <v>109</v>
      </c>
      <c r="L248" s="348">
        <f t="shared" si="12"/>
        <v>164</v>
      </c>
      <c r="M248" s="341">
        <v>499</v>
      </c>
      <c r="N248" s="340" t="s">
        <v>1349</v>
      </c>
      <c r="O248" s="340">
        <v>1</v>
      </c>
      <c r="P248" s="340" t="s">
        <v>1350</v>
      </c>
      <c r="Q248" s="340" t="s">
        <v>0</v>
      </c>
      <c r="R248" s="340" t="s">
        <v>446</v>
      </c>
      <c r="S248" s="340" t="s">
        <v>447</v>
      </c>
      <c r="T248" s="340">
        <v>3</v>
      </c>
      <c r="U248" s="340" t="s">
        <v>0</v>
      </c>
      <c r="V248" s="340" t="s">
        <v>472</v>
      </c>
      <c r="W248" s="340" t="s">
        <v>0</v>
      </c>
      <c r="X248" s="340" t="s">
        <v>516</v>
      </c>
      <c r="Y248" s="340" t="s">
        <v>0</v>
      </c>
      <c r="Z248" s="340" t="s">
        <v>1351</v>
      </c>
      <c r="AA248" s="340" t="s">
        <v>0</v>
      </c>
      <c r="AB248" s="340" t="s">
        <v>1352</v>
      </c>
      <c r="AC248" s="340" t="s">
        <v>0</v>
      </c>
      <c r="AD248" s="340">
        <v>71230</v>
      </c>
      <c r="AE248" s="340" t="s">
        <v>452</v>
      </c>
      <c r="AF248" s="340" t="s">
        <v>453</v>
      </c>
      <c r="AG248" s="340" t="s">
        <v>447</v>
      </c>
      <c r="AH248" s="342">
        <v>41136</v>
      </c>
      <c r="AI248" s="340" t="s">
        <v>454</v>
      </c>
      <c r="AJ248" s="340" t="s">
        <v>455</v>
      </c>
      <c r="AK248" s="340" t="s">
        <v>456</v>
      </c>
      <c r="AL248" s="340" t="s">
        <v>457</v>
      </c>
      <c r="AM248" s="340">
        <v>6</v>
      </c>
      <c r="AN248" s="340" t="s">
        <v>458</v>
      </c>
      <c r="AO248" s="340" t="s">
        <v>459</v>
      </c>
      <c r="AP248" s="340">
        <v>3</v>
      </c>
      <c r="AQ248" s="340" t="s">
        <v>460</v>
      </c>
      <c r="AR248" s="340">
        <v>3151</v>
      </c>
      <c r="AS248" s="340" t="s">
        <v>715</v>
      </c>
      <c r="AT248" s="340">
        <v>1</v>
      </c>
      <c r="AU248" s="340" t="s">
        <v>462</v>
      </c>
      <c r="AV248" s="343">
        <v>0.375</v>
      </c>
      <c r="AW248" s="343">
        <v>0.54166666666666663</v>
      </c>
      <c r="AX248" s="340" t="s">
        <v>463</v>
      </c>
      <c r="AY248" s="340" t="s">
        <v>464</v>
      </c>
    </row>
    <row r="249" spans="1:51" x14ac:dyDescent="0.25">
      <c r="A249" s="339" t="s">
        <v>441</v>
      </c>
      <c r="B249" s="339" t="s">
        <v>442</v>
      </c>
      <c r="C249" s="339" t="s">
        <v>443</v>
      </c>
      <c r="D249" s="339">
        <v>3</v>
      </c>
      <c r="E249" s="339">
        <v>5</v>
      </c>
      <c r="F249" s="339">
        <v>6.5</v>
      </c>
      <c r="G249" s="340">
        <v>2050510100</v>
      </c>
      <c r="H249" s="346">
        <v>505101</v>
      </c>
      <c r="I249" s="348">
        <v>80</v>
      </c>
      <c r="J249" s="341">
        <v>55</v>
      </c>
      <c r="K249" s="341">
        <v>62</v>
      </c>
      <c r="L249" s="348">
        <f t="shared" si="12"/>
        <v>117</v>
      </c>
      <c r="M249" s="341">
        <v>505</v>
      </c>
      <c r="N249" s="340" t="s">
        <v>1353</v>
      </c>
      <c r="O249" s="340">
        <v>2</v>
      </c>
      <c r="P249" s="340" t="s">
        <v>1354</v>
      </c>
      <c r="Q249" s="340" t="s">
        <v>0</v>
      </c>
      <c r="R249" s="340" t="s">
        <v>446</v>
      </c>
      <c r="S249" s="340" t="s">
        <v>447</v>
      </c>
      <c r="T249" s="340">
        <v>2</v>
      </c>
      <c r="U249" s="340" t="s">
        <v>0</v>
      </c>
      <c r="V249" s="340" t="s">
        <v>448</v>
      </c>
      <c r="W249" s="340" t="s">
        <v>0</v>
      </c>
      <c r="X249" s="340" t="s">
        <v>508</v>
      </c>
      <c r="Y249" s="340" t="s">
        <v>0</v>
      </c>
      <c r="Z249" s="340" t="s">
        <v>1355</v>
      </c>
      <c r="AA249" s="340" t="s">
        <v>0</v>
      </c>
      <c r="AB249" s="340" t="s">
        <v>1356</v>
      </c>
      <c r="AC249" s="340" t="s">
        <v>0</v>
      </c>
      <c r="AD249" s="340">
        <v>70121</v>
      </c>
      <c r="AE249" s="340" t="s">
        <v>452</v>
      </c>
      <c r="AF249" s="340" t="s">
        <v>453</v>
      </c>
      <c r="AG249" s="340" t="s">
        <v>447</v>
      </c>
      <c r="AH249" s="342">
        <v>45617</v>
      </c>
      <c r="AI249" s="340" t="s">
        <v>454</v>
      </c>
      <c r="AJ249" s="340" t="s">
        <v>455</v>
      </c>
      <c r="AK249" s="340" t="s">
        <v>456</v>
      </c>
      <c r="AL249" s="340" t="s">
        <v>457</v>
      </c>
      <c r="AM249" s="340">
        <v>6</v>
      </c>
      <c r="AN249" s="340" t="s">
        <v>458</v>
      </c>
      <c r="AO249" s="340" t="s">
        <v>459</v>
      </c>
      <c r="AP249" s="340">
        <v>3</v>
      </c>
      <c r="AQ249" s="340" t="s">
        <v>460</v>
      </c>
      <c r="AR249" s="340">
        <v>3152</v>
      </c>
      <c r="AS249" s="340" t="s">
        <v>588</v>
      </c>
      <c r="AT249" s="340">
        <v>208773</v>
      </c>
      <c r="AU249" s="340" t="s">
        <v>652</v>
      </c>
      <c r="AV249" s="343">
        <v>0.375</v>
      </c>
      <c r="AW249" s="343">
        <v>0.58333333333333337</v>
      </c>
      <c r="AX249" s="340" t="s">
        <v>463</v>
      </c>
      <c r="AY249" s="340" t="s">
        <v>464</v>
      </c>
    </row>
    <row r="250" spans="1:51" x14ac:dyDescent="0.25">
      <c r="A250" s="339" t="s">
        <v>441</v>
      </c>
      <c r="B250" s="339" t="s">
        <v>442</v>
      </c>
      <c r="C250" s="339" t="s">
        <v>443</v>
      </c>
      <c r="D250" s="339">
        <v>3</v>
      </c>
      <c r="E250" s="339">
        <v>3</v>
      </c>
      <c r="F250" s="339">
        <v>6.5</v>
      </c>
      <c r="G250" s="340">
        <v>2050810200</v>
      </c>
      <c r="H250" s="346">
        <v>508102</v>
      </c>
      <c r="I250" s="348">
        <v>63</v>
      </c>
      <c r="J250" s="341">
        <v>38</v>
      </c>
      <c r="K250" s="341">
        <v>58</v>
      </c>
      <c r="L250" s="348">
        <f t="shared" si="12"/>
        <v>96</v>
      </c>
      <c r="M250" s="341">
        <v>508</v>
      </c>
      <c r="N250" s="340" t="s">
        <v>1357</v>
      </c>
      <c r="O250" s="340">
        <v>1</v>
      </c>
      <c r="P250" s="340" t="s">
        <v>1358</v>
      </c>
      <c r="Q250" s="340" t="s">
        <v>0</v>
      </c>
      <c r="R250" s="340" t="s">
        <v>446</v>
      </c>
      <c r="S250" s="340" t="s">
        <v>447</v>
      </c>
      <c r="T250" s="340">
        <v>2</v>
      </c>
      <c r="U250" s="340" t="s">
        <v>0</v>
      </c>
      <c r="V250" s="340" t="s">
        <v>448</v>
      </c>
      <c r="W250" s="340" t="s">
        <v>0</v>
      </c>
      <c r="X250" s="340" t="s">
        <v>508</v>
      </c>
      <c r="Y250" s="340" t="s">
        <v>0</v>
      </c>
      <c r="Z250" s="340" t="s">
        <v>1359</v>
      </c>
      <c r="AA250" s="340" t="s">
        <v>0</v>
      </c>
      <c r="AB250" s="340" t="s">
        <v>1360</v>
      </c>
      <c r="AC250" s="340" t="s">
        <v>0</v>
      </c>
      <c r="AD250" s="340">
        <v>70730</v>
      </c>
      <c r="AE250" s="340" t="s">
        <v>452</v>
      </c>
      <c r="AF250" s="340" t="s">
        <v>453</v>
      </c>
      <c r="AG250" s="340" t="s">
        <v>447</v>
      </c>
      <c r="AH250" s="342">
        <v>45337</v>
      </c>
      <c r="AI250" s="340" t="s">
        <v>454</v>
      </c>
      <c r="AJ250" s="340" t="s">
        <v>455</v>
      </c>
      <c r="AK250" s="340" t="s">
        <v>456</v>
      </c>
      <c r="AL250" s="340" t="s">
        <v>457</v>
      </c>
      <c r="AM250" s="340">
        <v>6</v>
      </c>
      <c r="AN250" s="340" t="s">
        <v>458</v>
      </c>
      <c r="AO250" s="340" t="s">
        <v>459</v>
      </c>
      <c r="AP250" s="340">
        <v>3</v>
      </c>
      <c r="AQ250" s="340" t="s">
        <v>460</v>
      </c>
      <c r="AR250" s="340">
        <v>3148</v>
      </c>
      <c r="AS250" s="340" t="s">
        <v>484</v>
      </c>
      <c r="AT250" s="340">
        <v>208935</v>
      </c>
      <c r="AU250" s="340" t="s">
        <v>506</v>
      </c>
      <c r="AV250" s="343">
        <v>0.375</v>
      </c>
      <c r="AW250" s="343">
        <v>0.58333333333333337</v>
      </c>
      <c r="AX250" s="340" t="s">
        <v>463</v>
      </c>
      <c r="AY250" s="340" t="s">
        <v>464</v>
      </c>
    </row>
    <row r="251" spans="1:51" x14ac:dyDescent="0.25">
      <c r="A251" s="339" t="s">
        <v>441</v>
      </c>
      <c r="B251" s="339" t="s">
        <v>442</v>
      </c>
      <c r="C251" s="339" t="s">
        <v>443</v>
      </c>
      <c r="D251" s="339">
        <v>4</v>
      </c>
      <c r="E251" s="339">
        <v>1</v>
      </c>
      <c r="F251" s="339">
        <v>6.5</v>
      </c>
      <c r="G251" s="340">
        <v>2051010200</v>
      </c>
      <c r="H251" s="346">
        <v>510102</v>
      </c>
      <c r="I251" s="348">
        <v>56</v>
      </c>
      <c r="J251" s="341">
        <v>19</v>
      </c>
      <c r="K251" s="341">
        <v>45</v>
      </c>
      <c r="L251" s="348">
        <f t="shared" si="12"/>
        <v>64</v>
      </c>
      <c r="M251" s="341">
        <v>510</v>
      </c>
      <c r="N251" s="340" t="s">
        <v>1361</v>
      </c>
      <c r="O251" s="340">
        <v>1</v>
      </c>
      <c r="P251" s="340" t="s">
        <v>1362</v>
      </c>
      <c r="Q251" s="340" t="s">
        <v>0</v>
      </c>
      <c r="R251" s="340" t="s">
        <v>446</v>
      </c>
      <c r="S251" s="340" t="s">
        <v>447</v>
      </c>
      <c r="T251" s="340">
        <v>2</v>
      </c>
      <c r="U251" s="340" t="s">
        <v>0</v>
      </c>
      <c r="V251" s="340" t="s">
        <v>448</v>
      </c>
      <c r="W251" s="340" t="s">
        <v>0</v>
      </c>
      <c r="X251" s="340" t="s">
        <v>1363</v>
      </c>
      <c r="Y251" s="340" t="s">
        <v>0</v>
      </c>
      <c r="Z251" s="340" t="s">
        <v>1364</v>
      </c>
      <c r="AA251" s="340" t="s">
        <v>0</v>
      </c>
      <c r="AB251" s="340" t="s">
        <v>1365</v>
      </c>
      <c r="AC251" s="340" t="s">
        <v>0</v>
      </c>
      <c r="AD251" s="340">
        <v>71146</v>
      </c>
      <c r="AE251" s="340" t="s">
        <v>452</v>
      </c>
      <c r="AF251" s="340" t="s">
        <v>453</v>
      </c>
      <c r="AG251" s="340" t="s">
        <v>447</v>
      </c>
      <c r="AH251" s="342">
        <v>44144</v>
      </c>
      <c r="AI251" s="340" t="s">
        <v>454</v>
      </c>
      <c r="AJ251" s="340" t="s">
        <v>455</v>
      </c>
      <c r="AK251" s="340" t="s">
        <v>456</v>
      </c>
      <c r="AL251" s="340" t="s">
        <v>457</v>
      </c>
      <c r="AM251" s="340">
        <v>6</v>
      </c>
      <c r="AN251" s="340" t="s">
        <v>458</v>
      </c>
      <c r="AO251" s="340" t="s">
        <v>459</v>
      </c>
      <c r="AP251" s="340">
        <v>3</v>
      </c>
      <c r="AQ251" s="340" t="s">
        <v>460</v>
      </c>
      <c r="AR251" s="340">
        <v>3150</v>
      </c>
      <c r="AS251" s="340" t="s">
        <v>706</v>
      </c>
      <c r="AT251" s="340">
        <v>1</v>
      </c>
      <c r="AU251" s="340" t="s">
        <v>462</v>
      </c>
      <c r="AV251" s="343">
        <v>0.375</v>
      </c>
      <c r="AW251" s="343">
        <v>0.54166666666666663</v>
      </c>
      <c r="AX251" s="340" t="s">
        <v>463</v>
      </c>
      <c r="AY251" s="340" t="s">
        <v>464</v>
      </c>
    </row>
    <row r="252" spans="1:51" x14ac:dyDescent="0.25">
      <c r="A252" s="339" t="s">
        <v>441</v>
      </c>
      <c r="B252" s="339" t="s">
        <v>442</v>
      </c>
      <c r="C252" s="339" t="s">
        <v>469</v>
      </c>
      <c r="D252" s="339">
        <v>3</v>
      </c>
      <c r="E252" s="339">
        <v>2</v>
      </c>
      <c r="F252" s="339">
        <v>6.5</v>
      </c>
      <c r="G252" s="340">
        <v>2051510100</v>
      </c>
      <c r="H252" s="346">
        <v>515101</v>
      </c>
      <c r="I252" s="348">
        <v>135</v>
      </c>
      <c r="J252" s="341">
        <v>85</v>
      </c>
      <c r="K252" s="341">
        <v>117</v>
      </c>
      <c r="L252" s="348">
        <f t="shared" si="12"/>
        <v>202</v>
      </c>
      <c r="M252" s="341">
        <v>515</v>
      </c>
      <c r="N252" s="340" t="s">
        <v>745</v>
      </c>
      <c r="O252" s="340">
        <v>10</v>
      </c>
      <c r="P252" s="340" t="s">
        <v>1366</v>
      </c>
      <c r="Q252" s="340" t="s">
        <v>0</v>
      </c>
      <c r="R252" s="340" t="s">
        <v>446</v>
      </c>
      <c r="S252" s="340" t="s">
        <v>447</v>
      </c>
      <c r="T252" s="340">
        <v>2</v>
      </c>
      <c r="U252" s="340" t="s">
        <v>0</v>
      </c>
      <c r="V252" s="340" t="s">
        <v>448</v>
      </c>
      <c r="W252" s="340" t="s">
        <v>0</v>
      </c>
      <c r="X252" s="340" t="s">
        <v>1367</v>
      </c>
      <c r="Y252" s="340" t="s">
        <v>0</v>
      </c>
      <c r="Z252" s="340" t="s">
        <v>1368</v>
      </c>
      <c r="AA252" s="340" t="s">
        <v>0</v>
      </c>
      <c r="AB252" s="340" t="s">
        <v>1369</v>
      </c>
      <c r="AC252" s="340" t="s">
        <v>0</v>
      </c>
      <c r="AD252" s="340">
        <v>70760</v>
      </c>
      <c r="AE252" s="340" t="s">
        <v>452</v>
      </c>
      <c r="AF252" s="340" t="s">
        <v>453</v>
      </c>
      <c r="AG252" s="340" t="s">
        <v>447</v>
      </c>
      <c r="AH252" s="342">
        <v>37799</v>
      </c>
      <c r="AI252" s="340" t="s">
        <v>454</v>
      </c>
      <c r="AJ252" s="340" t="s">
        <v>455</v>
      </c>
      <c r="AK252" s="340" t="s">
        <v>456</v>
      </c>
      <c r="AL252" s="340" t="s">
        <v>457</v>
      </c>
      <c r="AM252" s="340">
        <v>6</v>
      </c>
      <c r="AN252" s="340" t="s">
        <v>458</v>
      </c>
      <c r="AO252" s="340" t="s">
        <v>459</v>
      </c>
      <c r="AP252" s="340">
        <v>3</v>
      </c>
      <c r="AQ252" s="340" t="s">
        <v>460</v>
      </c>
      <c r="AR252" s="340">
        <v>3692</v>
      </c>
      <c r="AS252" s="340" t="s">
        <v>538</v>
      </c>
      <c r="AT252" s="340">
        <v>1</v>
      </c>
      <c r="AU252" s="340" t="s">
        <v>462</v>
      </c>
      <c r="AV252" s="343">
        <v>0.375</v>
      </c>
      <c r="AW252" s="343">
        <v>0.58333333333333337</v>
      </c>
      <c r="AX252" s="340" t="s">
        <v>463</v>
      </c>
      <c r="AY252" s="340" t="s">
        <v>464</v>
      </c>
    </row>
    <row r="253" spans="1:51" x14ac:dyDescent="0.25">
      <c r="A253" s="339" t="s">
        <v>441</v>
      </c>
      <c r="B253" s="339" t="s">
        <v>442</v>
      </c>
      <c r="C253" s="339" t="s">
        <v>443</v>
      </c>
      <c r="D253" s="339">
        <v>3</v>
      </c>
      <c r="E253" s="339">
        <v>2</v>
      </c>
      <c r="F253" s="339">
        <v>6.5</v>
      </c>
      <c r="G253" s="340">
        <v>2051511700</v>
      </c>
      <c r="H253" s="346">
        <v>515117</v>
      </c>
      <c r="I253" s="348">
        <v>82</v>
      </c>
      <c r="J253" s="341">
        <v>41</v>
      </c>
      <c r="K253" s="341">
        <v>45</v>
      </c>
      <c r="L253" s="348">
        <f t="shared" si="12"/>
        <v>86</v>
      </c>
      <c r="M253" s="341">
        <v>515</v>
      </c>
      <c r="N253" s="340" t="s">
        <v>745</v>
      </c>
      <c r="O253" s="340">
        <v>19</v>
      </c>
      <c r="P253" s="340" t="s">
        <v>1370</v>
      </c>
      <c r="Q253" s="340" t="s">
        <v>0</v>
      </c>
      <c r="R253" s="340" t="s">
        <v>446</v>
      </c>
      <c r="S253" s="340" t="s">
        <v>447</v>
      </c>
      <c r="T253" s="340">
        <v>2</v>
      </c>
      <c r="U253" s="340" t="s">
        <v>0</v>
      </c>
      <c r="V253" s="340" t="s">
        <v>448</v>
      </c>
      <c r="W253" s="340" t="s">
        <v>0</v>
      </c>
      <c r="X253" s="340" t="s">
        <v>645</v>
      </c>
      <c r="Y253" s="340" t="s">
        <v>0</v>
      </c>
      <c r="Z253" s="340" t="s">
        <v>1371</v>
      </c>
      <c r="AA253" s="340" t="s">
        <v>0</v>
      </c>
      <c r="AB253" s="340" t="s">
        <v>1372</v>
      </c>
      <c r="AC253" s="340" t="s">
        <v>0</v>
      </c>
      <c r="AD253" s="340">
        <v>70766</v>
      </c>
      <c r="AE253" s="340" t="s">
        <v>452</v>
      </c>
      <c r="AF253" s="340" t="s">
        <v>453</v>
      </c>
      <c r="AG253" s="340" t="s">
        <v>447</v>
      </c>
      <c r="AH253" s="342">
        <v>44792</v>
      </c>
      <c r="AI253" s="340" t="s">
        <v>454</v>
      </c>
      <c r="AJ253" s="340" t="s">
        <v>455</v>
      </c>
      <c r="AK253" s="340" t="s">
        <v>456</v>
      </c>
      <c r="AL253" s="340" t="s">
        <v>457</v>
      </c>
      <c r="AM253" s="340">
        <v>6</v>
      </c>
      <c r="AN253" s="340" t="s">
        <v>458</v>
      </c>
      <c r="AO253" s="340" t="s">
        <v>459</v>
      </c>
      <c r="AP253" s="340">
        <v>3</v>
      </c>
      <c r="AQ253" s="340" t="s">
        <v>460</v>
      </c>
      <c r="AR253" s="340">
        <v>3692</v>
      </c>
      <c r="AS253" s="340" t="s">
        <v>538</v>
      </c>
      <c r="AT253" s="340">
        <v>1</v>
      </c>
      <c r="AU253" s="340" t="s">
        <v>462</v>
      </c>
      <c r="AV253" s="343">
        <v>0.375</v>
      </c>
      <c r="AW253" s="343">
        <v>0.58333333333333337</v>
      </c>
      <c r="AX253" s="340" t="s">
        <v>463</v>
      </c>
      <c r="AY253" s="340" t="s">
        <v>464</v>
      </c>
    </row>
    <row r="254" spans="1:51" x14ac:dyDescent="0.25">
      <c r="A254" s="339" t="s">
        <v>441</v>
      </c>
      <c r="B254" s="339" t="s">
        <v>442</v>
      </c>
      <c r="C254" s="339" t="s">
        <v>443</v>
      </c>
      <c r="D254" s="339">
        <v>4</v>
      </c>
      <c r="E254" s="339">
        <v>10</v>
      </c>
      <c r="F254" s="339">
        <v>6.5</v>
      </c>
      <c r="G254" s="340">
        <v>2052010200</v>
      </c>
      <c r="H254" s="346">
        <v>520102</v>
      </c>
      <c r="I254" s="348">
        <v>137</v>
      </c>
      <c r="J254" s="341">
        <v>73</v>
      </c>
      <c r="K254" s="341">
        <v>161</v>
      </c>
      <c r="L254" s="348">
        <f t="shared" si="12"/>
        <v>234</v>
      </c>
      <c r="M254" s="341">
        <v>520</v>
      </c>
      <c r="N254" s="340" t="s">
        <v>1373</v>
      </c>
      <c r="O254" s="340">
        <v>1</v>
      </c>
      <c r="P254" s="340" t="s">
        <v>1374</v>
      </c>
      <c r="Q254" s="340" t="s">
        <v>0</v>
      </c>
      <c r="R254" s="340" t="s">
        <v>446</v>
      </c>
      <c r="S254" s="340" t="s">
        <v>447</v>
      </c>
      <c r="T254" s="340">
        <v>3</v>
      </c>
      <c r="U254" s="340" t="s">
        <v>0</v>
      </c>
      <c r="V254" s="340" t="s">
        <v>472</v>
      </c>
      <c r="W254" s="340" t="s">
        <v>0</v>
      </c>
      <c r="X254" s="340" t="s">
        <v>1375</v>
      </c>
      <c r="Y254" s="340" t="s">
        <v>0</v>
      </c>
      <c r="Z254" s="340" t="s">
        <v>450</v>
      </c>
      <c r="AA254" s="340" t="s">
        <v>0</v>
      </c>
      <c r="AB254" s="340" t="s">
        <v>1376</v>
      </c>
      <c r="AC254" s="340" t="s">
        <v>0</v>
      </c>
      <c r="AD254" s="340">
        <v>69290</v>
      </c>
      <c r="AE254" s="340" t="s">
        <v>452</v>
      </c>
      <c r="AF254" s="340" t="s">
        <v>453</v>
      </c>
      <c r="AG254" s="340" t="s">
        <v>447</v>
      </c>
      <c r="AH254" s="342">
        <v>42706</v>
      </c>
      <c r="AI254" s="340" t="s">
        <v>454</v>
      </c>
      <c r="AJ254" s="340" t="s">
        <v>455</v>
      </c>
      <c r="AK254" s="340" t="s">
        <v>456</v>
      </c>
      <c r="AL254" s="340" t="s">
        <v>457</v>
      </c>
      <c r="AM254" s="340">
        <v>6</v>
      </c>
      <c r="AN254" s="340" t="s">
        <v>458</v>
      </c>
      <c r="AO254" s="340" t="s">
        <v>459</v>
      </c>
      <c r="AP254" s="340">
        <v>3</v>
      </c>
      <c r="AQ254" s="340" t="s">
        <v>460</v>
      </c>
      <c r="AR254" s="340">
        <v>3153</v>
      </c>
      <c r="AS254" s="340" t="s">
        <v>514</v>
      </c>
      <c r="AT254" s="340">
        <v>1</v>
      </c>
      <c r="AU254" s="340" t="s">
        <v>462</v>
      </c>
      <c r="AV254" s="343">
        <v>0.375</v>
      </c>
      <c r="AW254" s="343">
        <v>0.58333333333333337</v>
      </c>
      <c r="AX254" s="340" t="s">
        <v>463</v>
      </c>
      <c r="AY254" s="340" t="s">
        <v>464</v>
      </c>
    </row>
    <row r="255" spans="1:51" x14ac:dyDescent="0.25">
      <c r="A255" s="339" t="s">
        <v>441</v>
      </c>
      <c r="B255" s="339" t="s">
        <v>442</v>
      </c>
      <c r="C255" s="339" t="s">
        <v>443</v>
      </c>
      <c r="D255" s="339">
        <v>3</v>
      </c>
      <c r="E255" s="339">
        <v>5</v>
      </c>
      <c r="F255" s="339">
        <v>6.5</v>
      </c>
      <c r="G255" s="340">
        <v>2052510200</v>
      </c>
      <c r="H255" s="346">
        <v>525102</v>
      </c>
      <c r="I255" s="348">
        <v>241</v>
      </c>
      <c r="J255" s="341">
        <v>127</v>
      </c>
      <c r="K255" s="341">
        <v>235</v>
      </c>
      <c r="L255" s="348">
        <f t="shared" si="12"/>
        <v>362</v>
      </c>
      <c r="M255" s="341">
        <v>525</v>
      </c>
      <c r="N255" s="340" t="s">
        <v>1377</v>
      </c>
      <c r="O255" s="340">
        <v>1</v>
      </c>
      <c r="P255" s="340" t="s">
        <v>1377</v>
      </c>
      <c r="Q255" s="340" t="s">
        <v>0</v>
      </c>
      <c r="R255" s="340" t="s">
        <v>446</v>
      </c>
      <c r="S255" s="340" t="s">
        <v>447</v>
      </c>
      <c r="T255" s="340">
        <v>2</v>
      </c>
      <c r="U255" s="340" t="s">
        <v>0</v>
      </c>
      <c r="V255" s="340" t="s">
        <v>448</v>
      </c>
      <c r="W255" s="340" t="s">
        <v>0</v>
      </c>
      <c r="X255" s="340" t="s">
        <v>1378</v>
      </c>
      <c r="Y255" s="340" t="s">
        <v>0</v>
      </c>
      <c r="Z255" s="340" t="s">
        <v>450</v>
      </c>
      <c r="AA255" s="340" t="s">
        <v>0</v>
      </c>
      <c r="AB255" s="340" t="s">
        <v>1379</v>
      </c>
      <c r="AC255" s="340" t="s">
        <v>0</v>
      </c>
      <c r="AD255" s="340">
        <v>70160</v>
      </c>
      <c r="AE255" s="340" t="s">
        <v>452</v>
      </c>
      <c r="AF255" s="340" t="s">
        <v>453</v>
      </c>
      <c r="AG255" s="340" t="s">
        <v>447</v>
      </c>
      <c r="AH255" s="342">
        <v>41822</v>
      </c>
      <c r="AI255" s="340" t="s">
        <v>454</v>
      </c>
      <c r="AJ255" s="340" t="s">
        <v>455</v>
      </c>
      <c r="AK255" s="340" t="s">
        <v>456</v>
      </c>
      <c r="AL255" s="340" t="s">
        <v>457</v>
      </c>
      <c r="AM255" s="340">
        <v>6</v>
      </c>
      <c r="AN255" s="340" t="s">
        <v>458</v>
      </c>
      <c r="AO255" s="340" t="s">
        <v>459</v>
      </c>
      <c r="AP255" s="340">
        <v>3</v>
      </c>
      <c r="AQ255" s="340" t="s">
        <v>460</v>
      </c>
      <c r="AR255" s="340">
        <v>3152</v>
      </c>
      <c r="AS255" s="340" t="s">
        <v>588</v>
      </c>
      <c r="AT255" s="340">
        <v>1</v>
      </c>
      <c r="AU255" s="340" t="s">
        <v>462</v>
      </c>
      <c r="AV255" s="343">
        <v>0.33333333333333331</v>
      </c>
      <c r="AW255" s="343">
        <v>0.58333333333333337</v>
      </c>
      <c r="AX255" s="340" t="s">
        <v>463</v>
      </c>
      <c r="AY255" s="340" t="s">
        <v>464</v>
      </c>
    </row>
    <row r="256" spans="1:51" x14ac:dyDescent="0.25">
      <c r="A256" s="339" t="s">
        <v>441</v>
      </c>
      <c r="B256" s="339" t="s">
        <v>442</v>
      </c>
      <c r="C256" s="339" t="s">
        <v>443</v>
      </c>
      <c r="D256" s="339">
        <v>3</v>
      </c>
      <c r="E256" s="339">
        <v>5</v>
      </c>
      <c r="F256" s="339">
        <v>6.5</v>
      </c>
      <c r="G256" s="340">
        <v>2052510500</v>
      </c>
      <c r="H256" s="346">
        <v>525105</v>
      </c>
      <c r="I256" s="348">
        <v>91</v>
      </c>
      <c r="J256" s="341">
        <v>36</v>
      </c>
      <c r="K256" s="341">
        <v>75</v>
      </c>
      <c r="L256" s="348">
        <f t="shared" si="12"/>
        <v>111</v>
      </c>
      <c r="M256" s="341">
        <v>525</v>
      </c>
      <c r="N256" s="340" t="s">
        <v>1377</v>
      </c>
      <c r="O256" s="340">
        <v>7</v>
      </c>
      <c r="P256" s="340" t="s">
        <v>1380</v>
      </c>
      <c r="Q256" s="340" t="s">
        <v>0</v>
      </c>
      <c r="R256" s="340" t="s">
        <v>446</v>
      </c>
      <c r="S256" s="340" t="s">
        <v>447</v>
      </c>
      <c r="T256" s="340">
        <v>2</v>
      </c>
      <c r="U256" s="340" t="s">
        <v>0</v>
      </c>
      <c r="V256" s="340" t="s">
        <v>448</v>
      </c>
      <c r="W256" s="340" t="s">
        <v>0</v>
      </c>
      <c r="X256" s="340" t="s">
        <v>1381</v>
      </c>
      <c r="Y256" s="340" t="s">
        <v>0</v>
      </c>
      <c r="Z256" s="340" t="s">
        <v>1382</v>
      </c>
      <c r="AA256" s="340" t="s">
        <v>0</v>
      </c>
      <c r="AB256" s="340" t="s">
        <v>1383</v>
      </c>
      <c r="AC256" s="340" t="s">
        <v>0</v>
      </c>
      <c r="AD256" s="340">
        <v>70165</v>
      </c>
      <c r="AE256" s="340" t="s">
        <v>452</v>
      </c>
      <c r="AF256" s="340" t="s">
        <v>453</v>
      </c>
      <c r="AG256" s="340" t="s">
        <v>447</v>
      </c>
      <c r="AH256" s="342">
        <v>45954</v>
      </c>
      <c r="AI256" s="340" t="s">
        <v>454</v>
      </c>
      <c r="AJ256" s="340" t="s">
        <v>455</v>
      </c>
      <c r="AK256" s="340" t="s">
        <v>456</v>
      </c>
      <c r="AL256" s="340" t="s">
        <v>457</v>
      </c>
      <c r="AM256" s="340">
        <v>6</v>
      </c>
      <c r="AN256" s="340" t="s">
        <v>458</v>
      </c>
      <c r="AO256" s="340" t="s">
        <v>459</v>
      </c>
      <c r="AP256" s="340">
        <v>3</v>
      </c>
      <c r="AQ256" s="340" t="s">
        <v>460</v>
      </c>
      <c r="AR256" s="340">
        <v>3152</v>
      </c>
      <c r="AS256" s="340" t="s">
        <v>588</v>
      </c>
      <c r="AT256" s="340">
        <v>208653</v>
      </c>
      <c r="AU256" s="340" t="s">
        <v>495</v>
      </c>
      <c r="AV256" s="343">
        <v>0.375</v>
      </c>
      <c r="AW256" s="343">
        <v>0.58333333333333337</v>
      </c>
      <c r="AX256" s="340" t="s">
        <v>463</v>
      </c>
      <c r="AY256" s="340" t="s">
        <v>464</v>
      </c>
    </row>
    <row r="257" spans="1:51" x14ac:dyDescent="0.25">
      <c r="A257" s="339" t="s">
        <v>441</v>
      </c>
      <c r="B257" s="339" t="s">
        <v>442</v>
      </c>
      <c r="C257" s="339" t="s">
        <v>443</v>
      </c>
      <c r="D257" s="339">
        <v>4</v>
      </c>
      <c r="E257" s="339">
        <v>2</v>
      </c>
      <c r="F257" s="339">
        <v>6.5</v>
      </c>
      <c r="G257" s="340">
        <v>2053210100</v>
      </c>
      <c r="H257" s="346">
        <v>532101</v>
      </c>
      <c r="I257" s="348">
        <v>108</v>
      </c>
      <c r="J257" s="341">
        <v>81</v>
      </c>
      <c r="K257" s="341">
        <v>68</v>
      </c>
      <c r="L257" s="348">
        <f t="shared" ref="L257:L273" si="13">J257+K257</f>
        <v>149</v>
      </c>
      <c r="M257" s="341">
        <v>532</v>
      </c>
      <c r="N257" s="340" t="s">
        <v>1384</v>
      </c>
      <c r="O257" s="340">
        <v>1</v>
      </c>
      <c r="P257" s="340" t="s">
        <v>1385</v>
      </c>
      <c r="Q257" s="340" t="s">
        <v>0</v>
      </c>
      <c r="R257" s="340" t="s">
        <v>446</v>
      </c>
      <c r="S257" s="340" t="s">
        <v>447</v>
      </c>
      <c r="T257" s="340">
        <v>2</v>
      </c>
      <c r="U257" s="340" t="s">
        <v>0</v>
      </c>
      <c r="V257" s="340" t="s">
        <v>448</v>
      </c>
      <c r="W257" s="340" t="s">
        <v>0</v>
      </c>
      <c r="X257" s="340" t="s">
        <v>508</v>
      </c>
      <c r="Y257" s="340" t="s">
        <v>0</v>
      </c>
      <c r="Z257" s="340" t="s">
        <v>1386</v>
      </c>
      <c r="AA257" s="340" t="s">
        <v>0</v>
      </c>
      <c r="AB257" s="340" t="s">
        <v>1387</v>
      </c>
      <c r="AC257" s="340" t="s">
        <v>0</v>
      </c>
      <c r="AD257" s="340">
        <v>69867</v>
      </c>
      <c r="AE257" s="340" t="s">
        <v>452</v>
      </c>
      <c r="AF257" s="340" t="s">
        <v>453</v>
      </c>
      <c r="AG257" s="340" t="s">
        <v>447</v>
      </c>
      <c r="AH257" s="342">
        <v>43410</v>
      </c>
      <c r="AI257" s="340" t="s">
        <v>454</v>
      </c>
      <c r="AJ257" s="340" t="s">
        <v>455</v>
      </c>
      <c r="AK257" s="340" t="s">
        <v>456</v>
      </c>
      <c r="AL257" s="340" t="s">
        <v>457</v>
      </c>
      <c r="AM257" s="340">
        <v>6</v>
      </c>
      <c r="AN257" s="340" t="s">
        <v>458</v>
      </c>
      <c r="AO257" s="340" t="s">
        <v>459</v>
      </c>
      <c r="AP257" s="340">
        <v>3</v>
      </c>
      <c r="AQ257" s="340" t="s">
        <v>460</v>
      </c>
      <c r="AR257" s="340">
        <v>3073</v>
      </c>
      <c r="AS257" s="340" t="s">
        <v>591</v>
      </c>
      <c r="AT257" s="340">
        <v>1</v>
      </c>
      <c r="AU257" s="340" t="s">
        <v>462</v>
      </c>
      <c r="AV257" s="343">
        <v>0.375</v>
      </c>
      <c r="AW257" s="343">
        <v>0.54166666666666663</v>
      </c>
      <c r="AX257" s="340" t="s">
        <v>463</v>
      </c>
      <c r="AY257" s="340" t="s">
        <v>464</v>
      </c>
    </row>
    <row r="258" spans="1:51" x14ac:dyDescent="0.25">
      <c r="A258" s="339" t="s">
        <v>441</v>
      </c>
      <c r="B258" s="339" t="s">
        <v>442</v>
      </c>
      <c r="C258" s="339" t="s">
        <v>443</v>
      </c>
      <c r="D258" s="339">
        <v>4</v>
      </c>
      <c r="E258" s="339">
        <v>3</v>
      </c>
      <c r="F258" s="339">
        <v>6.5</v>
      </c>
      <c r="G258" s="340">
        <v>2053610200</v>
      </c>
      <c r="H258" s="346">
        <v>536102</v>
      </c>
      <c r="I258" s="348">
        <v>35</v>
      </c>
      <c r="J258" s="341">
        <v>12</v>
      </c>
      <c r="K258" s="341">
        <v>40</v>
      </c>
      <c r="L258" s="348">
        <f t="shared" si="13"/>
        <v>52</v>
      </c>
      <c r="M258" s="341">
        <v>536</v>
      </c>
      <c r="N258" s="340" t="s">
        <v>1388</v>
      </c>
      <c r="O258" s="340">
        <v>1</v>
      </c>
      <c r="P258" s="340" t="s">
        <v>1389</v>
      </c>
      <c r="Q258" s="340" t="s">
        <v>0</v>
      </c>
      <c r="R258" s="340" t="s">
        <v>446</v>
      </c>
      <c r="S258" s="340" t="s">
        <v>447</v>
      </c>
      <c r="T258" s="340">
        <v>2</v>
      </c>
      <c r="U258" s="340" t="s">
        <v>0</v>
      </c>
      <c r="V258" s="340" t="s">
        <v>448</v>
      </c>
      <c r="W258" s="340" t="s">
        <v>0</v>
      </c>
      <c r="X258" s="340" t="s">
        <v>1390</v>
      </c>
      <c r="Y258" s="340" t="s">
        <v>0</v>
      </c>
      <c r="Z258" s="340" t="s">
        <v>631</v>
      </c>
      <c r="AA258" s="340" t="s">
        <v>0</v>
      </c>
      <c r="AB258" s="340" t="s">
        <v>1391</v>
      </c>
      <c r="AC258" s="340" t="s">
        <v>0</v>
      </c>
      <c r="AD258" s="340">
        <v>69585</v>
      </c>
      <c r="AE258" s="340" t="s">
        <v>452</v>
      </c>
      <c r="AF258" s="340" t="s">
        <v>453</v>
      </c>
      <c r="AG258" s="340" t="s">
        <v>447</v>
      </c>
      <c r="AH258" s="342">
        <v>43018</v>
      </c>
      <c r="AI258" s="340" t="s">
        <v>454</v>
      </c>
      <c r="AJ258" s="340" t="s">
        <v>455</v>
      </c>
      <c r="AK258" s="340" t="s">
        <v>456</v>
      </c>
      <c r="AL258" s="340" t="s">
        <v>457</v>
      </c>
      <c r="AM258" s="340">
        <v>6</v>
      </c>
      <c r="AN258" s="340" t="s">
        <v>458</v>
      </c>
      <c r="AO258" s="340" t="s">
        <v>459</v>
      </c>
      <c r="AP258" s="340">
        <v>3</v>
      </c>
      <c r="AQ258" s="340" t="s">
        <v>460</v>
      </c>
      <c r="AR258" s="340">
        <v>3151</v>
      </c>
      <c r="AS258" s="340" t="s">
        <v>715</v>
      </c>
      <c r="AT258" s="340">
        <v>1</v>
      </c>
      <c r="AU258" s="340" t="s">
        <v>462</v>
      </c>
      <c r="AV258" s="343">
        <v>0.375</v>
      </c>
      <c r="AW258" s="343">
        <v>0.54166666666666663</v>
      </c>
      <c r="AX258" s="340" t="s">
        <v>463</v>
      </c>
      <c r="AY258" s="340" t="s">
        <v>464</v>
      </c>
    </row>
    <row r="259" spans="1:51" x14ac:dyDescent="0.25">
      <c r="A259" s="339" t="s">
        <v>441</v>
      </c>
      <c r="B259" s="339" t="s">
        <v>442</v>
      </c>
      <c r="C259" s="339" t="s">
        <v>443</v>
      </c>
      <c r="D259" s="339">
        <v>6</v>
      </c>
      <c r="E259" s="339">
        <v>1</v>
      </c>
      <c r="F259" s="339">
        <v>6.5</v>
      </c>
      <c r="G259" s="340">
        <v>2054110100</v>
      </c>
      <c r="H259" s="346">
        <v>541101</v>
      </c>
      <c r="I259" s="348">
        <v>68</v>
      </c>
      <c r="J259" s="341">
        <v>35</v>
      </c>
      <c r="K259" s="341">
        <v>54</v>
      </c>
      <c r="L259" s="348">
        <f t="shared" si="13"/>
        <v>89</v>
      </c>
      <c r="M259" s="341">
        <v>541</v>
      </c>
      <c r="N259" s="340" t="s">
        <v>1392</v>
      </c>
      <c r="O259" s="340">
        <v>1</v>
      </c>
      <c r="P259" s="340" t="s">
        <v>1392</v>
      </c>
      <c r="Q259" s="340" t="s">
        <v>0</v>
      </c>
      <c r="R259" s="340" t="s">
        <v>446</v>
      </c>
      <c r="S259" s="340" t="s">
        <v>447</v>
      </c>
      <c r="T259" s="340">
        <v>2</v>
      </c>
      <c r="U259" s="340" t="s">
        <v>0</v>
      </c>
      <c r="V259" s="340" t="s">
        <v>448</v>
      </c>
      <c r="W259" s="340" t="s">
        <v>0</v>
      </c>
      <c r="X259" s="340" t="s">
        <v>516</v>
      </c>
      <c r="Y259" s="340" t="s">
        <v>0</v>
      </c>
      <c r="Z259" s="340" t="s">
        <v>1393</v>
      </c>
      <c r="AA259" s="340" t="s">
        <v>0</v>
      </c>
      <c r="AB259" s="340" t="s">
        <v>466</v>
      </c>
      <c r="AC259" s="340" t="s">
        <v>0</v>
      </c>
      <c r="AD259" s="340">
        <v>68824</v>
      </c>
      <c r="AE259" s="340" t="s">
        <v>452</v>
      </c>
      <c r="AF259" s="340" t="s">
        <v>453</v>
      </c>
      <c r="AG259" s="340" t="s">
        <v>447</v>
      </c>
      <c r="AH259" s="342">
        <v>43712</v>
      </c>
      <c r="AI259" s="340" t="s">
        <v>454</v>
      </c>
      <c r="AJ259" s="340" t="s">
        <v>455</v>
      </c>
      <c r="AK259" s="340" t="s">
        <v>456</v>
      </c>
      <c r="AL259" s="340" t="s">
        <v>457</v>
      </c>
      <c r="AM259" s="340">
        <v>6</v>
      </c>
      <c r="AN259" s="340" t="s">
        <v>458</v>
      </c>
      <c r="AO259" s="340" t="s">
        <v>459</v>
      </c>
      <c r="AP259" s="340">
        <v>3</v>
      </c>
      <c r="AQ259" s="340" t="s">
        <v>460</v>
      </c>
      <c r="AR259" s="340">
        <v>3032</v>
      </c>
      <c r="AS259" s="340" t="s">
        <v>578</v>
      </c>
      <c r="AT259" s="340">
        <v>1</v>
      </c>
      <c r="AU259" s="340" t="s">
        <v>462</v>
      </c>
      <c r="AV259" s="343">
        <v>0.375</v>
      </c>
      <c r="AW259" s="343">
        <v>0.58333333333333337</v>
      </c>
      <c r="AX259" s="340" t="s">
        <v>463</v>
      </c>
      <c r="AY259" s="340" t="s">
        <v>464</v>
      </c>
    </row>
    <row r="260" spans="1:51" x14ac:dyDescent="0.25">
      <c r="A260" s="339" t="s">
        <v>441</v>
      </c>
      <c r="B260" s="339" t="s">
        <v>442</v>
      </c>
      <c r="C260" s="339" t="s">
        <v>443</v>
      </c>
      <c r="D260" s="339">
        <v>1</v>
      </c>
      <c r="E260" s="339">
        <v>2</v>
      </c>
      <c r="F260" s="339">
        <v>6.5</v>
      </c>
      <c r="G260" s="340">
        <v>2054510100</v>
      </c>
      <c r="H260" s="346">
        <v>545101</v>
      </c>
      <c r="I260" s="348">
        <v>350</v>
      </c>
      <c r="J260" s="341">
        <v>171</v>
      </c>
      <c r="K260" s="341">
        <v>331</v>
      </c>
      <c r="L260" s="348">
        <f t="shared" si="13"/>
        <v>502</v>
      </c>
      <c r="M260" s="341">
        <v>545</v>
      </c>
      <c r="N260" s="340" t="s">
        <v>1394</v>
      </c>
      <c r="O260" s="340">
        <v>1</v>
      </c>
      <c r="P260" s="340" t="s">
        <v>1395</v>
      </c>
      <c r="Q260" s="340" t="s">
        <v>0</v>
      </c>
      <c r="R260" s="340" t="s">
        <v>446</v>
      </c>
      <c r="S260" s="340" t="s">
        <v>447</v>
      </c>
      <c r="T260" s="340">
        <v>3</v>
      </c>
      <c r="U260" s="340" t="s">
        <v>0</v>
      </c>
      <c r="V260" s="340" t="s">
        <v>472</v>
      </c>
      <c r="W260" s="340" t="s">
        <v>0</v>
      </c>
      <c r="X260" s="340" t="s">
        <v>1396</v>
      </c>
      <c r="Y260" s="340" t="s">
        <v>0</v>
      </c>
      <c r="Z260" s="340" t="s">
        <v>450</v>
      </c>
      <c r="AA260" s="340" t="s">
        <v>0</v>
      </c>
      <c r="AB260" s="340" t="s">
        <v>1397</v>
      </c>
      <c r="AC260" s="340" t="s">
        <v>0</v>
      </c>
      <c r="AD260" s="340">
        <v>68540</v>
      </c>
      <c r="AE260" s="340" t="s">
        <v>452</v>
      </c>
      <c r="AF260" s="340" t="s">
        <v>453</v>
      </c>
      <c r="AG260" s="340" t="s">
        <v>447</v>
      </c>
      <c r="AH260" s="342">
        <v>41625</v>
      </c>
      <c r="AI260" s="340" t="s">
        <v>454</v>
      </c>
      <c r="AJ260" s="340" t="s">
        <v>455</v>
      </c>
      <c r="AK260" s="340" t="s">
        <v>858</v>
      </c>
      <c r="AL260" s="340" t="s">
        <v>457</v>
      </c>
      <c r="AM260" s="340">
        <v>6</v>
      </c>
      <c r="AN260" s="340" t="s">
        <v>458</v>
      </c>
      <c r="AO260" s="340" t="s">
        <v>459</v>
      </c>
      <c r="AP260" s="340">
        <v>3</v>
      </c>
      <c r="AQ260" s="340" t="s">
        <v>460</v>
      </c>
      <c r="AR260" s="340">
        <v>3117</v>
      </c>
      <c r="AS260" s="340" t="s">
        <v>624</v>
      </c>
      <c r="AT260" s="340">
        <v>1</v>
      </c>
      <c r="AU260" s="340" t="s">
        <v>462</v>
      </c>
      <c r="AV260" s="343">
        <v>0.33333333333333331</v>
      </c>
      <c r="AW260" s="343">
        <v>0.58333333333333337</v>
      </c>
      <c r="AX260" s="340" t="s">
        <v>463</v>
      </c>
      <c r="AY260" s="340" t="s">
        <v>464</v>
      </c>
    </row>
    <row r="261" spans="1:51" x14ac:dyDescent="0.25">
      <c r="A261" s="339" t="s">
        <v>441</v>
      </c>
      <c r="B261" s="339" t="s">
        <v>442</v>
      </c>
      <c r="C261" s="339" t="s">
        <v>443</v>
      </c>
      <c r="D261" s="339">
        <v>4</v>
      </c>
      <c r="E261" s="339">
        <v>7</v>
      </c>
      <c r="F261" s="339">
        <v>6.5</v>
      </c>
      <c r="G261" s="340">
        <v>2054910200</v>
      </c>
      <c r="H261" s="346">
        <v>549102</v>
      </c>
      <c r="I261" s="348">
        <v>33</v>
      </c>
      <c r="J261" s="341">
        <v>27</v>
      </c>
      <c r="K261" s="341">
        <v>23</v>
      </c>
      <c r="L261" s="348">
        <f t="shared" si="13"/>
        <v>50</v>
      </c>
      <c r="M261" s="341">
        <v>549</v>
      </c>
      <c r="N261" s="340" t="s">
        <v>826</v>
      </c>
      <c r="O261" s="340">
        <v>8</v>
      </c>
      <c r="P261" s="340" t="s">
        <v>1398</v>
      </c>
      <c r="Q261" s="340" t="s">
        <v>0</v>
      </c>
      <c r="R261" s="340" t="s">
        <v>446</v>
      </c>
      <c r="S261" s="340" t="s">
        <v>447</v>
      </c>
      <c r="T261" s="340">
        <v>2</v>
      </c>
      <c r="U261" s="340" t="s">
        <v>0</v>
      </c>
      <c r="V261" s="340" t="s">
        <v>448</v>
      </c>
      <c r="W261" s="340" t="s">
        <v>0</v>
      </c>
      <c r="X261" s="340" t="s">
        <v>649</v>
      </c>
      <c r="Y261" s="340" t="s">
        <v>0</v>
      </c>
      <c r="Z261" s="340" t="s">
        <v>1399</v>
      </c>
      <c r="AA261" s="340" t="s">
        <v>0</v>
      </c>
      <c r="AB261" s="340" t="s">
        <v>1400</v>
      </c>
      <c r="AC261" s="340" t="s">
        <v>0</v>
      </c>
      <c r="AD261" s="340">
        <v>69204</v>
      </c>
      <c r="AE261" s="340" t="s">
        <v>452</v>
      </c>
      <c r="AF261" s="340" t="s">
        <v>453</v>
      </c>
      <c r="AG261" s="340" t="s">
        <v>447</v>
      </c>
      <c r="AH261" s="342">
        <v>44909</v>
      </c>
      <c r="AI261" s="340" t="s">
        <v>454</v>
      </c>
      <c r="AJ261" s="340" t="s">
        <v>455</v>
      </c>
      <c r="AK261" s="340" t="s">
        <v>456</v>
      </c>
      <c r="AL261" s="340" t="s">
        <v>457</v>
      </c>
      <c r="AM261" s="340">
        <v>6</v>
      </c>
      <c r="AN261" s="340" t="s">
        <v>458</v>
      </c>
      <c r="AO261" s="340" t="s">
        <v>459</v>
      </c>
      <c r="AP261" s="340">
        <v>3</v>
      </c>
      <c r="AQ261" s="340" t="s">
        <v>460</v>
      </c>
      <c r="AR261" s="340">
        <v>3146</v>
      </c>
      <c r="AS261" s="340" t="s">
        <v>545</v>
      </c>
      <c r="AT261" s="340">
        <v>1</v>
      </c>
      <c r="AU261" s="340" t="s">
        <v>462</v>
      </c>
      <c r="AV261" s="343">
        <v>0.375</v>
      </c>
      <c r="AW261" s="343">
        <v>0.58333333333333337</v>
      </c>
      <c r="AX261" s="340" t="s">
        <v>463</v>
      </c>
      <c r="AY261" s="340" t="s">
        <v>464</v>
      </c>
    </row>
    <row r="262" spans="1:51" x14ac:dyDescent="0.25">
      <c r="A262" s="339" t="s">
        <v>441</v>
      </c>
      <c r="B262" s="339" t="s">
        <v>442</v>
      </c>
      <c r="C262" s="339" t="s">
        <v>443</v>
      </c>
      <c r="D262" s="339">
        <v>4</v>
      </c>
      <c r="E262" s="339">
        <v>7</v>
      </c>
      <c r="F262" s="339">
        <v>6.5</v>
      </c>
      <c r="G262" s="340">
        <v>2054910300</v>
      </c>
      <c r="H262" s="346">
        <v>549103</v>
      </c>
      <c r="I262" s="348">
        <v>64</v>
      </c>
      <c r="J262" s="341">
        <v>36</v>
      </c>
      <c r="K262" s="341">
        <v>55</v>
      </c>
      <c r="L262" s="348">
        <f t="shared" si="13"/>
        <v>91</v>
      </c>
      <c r="M262" s="341">
        <v>549</v>
      </c>
      <c r="N262" s="340" t="s">
        <v>826</v>
      </c>
      <c r="O262" s="340">
        <v>12</v>
      </c>
      <c r="P262" s="340" t="s">
        <v>1401</v>
      </c>
      <c r="Q262" s="340" t="s">
        <v>0</v>
      </c>
      <c r="R262" s="340" t="s">
        <v>446</v>
      </c>
      <c r="S262" s="340" t="s">
        <v>447</v>
      </c>
      <c r="T262" s="340">
        <v>2</v>
      </c>
      <c r="U262" s="340" t="s">
        <v>0</v>
      </c>
      <c r="V262" s="340" t="s">
        <v>448</v>
      </c>
      <c r="W262" s="340" t="s">
        <v>0</v>
      </c>
      <c r="X262" s="340" t="s">
        <v>512</v>
      </c>
      <c r="Y262" s="340" t="s">
        <v>0</v>
      </c>
      <c r="Z262" s="340" t="s">
        <v>1402</v>
      </c>
      <c r="AA262" s="340" t="s">
        <v>0</v>
      </c>
      <c r="AB262" s="340" t="s">
        <v>1403</v>
      </c>
      <c r="AC262" s="340" t="s">
        <v>0</v>
      </c>
      <c r="AD262" s="340">
        <v>69205</v>
      </c>
      <c r="AE262" s="340" t="s">
        <v>452</v>
      </c>
      <c r="AF262" s="340" t="s">
        <v>453</v>
      </c>
      <c r="AG262" s="340" t="s">
        <v>447</v>
      </c>
      <c r="AH262" s="342">
        <v>45806</v>
      </c>
      <c r="AI262" s="340" t="s">
        <v>454</v>
      </c>
      <c r="AJ262" s="340" t="s">
        <v>455</v>
      </c>
      <c r="AK262" s="340" t="s">
        <v>456</v>
      </c>
      <c r="AL262" s="340" t="s">
        <v>457</v>
      </c>
      <c r="AM262" s="340">
        <v>6</v>
      </c>
      <c r="AN262" s="340" t="s">
        <v>458</v>
      </c>
      <c r="AO262" s="340" t="s">
        <v>459</v>
      </c>
      <c r="AP262" s="340">
        <v>3</v>
      </c>
      <c r="AQ262" s="340" t="s">
        <v>460</v>
      </c>
      <c r="AR262" s="340">
        <v>3146</v>
      </c>
      <c r="AS262" s="340" t="s">
        <v>545</v>
      </c>
      <c r="AT262" s="340">
        <v>208653</v>
      </c>
      <c r="AU262" s="340" t="s">
        <v>495</v>
      </c>
      <c r="AV262" s="343">
        <v>0.375</v>
      </c>
      <c r="AW262" s="343">
        <v>0.58333333333333337</v>
      </c>
      <c r="AX262" s="340" t="s">
        <v>463</v>
      </c>
      <c r="AY262" s="340" t="s">
        <v>464</v>
      </c>
    </row>
    <row r="263" spans="1:51" x14ac:dyDescent="0.25">
      <c r="A263" s="339" t="s">
        <v>441</v>
      </c>
      <c r="B263" s="339" t="s">
        <v>442</v>
      </c>
      <c r="C263" s="339" t="s">
        <v>443</v>
      </c>
      <c r="D263" s="339">
        <v>4</v>
      </c>
      <c r="E263" s="339">
        <v>7</v>
      </c>
      <c r="F263" s="339">
        <v>6.5</v>
      </c>
      <c r="G263" s="340">
        <v>2054910400</v>
      </c>
      <c r="H263" s="346">
        <v>549104</v>
      </c>
      <c r="I263" s="348">
        <v>73</v>
      </c>
      <c r="J263" s="341">
        <v>33</v>
      </c>
      <c r="K263" s="341">
        <v>95</v>
      </c>
      <c r="L263" s="348">
        <f t="shared" si="13"/>
        <v>128</v>
      </c>
      <c r="M263" s="341">
        <v>549</v>
      </c>
      <c r="N263" s="340" t="s">
        <v>826</v>
      </c>
      <c r="O263" s="340">
        <v>15</v>
      </c>
      <c r="P263" s="340" t="s">
        <v>1404</v>
      </c>
      <c r="Q263" s="340" t="s">
        <v>0</v>
      </c>
      <c r="R263" s="340" t="s">
        <v>446</v>
      </c>
      <c r="S263" s="340" t="s">
        <v>447</v>
      </c>
      <c r="T263" s="340">
        <v>2</v>
      </c>
      <c r="U263" s="340" t="s">
        <v>0</v>
      </c>
      <c r="V263" s="340" t="s">
        <v>448</v>
      </c>
      <c r="W263" s="340" t="s">
        <v>0</v>
      </c>
      <c r="X263" s="340" t="s">
        <v>844</v>
      </c>
      <c r="Y263" s="340" t="s">
        <v>0</v>
      </c>
      <c r="Z263" s="340" t="s">
        <v>1405</v>
      </c>
      <c r="AA263" s="340" t="s">
        <v>0</v>
      </c>
      <c r="AB263" s="340" t="s">
        <v>1406</v>
      </c>
      <c r="AC263" s="340" t="s">
        <v>0</v>
      </c>
      <c r="AD263" s="340">
        <v>69202</v>
      </c>
      <c r="AE263" s="340" t="s">
        <v>452</v>
      </c>
      <c r="AF263" s="340" t="s">
        <v>453</v>
      </c>
      <c r="AG263" s="340" t="s">
        <v>447</v>
      </c>
      <c r="AH263" s="342">
        <v>45896</v>
      </c>
      <c r="AI263" s="340" t="s">
        <v>454</v>
      </c>
      <c r="AJ263" s="340" t="s">
        <v>455</v>
      </c>
      <c r="AK263" s="340" t="s">
        <v>456</v>
      </c>
      <c r="AL263" s="340" t="s">
        <v>457</v>
      </c>
      <c r="AM263" s="340">
        <v>6</v>
      </c>
      <c r="AN263" s="340" t="s">
        <v>458</v>
      </c>
      <c r="AO263" s="340" t="s">
        <v>459</v>
      </c>
      <c r="AP263" s="340">
        <v>3</v>
      </c>
      <c r="AQ263" s="340" t="s">
        <v>460</v>
      </c>
      <c r="AR263" s="340">
        <v>3146</v>
      </c>
      <c r="AS263" s="340" t="s">
        <v>545</v>
      </c>
      <c r="AT263" s="340">
        <v>208935</v>
      </c>
      <c r="AU263" s="340" t="s">
        <v>506</v>
      </c>
      <c r="AV263" s="343">
        <v>0.375</v>
      </c>
      <c r="AW263" s="343">
        <v>0.58333333333333337</v>
      </c>
      <c r="AX263" s="340" t="s">
        <v>463</v>
      </c>
      <c r="AY263" s="340" t="s">
        <v>464</v>
      </c>
    </row>
    <row r="264" spans="1:51" x14ac:dyDescent="0.25">
      <c r="A264" s="339" t="s">
        <v>441</v>
      </c>
      <c r="B264" s="339" t="s">
        <v>442</v>
      </c>
      <c r="C264" s="339" t="s">
        <v>443</v>
      </c>
      <c r="D264" s="339">
        <v>4</v>
      </c>
      <c r="E264" s="339">
        <v>7</v>
      </c>
      <c r="F264" s="339">
        <v>6.5</v>
      </c>
      <c r="G264" s="340">
        <v>2054910500</v>
      </c>
      <c r="H264" s="346">
        <v>549105</v>
      </c>
      <c r="I264" s="348">
        <v>88</v>
      </c>
      <c r="J264" s="341">
        <v>32</v>
      </c>
      <c r="K264" s="341">
        <v>104</v>
      </c>
      <c r="L264" s="348">
        <f t="shared" si="13"/>
        <v>136</v>
      </c>
      <c r="M264" s="341">
        <v>549</v>
      </c>
      <c r="N264" s="340" t="s">
        <v>826</v>
      </c>
      <c r="O264" s="340">
        <v>3</v>
      </c>
      <c r="P264" s="340" t="s">
        <v>1407</v>
      </c>
      <c r="Q264" s="340" t="s">
        <v>0</v>
      </c>
      <c r="R264" s="340" t="s">
        <v>446</v>
      </c>
      <c r="S264" s="340" t="s">
        <v>447</v>
      </c>
      <c r="T264" s="340">
        <v>2</v>
      </c>
      <c r="U264" s="340" t="s">
        <v>0</v>
      </c>
      <c r="V264" s="340" t="s">
        <v>448</v>
      </c>
      <c r="W264" s="340" t="s">
        <v>0</v>
      </c>
      <c r="X264" s="340" t="s">
        <v>508</v>
      </c>
      <c r="Y264" s="340" t="s">
        <v>0</v>
      </c>
      <c r="Z264" s="340" t="s">
        <v>1408</v>
      </c>
      <c r="AA264" s="340" t="s">
        <v>0</v>
      </c>
      <c r="AB264" s="340" t="s">
        <v>1409</v>
      </c>
      <c r="AC264" s="340" t="s">
        <v>0</v>
      </c>
      <c r="AD264" s="340">
        <v>69209</v>
      </c>
      <c r="AE264" s="340" t="s">
        <v>452</v>
      </c>
      <c r="AF264" s="340" t="s">
        <v>453</v>
      </c>
      <c r="AG264" s="340" t="s">
        <v>447</v>
      </c>
      <c r="AH264" s="342">
        <v>45957</v>
      </c>
      <c r="AI264" s="340" t="s">
        <v>454</v>
      </c>
      <c r="AJ264" s="340" t="s">
        <v>455</v>
      </c>
      <c r="AK264" s="340" t="s">
        <v>456</v>
      </c>
      <c r="AL264" s="340" t="s">
        <v>457</v>
      </c>
      <c r="AM264" s="340">
        <v>6</v>
      </c>
      <c r="AN264" s="340" t="s">
        <v>458</v>
      </c>
      <c r="AO264" s="340" t="s">
        <v>459</v>
      </c>
      <c r="AP264" s="340">
        <v>3</v>
      </c>
      <c r="AQ264" s="340" t="s">
        <v>460</v>
      </c>
      <c r="AR264" s="340">
        <v>3146</v>
      </c>
      <c r="AS264" s="340" t="s">
        <v>545</v>
      </c>
      <c r="AT264" s="340">
        <v>208831</v>
      </c>
      <c r="AU264" s="340" t="s">
        <v>622</v>
      </c>
      <c r="AV264" s="343">
        <v>0.375</v>
      </c>
      <c r="AW264" s="343">
        <v>0.58333333333333337</v>
      </c>
      <c r="AX264" s="340" t="s">
        <v>463</v>
      </c>
      <c r="AY264" s="340" t="s">
        <v>464</v>
      </c>
    </row>
    <row r="265" spans="1:51" x14ac:dyDescent="0.25">
      <c r="A265" s="339" t="s">
        <v>441</v>
      </c>
      <c r="B265" s="339" t="s">
        <v>442</v>
      </c>
      <c r="C265" s="339" t="s">
        <v>443</v>
      </c>
      <c r="D265" s="339">
        <v>4</v>
      </c>
      <c r="E265" s="339">
        <v>4</v>
      </c>
      <c r="F265" s="339">
        <v>6.5</v>
      </c>
      <c r="G265" s="340">
        <v>2055210100</v>
      </c>
      <c r="H265" s="346">
        <v>552101</v>
      </c>
      <c r="I265" s="348">
        <v>53</v>
      </c>
      <c r="J265" s="341">
        <v>13</v>
      </c>
      <c r="K265" s="341">
        <v>67</v>
      </c>
      <c r="L265" s="348">
        <f t="shared" si="13"/>
        <v>80</v>
      </c>
      <c r="M265" s="341">
        <v>552</v>
      </c>
      <c r="N265" s="340" t="s">
        <v>1410</v>
      </c>
      <c r="O265" s="340">
        <v>1</v>
      </c>
      <c r="P265" s="340" t="s">
        <v>1410</v>
      </c>
      <c r="Q265" s="340" t="s">
        <v>0</v>
      </c>
      <c r="R265" s="340" t="s">
        <v>446</v>
      </c>
      <c r="S265" s="340" t="s">
        <v>447</v>
      </c>
      <c r="T265" s="340">
        <v>2</v>
      </c>
      <c r="U265" s="340" t="s">
        <v>0</v>
      </c>
      <c r="V265" s="340" t="s">
        <v>448</v>
      </c>
      <c r="W265" s="340" t="s">
        <v>0</v>
      </c>
      <c r="X265" s="340" t="s">
        <v>1270</v>
      </c>
      <c r="Y265" s="340" t="s">
        <v>0</v>
      </c>
      <c r="Z265" s="340" t="s">
        <v>1411</v>
      </c>
      <c r="AA265" s="340" t="s">
        <v>0</v>
      </c>
      <c r="AB265" s="340" t="s">
        <v>1412</v>
      </c>
      <c r="AC265" s="340" t="s">
        <v>0</v>
      </c>
      <c r="AD265" s="340">
        <v>69340</v>
      </c>
      <c r="AE265" s="340" t="s">
        <v>452</v>
      </c>
      <c r="AF265" s="340" t="s">
        <v>453</v>
      </c>
      <c r="AG265" s="340" t="s">
        <v>447</v>
      </c>
      <c r="AH265" s="342">
        <v>44909</v>
      </c>
      <c r="AI265" s="340" t="s">
        <v>454</v>
      </c>
      <c r="AJ265" s="340" t="s">
        <v>455</v>
      </c>
      <c r="AK265" s="340" t="s">
        <v>456</v>
      </c>
      <c r="AL265" s="340" t="s">
        <v>457</v>
      </c>
      <c r="AM265" s="340">
        <v>6</v>
      </c>
      <c r="AN265" s="340" t="s">
        <v>458</v>
      </c>
      <c r="AO265" s="340" t="s">
        <v>459</v>
      </c>
      <c r="AP265" s="340">
        <v>3</v>
      </c>
      <c r="AQ265" s="340" t="s">
        <v>460</v>
      </c>
      <c r="AR265" s="340">
        <v>3147</v>
      </c>
      <c r="AS265" s="340" t="s">
        <v>518</v>
      </c>
      <c r="AT265" s="340">
        <v>1</v>
      </c>
      <c r="AU265" s="340" t="s">
        <v>462</v>
      </c>
      <c r="AV265" s="343">
        <v>0.375</v>
      </c>
      <c r="AW265" s="343">
        <v>0.58333333333333337</v>
      </c>
      <c r="AX265" s="340" t="s">
        <v>463</v>
      </c>
      <c r="AY265" s="340" t="s">
        <v>464</v>
      </c>
    </row>
    <row r="266" spans="1:51" x14ac:dyDescent="0.25">
      <c r="A266" s="339" t="s">
        <v>441</v>
      </c>
      <c r="B266" s="339" t="s">
        <v>442</v>
      </c>
      <c r="C266" s="339" t="s">
        <v>443</v>
      </c>
      <c r="D266" s="339">
        <v>4</v>
      </c>
      <c r="E266" s="339">
        <v>4</v>
      </c>
      <c r="F266" s="339">
        <v>6.5</v>
      </c>
      <c r="G266" s="340">
        <v>2055610100</v>
      </c>
      <c r="H266" s="346">
        <v>556101</v>
      </c>
      <c r="I266" s="348">
        <v>69</v>
      </c>
      <c r="J266" s="341">
        <v>29</v>
      </c>
      <c r="K266" s="341">
        <v>78</v>
      </c>
      <c r="L266" s="348">
        <f t="shared" si="13"/>
        <v>107</v>
      </c>
      <c r="M266" s="341">
        <v>556</v>
      </c>
      <c r="N266" s="340" t="s">
        <v>1413</v>
      </c>
      <c r="O266" s="340">
        <v>1</v>
      </c>
      <c r="P266" s="340" t="s">
        <v>1413</v>
      </c>
      <c r="Q266" s="340" t="s">
        <v>0</v>
      </c>
      <c r="R266" s="340" t="s">
        <v>446</v>
      </c>
      <c r="S266" s="340" t="s">
        <v>447</v>
      </c>
      <c r="T266" s="340">
        <v>4</v>
      </c>
      <c r="U266" s="340" t="s">
        <v>0</v>
      </c>
      <c r="V266" s="340" t="s">
        <v>498</v>
      </c>
      <c r="W266" s="340" t="s">
        <v>0</v>
      </c>
      <c r="X266" s="340" t="s">
        <v>760</v>
      </c>
      <c r="Y266" s="340" t="s">
        <v>0</v>
      </c>
      <c r="Z266" s="340" t="s">
        <v>1414</v>
      </c>
      <c r="AA266" s="340" t="s">
        <v>0</v>
      </c>
      <c r="AB266" s="340" t="s">
        <v>1415</v>
      </c>
      <c r="AC266" s="340" t="s">
        <v>0</v>
      </c>
      <c r="AD266" s="340">
        <v>69507</v>
      </c>
      <c r="AE266" s="340" t="s">
        <v>452</v>
      </c>
      <c r="AF266" s="340" t="s">
        <v>453</v>
      </c>
      <c r="AG266" s="340" t="s">
        <v>447</v>
      </c>
      <c r="AH266" s="342">
        <v>45538</v>
      </c>
      <c r="AI266" s="340" t="s">
        <v>454</v>
      </c>
      <c r="AJ266" s="340" t="s">
        <v>455</v>
      </c>
      <c r="AK266" s="340" t="s">
        <v>456</v>
      </c>
      <c r="AL266" s="340" t="s">
        <v>457</v>
      </c>
      <c r="AM266" s="340">
        <v>6</v>
      </c>
      <c r="AN266" s="340" t="s">
        <v>458</v>
      </c>
      <c r="AO266" s="340" t="s">
        <v>459</v>
      </c>
      <c r="AP266" s="340">
        <v>3</v>
      </c>
      <c r="AQ266" s="340" t="s">
        <v>460</v>
      </c>
      <c r="AR266" s="340">
        <v>3147</v>
      </c>
      <c r="AS266" s="340" t="s">
        <v>518</v>
      </c>
      <c r="AT266" s="340">
        <v>208653</v>
      </c>
      <c r="AU266" s="340" t="s">
        <v>495</v>
      </c>
      <c r="AV266" s="343">
        <v>0.375</v>
      </c>
      <c r="AW266" s="343">
        <v>0.58333333333333337</v>
      </c>
      <c r="AX266" s="340" t="s">
        <v>463</v>
      </c>
      <c r="AY266" s="340" t="s">
        <v>464</v>
      </c>
    </row>
    <row r="267" spans="1:51" x14ac:dyDescent="0.25">
      <c r="A267" s="339" t="s">
        <v>441</v>
      </c>
      <c r="B267" s="339" t="s">
        <v>442</v>
      </c>
      <c r="C267" s="339" t="s">
        <v>443</v>
      </c>
      <c r="D267" s="339">
        <v>3</v>
      </c>
      <c r="E267" s="339">
        <v>5</v>
      </c>
      <c r="F267" s="339">
        <v>6.5</v>
      </c>
      <c r="G267" s="340">
        <v>2055710300</v>
      </c>
      <c r="H267" s="346">
        <v>557103</v>
      </c>
      <c r="I267" s="348">
        <v>186</v>
      </c>
      <c r="J267" s="341">
        <v>80</v>
      </c>
      <c r="K267" s="341">
        <v>194</v>
      </c>
      <c r="L267" s="348">
        <f t="shared" si="13"/>
        <v>274</v>
      </c>
      <c r="M267" s="341">
        <v>557</v>
      </c>
      <c r="N267" s="340" t="s">
        <v>1416</v>
      </c>
      <c r="O267" s="340">
        <v>1</v>
      </c>
      <c r="P267" s="340" t="s">
        <v>1417</v>
      </c>
      <c r="Q267" s="340" t="s">
        <v>0</v>
      </c>
      <c r="R267" s="340" t="s">
        <v>446</v>
      </c>
      <c r="S267" s="340" t="s">
        <v>447</v>
      </c>
      <c r="T267" s="340">
        <v>3</v>
      </c>
      <c r="U267" s="340" t="s">
        <v>0</v>
      </c>
      <c r="V267" s="340" t="s">
        <v>472</v>
      </c>
      <c r="W267" s="340" t="s">
        <v>0</v>
      </c>
      <c r="X267" s="340" t="s">
        <v>1418</v>
      </c>
      <c r="Y267" s="340" t="s">
        <v>0</v>
      </c>
      <c r="Z267" s="340" t="s">
        <v>1419</v>
      </c>
      <c r="AA267" s="340" t="s">
        <v>0</v>
      </c>
      <c r="AB267" s="340" t="s">
        <v>1420</v>
      </c>
      <c r="AC267" s="340" t="s">
        <v>0</v>
      </c>
      <c r="AD267" s="340">
        <v>70150</v>
      </c>
      <c r="AE267" s="340" t="s">
        <v>452</v>
      </c>
      <c r="AF267" s="340" t="s">
        <v>453</v>
      </c>
      <c r="AG267" s="340" t="s">
        <v>447</v>
      </c>
      <c r="AH267" s="342">
        <v>44707</v>
      </c>
      <c r="AI267" s="340" t="s">
        <v>454</v>
      </c>
      <c r="AJ267" s="340" t="s">
        <v>455</v>
      </c>
      <c r="AK267" s="340" t="s">
        <v>456</v>
      </c>
      <c r="AL267" s="340" t="s">
        <v>457</v>
      </c>
      <c r="AM267" s="340">
        <v>6</v>
      </c>
      <c r="AN267" s="340" t="s">
        <v>458</v>
      </c>
      <c r="AO267" s="340" t="s">
        <v>459</v>
      </c>
      <c r="AP267" s="340">
        <v>3</v>
      </c>
      <c r="AQ267" s="340" t="s">
        <v>460</v>
      </c>
      <c r="AR267" s="340">
        <v>3152</v>
      </c>
      <c r="AS267" s="340" t="s">
        <v>588</v>
      </c>
      <c r="AT267" s="340">
        <v>1</v>
      </c>
      <c r="AU267" s="340" t="s">
        <v>462</v>
      </c>
      <c r="AV267" s="343">
        <v>0.375</v>
      </c>
      <c r="AW267" s="343">
        <v>0.58333333333333337</v>
      </c>
      <c r="AX267" s="340" t="s">
        <v>463</v>
      </c>
      <c r="AY267" s="340" t="s">
        <v>464</v>
      </c>
    </row>
    <row r="268" spans="1:51" x14ac:dyDescent="0.25">
      <c r="A268" s="339" t="s">
        <v>441</v>
      </c>
      <c r="B268" s="339" t="s">
        <v>442</v>
      </c>
      <c r="C268" s="339" t="s">
        <v>443</v>
      </c>
      <c r="D268" s="339">
        <v>1</v>
      </c>
      <c r="E268" s="339">
        <v>1</v>
      </c>
      <c r="F268" s="339">
        <v>6.5</v>
      </c>
      <c r="G268" s="340">
        <v>2055810100</v>
      </c>
      <c r="H268" s="346">
        <v>558101</v>
      </c>
      <c r="I268" s="348">
        <v>96</v>
      </c>
      <c r="J268" s="341">
        <v>53</v>
      </c>
      <c r="K268" s="341">
        <v>99</v>
      </c>
      <c r="L268" s="348">
        <f t="shared" si="13"/>
        <v>152</v>
      </c>
      <c r="M268" s="341">
        <v>558</v>
      </c>
      <c r="N268" s="340" t="s">
        <v>1421</v>
      </c>
      <c r="O268" s="340">
        <v>2</v>
      </c>
      <c r="P268" s="340" t="s">
        <v>1422</v>
      </c>
      <c r="Q268" s="340" t="s">
        <v>0</v>
      </c>
      <c r="R268" s="340" t="s">
        <v>446</v>
      </c>
      <c r="S268" s="340" t="s">
        <v>447</v>
      </c>
      <c r="T268" s="340">
        <v>2</v>
      </c>
      <c r="U268" s="340" t="s">
        <v>0</v>
      </c>
      <c r="V268" s="340" t="s">
        <v>448</v>
      </c>
      <c r="W268" s="340" t="s">
        <v>0</v>
      </c>
      <c r="X268" s="340" t="s">
        <v>465</v>
      </c>
      <c r="Y268" s="340" t="s">
        <v>0</v>
      </c>
      <c r="Z268" s="340" t="s">
        <v>1423</v>
      </c>
      <c r="AA268" s="340" t="s">
        <v>0</v>
      </c>
      <c r="AB268" s="340" t="s">
        <v>668</v>
      </c>
      <c r="AC268" s="340" t="s">
        <v>0</v>
      </c>
      <c r="AD268" s="340">
        <v>68670</v>
      </c>
      <c r="AE268" s="340" t="s">
        <v>452</v>
      </c>
      <c r="AF268" s="340" t="s">
        <v>453</v>
      </c>
      <c r="AG268" s="340" t="s">
        <v>447</v>
      </c>
      <c r="AH268" s="342">
        <v>43739</v>
      </c>
      <c r="AI268" s="340" t="s">
        <v>454</v>
      </c>
      <c r="AJ268" s="340" t="s">
        <v>455</v>
      </c>
      <c r="AK268" s="340" t="s">
        <v>456</v>
      </c>
      <c r="AL268" s="340" t="s">
        <v>457</v>
      </c>
      <c r="AM268" s="340">
        <v>6</v>
      </c>
      <c r="AN268" s="340" t="s">
        <v>458</v>
      </c>
      <c r="AO268" s="340" t="s">
        <v>459</v>
      </c>
      <c r="AP268" s="340">
        <v>3</v>
      </c>
      <c r="AQ268" s="340" t="s">
        <v>460</v>
      </c>
      <c r="AR268" s="340">
        <v>3079</v>
      </c>
      <c r="AS268" s="340" t="s">
        <v>519</v>
      </c>
      <c r="AT268" s="340">
        <v>1</v>
      </c>
      <c r="AU268" s="340" t="s">
        <v>462</v>
      </c>
      <c r="AV268" s="343">
        <v>0.375</v>
      </c>
      <c r="AW268" s="343">
        <v>0.5</v>
      </c>
      <c r="AX268" s="340" t="s">
        <v>463</v>
      </c>
      <c r="AY268" s="340" t="s">
        <v>464</v>
      </c>
    </row>
    <row r="269" spans="1:51" x14ac:dyDescent="0.25">
      <c r="A269" s="339" t="s">
        <v>441</v>
      </c>
      <c r="B269" s="339" t="s">
        <v>442</v>
      </c>
      <c r="C269" s="339" t="s">
        <v>469</v>
      </c>
      <c r="D269" s="339">
        <v>7</v>
      </c>
      <c r="E269" s="339">
        <v>3</v>
      </c>
      <c r="F269" s="339">
        <v>6.5</v>
      </c>
      <c r="G269" s="340">
        <v>2056110200</v>
      </c>
      <c r="H269" s="346">
        <v>561102</v>
      </c>
      <c r="I269" s="348">
        <v>60</v>
      </c>
      <c r="J269" s="341">
        <v>33</v>
      </c>
      <c r="K269" s="341">
        <v>34</v>
      </c>
      <c r="L269" s="348">
        <f t="shared" si="13"/>
        <v>67</v>
      </c>
      <c r="M269" s="341">
        <v>561</v>
      </c>
      <c r="N269" s="340" t="s">
        <v>1424</v>
      </c>
      <c r="O269" s="340">
        <v>1</v>
      </c>
      <c r="P269" s="340" t="s">
        <v>1424</v>
      </c>
      <c r="Q269" s="340" t="s">
        <v>0</v>
      </c>
      <c r="R269" s="340" t="s">
        <v>446</v>
      </c>
      <c r="S269" s="340" t="s">
        <v>447</v>
      </c>
      <c r="T269" s="340">
        <v>2</v>
      </c>
      <c r="U269" s="340" t="s">
        <v>0</v>
      </c>
      <c r="V269" s="340" t="s">
        <v>448</v>
      </c>
      <c r="W269" s="340" t="s">
        <v>0</v>
      </c>
      <c r="X269" s="340" t="s">
        <v>1425</v>
      </c>
      <c r="Y269" s="340" t="s">
        <v>0</v>
      </c>
      <c r="Z269" s="340" t="s">
        <v>450</v>
      </c>
      <c r="AA269" s="340" t="s">
        <v>0</v>
      </c>
      <c r="AB269" s="340" t="s">
        <v>1426</v>
      </c>
      <c r="AC269" s="340" t="s">
        <v>0</v>
      </c>
      <c r="AD269" s="340">
        <v>71554</v>
      </c>
      <c r="AE269" s="340" t="s">
        <v>452</v>
      </c>
      <c r="AF269" s="340" t="s">
        <v>453</v>
      </c>
      <c r="AG269" s="340" t="s">
        <v>447</v>
      </c>
      <c r="AH269" s="342">
        <v>41466</v>
      </c>
      <c r="AI269" s="340" t="s">
        <v>454</v>
      </c>
      <c r="AJ269" s="340" t="s">
        <v>455</v>
      </c>
      <c r="AK269" s="340" t="s">
        <v>456</v>
      </c>
      <c r="AL269" s="340" t="s">
        <v>457</v>
      </c>
      <c r="AM269" s="340">
        <v>6</v>
      </c>
      <c r="AN269" s="340" t="s">
        <v>458</v>
      </c>
      <c r="AO269" s="340" t="s">
        <v>459</v>
      </c>
      <c r="AP269" s="340">
        <v>3</v>
      </c>
      <c r="AQ269" s="340" t="s">
        <v>460</v>
      </c>
      <c r="AR269" s="340">
        <v>4517</v>
      </c>
      <c r="AS269" s="340" t="s">
        <v>513</v>
      </c>
      <c r="AT269" s="340">
        <v>1</v>
      </c>
      <c r="AU269" s="340" t="s">
        <v>462</v>
      </c>
      <c r="AV269" s="343">
        <v>0.33333333333333331</v>
      </c>
      <c r="AW269" s="343">
        <v>0.54166666666666663</v>
      </c>
      <c r="AX269" s="340" t="s">
        <v>463</v>
      </c>
      <c r="AY269" s="340" t="s">
        <v>464</v>
      </c>
    </row>
    <row r="270" spans="1:51" x14ac:dyDescent="0.25">
      <c r="A270" s="339" t="s">
        <v>441</v>
      </c>
      <c r="B270" s="339" t="s">
        <v>442</v>
      </c>
      <c r="C270" s="339" t="s">
        <v>443</v>
      </c>
      <c r="D270" s="339">
        <v>4</v>
      </c>
      <c r="E270" s="339">
        <v>4</v>
      </c>
      <c r="F270" s="339">
        <v>6.5</v>
      </c>
      <c r="G270" s="340">
        <v>2056210100</v>
      </c>
      <c r="H270" s="346">
        <v>562101</v>
      </c>
      <c r="I270" s="348">
        <v>70</v>
      </c>
      <c r="J270" s="341">
        <v>48</v>
      </c>
      <c r="K270" s="341">
        <v>67</v>
      </c>
      <c r="L270" s="348">
        <f t="shared" si="13"/>
        <v>115</v>
      </c>
      <c r="M270" s="341">
        <v>562</v>
      </c>
      <c r="N270" s="340" t="s">
        <v>1427</v>
      </c>
      <c r="O270" s="340">
        <v>2</v>
      </c>
      <c r="P270" s="340" t="s">
        <v>1428</v>
      </c>
      <c r="Q270" s="340" t="s">
        <v>0</v>
      </c>
      <c r="R270" s="340" t="s">
        <v>446</v>
      </c>
      <c r="S270" s="340" t="s">
        <v>447</v>
      </c>
      <c r="T270" s="340">
        <v>2</v>
      </c>
      <c r="U270" s="340" t="s">
        <v>0</v>
      </c>
      <c r="V270" s="340" t="s">
        <v>448</v>
      </c>
      <c r="W270" s="340" t="s">
        <v>0</v>
      </c>
      <c r="X270" s="340" t="s">
        <v>1199</v>
      </c>
      <c r="Y270" s="340" t="s">
        <v>0</v>
      </c>
      <c r="Z270" s="340" t="s">
        <v>1429</v>
      </c>
      <c r="AA270" s="340" t="s">
        <v>0</v>
      </c>
      <c r="AB270" s="340" t="s">
        <v>1430</v>
      </c>
      <c r="AC270" s="340" t="s">
        <v>0</v>
      </c>
      <c r="AD270" s="340">
        <v>69910</v>
      </c>
      <c r="AE270" s="340" t="s">
        <v>452</v>
      </c>
      <c r="AF270" s="340" t="s">
        <v>453</v>
      </c>
      <c r="AG270" s="340" t="s">
        <v>447</v>
      </c>
      <c r="AH270" s="342">
        <v>42902</v>
      </c>
      <c r="AI270" s="340" t="s">
        <v>454</v>
      </c>
      <c r="AJ270" s="340" t="s">
        <v>455</v>
      </c>
      <c r="AK270" s="340" t="s">
        <v>456</v>
      </c>
      <c r="AL270" s="340" t="s">
        <v>457</v>
      </c>
      <c r="AM270" s="340">
        <v>6</v>
      </c>
      <c r="AN270" s="340" t="s">
        <v>458</v>
      </c>
      <c r="AO270" s="340" t="s">
        <v>459</v>
      </c>
      <c r="AP270" s="340">
        <v>3</v>
      </c>
      <c r="AQ270" s="340" t="s">
        <v>460</v>
      </c>
      <c r="AR270" s="340">
        <v>3147</v>
      </c>
      <c r="AS270" s="340" t="s">
        <v>518</v>
      </c>
      <c r="AT270" s="340">
        <v>1</v>
      </c>
      <c r="AU270" s="340" t="s">
        <v>462</v>
      </c>
      <c r="AV270" s="343">
        <v>0.33333333333333331</v>
      </c>
      <c r="AW270" s="343">
        <v>0.58333333333333337</v>
      </c>
      <c r="AX270" s="340" t="s">
        <v>463</v>
      </c>
      <c r="AY270" s="340" t="s">
        <v>464</v>
      </c>
    </row>
    <row r="271" spans="1:51" x14ac:dyDescent="0.25">
      <c r="A271" s="339" t="s">
        <v>441</v>
      </c>
      <c r="B271" s="339" t="s">
        <v>442</v>
      </c>
      <c r="C271" s="339" t="s">
        <v>443</v>
      </c>
      <c r="D271" s="339">
        <v>4</v>
      </c>
      <c r="E271" s="339">
        <v>6</v>
      </c>
      <c r="F271" s="339">
        <v>6.5</v>
      </c>
      <c r="G271" s="340">
        <v>2056410100</v>
      </c>
      <c r="H271" s="346">
        <v>564101</v>
      </c>
      <c r="I271" s="348">
        <v>121</v>
      </c>
      <c r="J271" s="341">
        <v>56</v>
      </c>
      <c r="K271" s="341">
        <v>83</v>
      </c>
      <c r="L271" s="348">
        <f t="shared" si="13"/>
        <v>139</v>
      </c>
      <c r="M271" s="341">
        <v>564</v>
      </c>
      <c r="N271" s="340" t="s">
        <v>1431</v>
      </c>
      <c r="O271" s="340">
        <v>1</v>
      </c>
      <c r="P271" s="340" t="s">
        <v>1431</v>
      </c>
      <c r="Q271" s="340" t="s">
        <v>0</v>
      </c>
      <c r="R271" s="340" t="s">
        <v>446</v>
      </c>
      <c r="S271" s="340" t="s">
        <v>447</v>
      </c>
      <c r="T271" s="340">
        <v>2</v>
      </c>
      <c r="U271" s="340" t="s">
        <v>0</v>
      </c>
      <c r="V271" s="340" t="s">
        <v>448</v>
      </c>
      <c r="W271" s="340" t="s">
        <v>0</v>
      </c>
      <c r="X271" s="340" t="s">
        <v>508</v>
      </c>
      <c r="Y271" s="340" t="s">
        <v>0</v>
      </c>
      <c r="Z271" s="340" t="s">
        <v>1432</v>
      </c>
      <c r="AA271" s="340" t="s">
        <v>0</v>
      </c>
      <c r="AB271" s="340" t="s">
        <v>1433</v>
      </c>
      <c r="AC271" s="340" t="s">
        <v>0</v>
      </c>
      <c r="AD271" s="340">
        <v>69970</v>
      </c>
      <c r="AE271" s="340" t="s">
        <v>452</v>
      </c>
      <c r="AF271" s="340" t="s">
        <v>453</v>
      </c>
      <c r="AG271" s="340" t="s">
        <v>447</v>
      </c>
      <c r="AH271" s="342">
        <v>44105</v>
      </c>
      <c r="AI271" s="340" t="s">
        <v>454</v>
      </c>
      <c r="AJ271" s="340" t="s">
        <v>455</v>
      </c>
      <c r="AK271" s="340" t="s">
        <v>456</v>
      </c>
      <c r="AL271" s="340" t="s">
        <v>457</v>
      </c>
      <c r="AM271" s="340">
        <v>6</v>
      </c>
      <c r="AN271" s="340" t="s">
        <v>458</v>
      </c>
      <c r="AO271" s="340" t="s">
        <v>459</v>
      </c>
      <c r="AP271" s="340">
        <v>3</v>
      </c>
      <c r="AQ271" s="340" t="s">
        <v>460</v>
      </c>
      <c r="AR271" s="340">
        <v>3060</v>
      </c>
      <c r="AS271" s="340" t="s">
        <v>590</v>
      </c>
      <c r="AT271" s="340">
        <v>1</v>
      </c>
      <c r="AU271" s="340" t="s">
        <v>462</v>
      </c>
      <c r="AV271" s="343">
        <v>0.375</v>
      </c>
      <c r="AW271" s="343">
        <v>0.58333333333333337</v>
      </c>
      <c r="AX271" s="340" t="s">
        <v>463</v>
      </c>
      <c r="AY271" s="340" t="s">
        <v>464</v>
      </c>
    </row>
    <row r="272" spans="1:51" x14ac:dyDescent="0.25">
      <c r="A272" s="339" t="s">
        <v>441</v>
      </c>
      <c r="B272" s="339" t="s">
        <v>442</v>
      </c>
      <c r="C272" s="339" t="s">
        <v>443</v>
      </c>
      <c r="D272" s="339">
        <v>4</v>
      </c>
      <c r="E272" s="339">
        <v>6</v>
      </c>
      <c r="F272" s="339">
        <v>6.5</v>
      </c>
      <c r="G272" s="340">
        <v>2056910100</v>
      </c>
      <c r="H272" s="346">
        <v>569101</v>
      </c>
      <c r="I272" s="348">
        <v>71</v>
      </c>
      <c r="J272" s="341">
        <v>41</v>
      </c>
      <c r="K272" s="341">
        <v>53</v>
      </c>
      <c r="L272" s="348">
        <f t="shared" si="13"/>
        <v>94</v>
      </c>
      <c r="M272" s="341">
        <v>569</v>
      </c>
      <c r="N272" s="340" t="s">
        <v>1434</v>
      </c>
      <c r="O272" s="340">
        <v>1</v>
      </c>
      <c r="P272" s="340" t="s">
        <v>1435</v>
      </c>
      <c r="Q272" s="340" t="s">
        <v>0</v>
      </c>
      <c r="R272" s="340" t="s">
        <v>446</v>
      </c>
      <c r="S272" s="340" t="s">
        <v>447</v>
      </c>
      <c r="T272" s="340">
        <v>3</v>
      </c>
      <c r="U272" s="340" t="s">
        <v>0</v>
      </c>
      <c r="V272" s="340" t="s">
        <v>472</v>
      </c>
      <c r="W272" s="340" t="s">
        <v>0</v>
      </c>
      <c r="X272" s="340" t="s">
        <v>508</v>
      </c>
      <c r="Y272" s="340" t="s">
        <v>0</v>
      </c>
      <c r="Z272" s="340" t="s">
        <v>631</v>
      </c>
      <c r="AA272" s="340" t="s">
        <v>0</v>
      </c>
      <c r="AB272" s="340" t="s">
        <v>1436</v>
      </c>
      <c r="AC272" s="340" t="s">
        <v>0</v>
      </c>
      <c r="AD272" s="340">
        <v>69696</v>
      </c>
      <c r="AE272" s="340" t="s">
        <v>452</v>
      </c>
      <c r="AF272" s="340" t="s">
        <v>453</v>
      </c>
      <c r="AG272" s="340" t="s">
        <v>447</v>
      </c>
      <c r="AH272" s="342">
        <v>43018</v>
      </c>
      <c r="AI272" s="340" t="s">
        <v>454</v>
      </c>
      <c r="AJ272" s="340" t="s">
        <v>455</v>
      </c>
      <c r="AK272" s="340" t="s">
        <v>456</v>
      </c>
      <c r="AL272" s="340" t="s">
        <v>457</v>
      </c>
      <c r="AM272" s="340">
        <v>6</v>
      </c>
      <c r="AN272" s="340" t="s">
        <v>458</v>
      </c>
      <c r="AO272" s="340" t="s">
        <v>459</v>
      </c>
      <c r="AP272" s="340">
        <v>3</v>
      </c>
      <c r="AQ272" s="340" t="s">
        <v>460</v>
      </c>
      <c r="AR272" s="340">
        <v>3060</v>
      </c>
      <c r="AS272" s="340" t="s">
        <v>590</v>
      </c>
      <c r="AT272" s="340">
        <v>1</v>
      </c>
      <c r="AU272" s="340" t="s">
        <v>462</v>
      </c>
      <c r="AV272" s="343">
        <v>0.375</v>
      </c>
      <c r="AW272" s="343">
        <v>0.54166666666666663</v>
      </c>
      <c r="AX272" s="340" t="s">
        <v>463</v>
      </c>
      <c r="AY272" s="340" t="s">
        <v>464</v>
      </c>
    </row>
    <row r="273" spans="1:51" x14ac:dyDescent="0.25">
      <c r="A273" s="339" t="s">
        <v>441</v>
      </c>
      <c r="B273" s="339" t="s">
        <v>442</v>
      </c>
      <c r="C273" s="339" t="s">
        <v>469</v>
      </c>
      <c r="D273" s="339">
        <v>5</v>
      </c>
      <c r="E273" s="339">
        <v>2</v>
      </c>
      <c r="F273" s="339">
        <v>6.5</v>
      </c>
      <c r="G273" s="340">
        <v>2081058100</v>
      </c>
      <c r="H273" s="346">
        <v>810581</v>
      </c>
      <c r="I273" s="348">
        <v>111</v>
      </c>
      <c r="J273" s="341">
        <v>67</v>
      </c>
      <c r="K273" s="341">
        <v>132</v>
      </c>
      <c r="L273" s="348">
        <f t="shared" si="13"/>
        <v>199</v>
      </c>
      <c r="M273" s="341">
        <v>417</v>
      </c>
      <c r="N273" s="340" t="s">
        <v>1437</v>
      </c>
      <c r="O273" s="340">
        <v>1</v>
      </c>
      <c r="P273" s="340" t="s">
        <v>1438</v>
      </c>
      <c r="Q273" s="340" t="s">
        <v>0</v>
      </c>
      <c r="R273" s="340" t="s">
        <v>446</v>
      </c>
      <c r="S273" s="340" t="s">
        <v>447</v>
      </c>
      <c r="T273" s="340">
        <v>3</v>
      </c>
      <c r="U273" s="340" t="s">
        <v>0</v>
      </c>
      <c r="V273" s="340" t="s">
        <v>472</v>
      </c>
      <c r="W273" s="340" t="s">
        <v>0</v>
      </c>
      <c r="X273" s="340" t="s">
        <v>1439</v>
      </c>
      <c r="Y273" s="340" t="s">
        <v>0</v>
      </c>
      <c r="Z273" s="340" t="s">
        <v>450</v>
      </c>
      <c r="AA273" s="340" t="s">
        <v>0</v>
      </c>
      <c r="AB273" s="340" t="s">
        <v>1440</v>
      </c>
      <c r="AC273" s="340" t="s">
        <v>0</v>
      </c>
      <c r="AD273" s="340">
        <v>68466</v>
      </c>
      <c r="AE273" s="340" t="s">
        <v>452</v>
      </c>
      <c r="AF273" s="340" t="s">
        <v>453</v>
      </c>
      <c r="AG273" s="340" t="s">
        <v>447</v>
      </c>
      <c r="AH273" s="342">
        <v>33817</v>
      </c>
      <c r="AI273" s="340" t="s">
        <v>454</v>
      </c>
      <c r="AJ273" s="340" t="s">
        <v>455</v>
      </c>
      <c r="AK273" s="340" t="s">
        <v>456</v>
      </c>
      <c r="AL273" s="340" t="s">
        <v>457</v>
      </c>
      <c r="AM273" s="340">
        <v>6</v>
      </c>
      <c r="AN273" s="340" t="s">
        <v>458</v>
      </c>
      <c r="AO273" s="340" t="s">
        <v>459</v>
      </c>
      <c r="AP273" s="340">
        <v>3</v>
      </c>
      <c r="AQ273" s="340" t="s">
        <v>460</v>
      </c>
      <c r="AR273" s="340">
        <v>3059</v>
      </c>
      <c r="AS273" s="340" t="s">
        <v>490</v>
      </c>
      <c r="AT273" s="340">
        <v>1</v>
      </c>
      <c r="AU273" s="340" t="s">
        <v>462</v>
      </c>
      <c r="AV273" s="343">
        <v>0.375</v>
      </c>
      <c r="AW273" s="343">
        <v>0.58333333333333337</v>
      </c>
      <c r="AX273" s="340" t="s">
        <v>463</v>
      </c>
      <c r="AY273" s="340" t="s">
        <v>464</v>
      </c>
    </row>
    <row r="276" spans="1:51" x14ac:dyDescent="0.25">
      <c r="I276" s="347" t="s">
        <v>405</v>
      </c>
      <c r="J276" s="337" t="s">
        <v>406</v>
      </c>
      <c r="K276" s="337" t="s">
        <v>407</v>
      </c>
      <c r="L276" s="347" t="s">
        <v>408</v>
      </c>
    </row>
    <row r="277" spans="1:51" x14ac:dyDescent="0.25">
      <c r="H277" s="338">
        <f>COUNTA(I2:I273)</f>
        <v>272</v>
      </c>
      <c r="I277" s="348">
        <f>SUM(I2:I273)</f>
        <v>28424</v>
      </c>
      <c r="J277" s="344">
        <f>SUM(J2:J273)</f>
        <v>17537</v>
      </c>
      <c r="K277" s="344">
        <f>SUM(K2:K273)</f>
        <v>24381</v>
      </c>
      <c r="L277" s="348">
        <f>SUM(L2:L273)</f>
        <v>41918</v>
      </c>
    </row>
  </sheetData>
  <autoFilter ref="A1:AY273" xr:uid="{F334CF87-BCD8-41AE-AEFA-2DC224646DA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Q649"/>
  <sheetViews>
    <sheetView showGridLines="0" zoomScaleNormal="100" workbookViewId="0">
      <pane ySplit="9" topLeftCell="A393" activePane="bottomLeft" state="frozen"/>
      <selection pane="bottomLeft" activeCell="E18" sqref="E18"/>
    </sheetView>
  </sheetViews>
  <sheetFormatPr baseColWidth="10" defaultColWidth="10.85546875" defaultRowHeight="12.75" x14ac:dyDescent="0.2"/>
  <cols>
    <col min="1" max="1" width="9.5703125" style="7" customWidth="1"/>
    <col min="2" max="2" width="6.42578125" style="5" customWidth="1"/>
    <col min="3" max="3" width="22.42578125" style="6" customWidth="1"/>
    <col min="4" max="4" width="6.140625" style="8" customWidth="1"/>
    <col min="5" max="5" width="6.7109375" style="8" customWidth="1"/>
    <col min="6" max="6" width="7.85546875" style="9" customWidth="1"/>
    <col min="7" max="7" width="11.42578125" style="8" customWidth="1"/>
    <col min="8" max="8" width="7.7109375" style="8" customWidth="1"/>
    <col min="9" max="9" width="6.85546875" style="8" customWidth="1"/>
    <col min="10" max="10" width="6.7109375" style="8" customWidth="1"/>
    <col min="11" max="11" width="11.5703125" style="8" customWidth="1"/>
    <col min="12" max="12" width="7.85546875" style="8" customWidth="1"/>
    <col min="13" max="14" width="6.7109375" style="8" customWidth="1"/>
    <col min="15" max="15" width="8.85546875" style="8" customWidth="1"/>
    <col min="16" max="16" width="8.140625" style="10" customWidth="1"/>
    <col min="17" max="17" width="12.42578125" style="8" customWidth="1"/>
    <col min="18" max="18" width="7.42578125" style="6" customWidth="1"/>
    <col min="19" max="1022" width="10.85546875" style="6"/>
  </cols>
  <sheetData>
    <row r="1" spans="1:21" ht="20.25" customHeight="1" x14ac:dyDescent="0.3">
      <c r="A1" s="314" t="s">
        <v>355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</row>
    <row r="2" spans="1:21" ht="15" customHeight="1" x14ac:dyDescent="0.2">
      <c r="A2" s="315" t="s">
        <v>2</v>
      </c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</row>
    <row r="3" spans="1:21" ht="12.75" customHeight="1" x14ac:dyDescent="0.2">
      <c r="A3" s="316" t="s">
        <v>3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</row>
    <row r="4" spans="1:21" ht="12" customHeight="1" x14ac:dyDescent="0.2">
      <c r="A4" s="317" t="s">
        <v>382</v>
      </c>
      <c r="B4" s="317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</row>
    <row r="5" spans="1:21" ht="12" customHeight="1" x14ac:dyDescent="0.2">
      <c r="A5" s="318" t="s">
        <v>356</v>
      </c>
      <c r="B5" s="318"/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</row>
    <row r="6" spans="1:21" ht="11.25" customHeight="1" x14ac:dyDescent="0.2">
      <c r="B6" s="11"/>
      <c r="C6" s="12"/>
      <c r="D6" s="13"/>
      <c r="E6" s="13"/>
      <c r="F6" s="14"/>
      <c r="G6" s="13"/>
      <c r="H6" s="13"/>
      <c r="I6" s="13"/>
      <c r="J6" s="13"/>
      <c r="K6" s="13"/>
      <c r="L6" s="320" t="s">
        <v>383</v>
      </c>
      <c r="M6" s="320"/>
      <c r="N6" s="320"/>
      <c r="O6" s="320"/>
      <c r="P6" s="320"/>
      <c r="Q6" s="320"/>
    </row>
    <row r="7" spans="1:21" ht="12.75" customHeight="1" x14ac:dyDescent="0.2">
      <c r="A7" s="15" t="s">
        <v>4</v>
      </c>
      <c r="B7" s="16" t="s">
        <v>5</v>
      </c>
      <c r="C7" s="17"/>
      <c r="D7" s="321" t="s">
        <v>6</v>
      </c>
      <c r="E7" s="321"/>
      <c r="F7" s="19" t="s">
        <v>7</v>
      </c>
      <c r="G7" s="20" t="s">
        <v>8</v>
      </c>
      <c r="H7" s="19" t="s">
        <v>9</v>
      </c>
      <c r="I7" s="321" t="s">
        <v>10</v>
      </c>
      <c r="J7" s="321"/>
      <c r="K7" s="20" t="s">
        <v>11</v>
      </c>
      <c r="L7" s="19" t="s">
        <v>12</v>
      </c>
      <c r="M7" s="322" t="s">
        <v>13</v>
      </c>
      <c r="N7" s="322"/>
      <c r="O7" s="19" t="s">
        <v>14</v>
      </c>
      <c r="P7" s="21" t="s">
        <v>15</v>
      </c>
      <c r="Q7" s="22" t="s">
        <v>16</v>
      </c>
    </row>
    <row r="8" spans="1:21" ht="12.75" customHeight="1" x14ac:dyDescent="0.2">
      <c r="A8" s="23" t="s">
        <v>17</v>
      </c>
      <c r="B8" s="24" t="s">
        <v>18</v>
      </c>
      <c r="C8" s="25" t="s">
        <v>19</v>
      </c>
      <c r="D8" s="19" t="s">
        <v>20</v>
      </c>
      <c r="E8" s="19" t="s">
        <v>21</v>
      </c>
      <c r="F8" s="26" t="s">
        <v>22</v>
      </c>
      <c r="G8" s="27" t="s">
        <v>377</v>
      </c>
      <c r="H8" s="26" t="s">
        <v>23</v>
      </c>
      <c r="I8" s="19" t="s">
        <v>24</v>
      </c>
      <c r="J8" s="19" t="s">
        <v>25</v>
      </c>
      <c r="K8" s="27" t="s">
        <v>379</v>
      </c>
      <c r="L8" s="26" t="s">
        <v>26</v>
      </c>
      <c r="M8" s="323" t="s">
        <v>27</v>
      </c>
      <c r="N8" s="323"/>
      <c r="O8" s="26" t="s">
        <v>28</v>
      </c>
      <c r="P8" s="29" t="s">
        <v>29</v>
      </c>
      <c r="Q8" s="30" t="s">
        <v>384</v>
      </c>
    </row>
    <row r="9" spans="1:21" ht="12.75" customHeight="1" x14ac:dyDescent="0.2">
      <c r="A9" s="31" t="s">
        <v>0</v>
      </c>
      <c r="B9" s="32"/>
      <c r="C9" s="33"/>
      <c r="D9" s="34"/>
      <c r="E9" s="35"/>
      <c r="F9" s="28" t="s">
        <v>30</v>
      </c>
      <c r="G9" s="36"/>
      <c r="H9" s="28" t="s">
        <v>31</v>
      </c>
      <c r="I9" s="28"/>
      <c r="J9" s="28"/>
      <c r="K9" s="36"/>
      <c r="L9" s="37"/>
      <c r="M9" s="18" t="s">
        <v>32</v>
      </c>
      <c r="N9" s="18" t="s">
        <v>15</v>
      </c>
      <c r="O9" s="36"/>
      <c r="P9" s="38" t="s">
        <v>33</v>
      </c>
      <c r="Q9" s="39"/>
    </row>
    <row r="10" spans="1:21" ht="12.75" customHeight="1" x14ac:dyDescent="0.2">
      <c r="D10" s="9"/>
      <c r="Q10" s="9"/>
    </row>
    <row r="11">
      <c r="B11" s="40" t="inlineStr">
        <is>
          <t>ALMACEN RURAL : CHALCATONGO</t>
        </is>
      </c>
      <c r="C11" s="41"/>
    </row>
    <row r="14">
      <c r="A14" s="1">
        <v>88104</v>
      </c>
      <c r="B14" s="52">
        <v>23</v>
      </c>
      <c r="C14" s="53" t="inlineStr">
        <is>
          <t>SAN ANDRES CABECERA NUEVA</t>
        </is>
      </c>
      <c r="D14" s="57">
        <v>69</v>
      </c>
      <c r="E14" s="57">
        <v>107</v>
      </c>
      <c r="F14" s="10">
        <f>E14*0.666*24/72</f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5">
        <v>0</v>
      </c>
      <c r="M14" s="54">
        <v>0</v>
      </c>
      <c r="N14" s="55">
        <v>0</v>
      </c>
      <c r="O14" s="10">
        <v>0</v>
      </c>
      <c r="P14" s="54"/>
      <c r="Q14" s="56">
        <f>+P14</f>
      </c>
    </row>
    <row r="15">
      <c r="A15" s="1">
        <v>120423</v>
      </c>
      <c r="B15" s="52">
        <v>15</v>
      </c>
      <c r="C15" s="53" t="inlineStr">
        <is>
          <t>CHALCATONGO DE HIDALGO</t>
        </is>
      </c>
      <c r="D15" s="57">
        <v>307</v>
      </c>
      <c r="E15" s="57">
        <v>428</v>
      </c>
      <c r="F15" s="10">
        <f>E15*0.666*24/72</f>
      </c>
      <c r="G15" s="54">
        <v>0</v>
      </c>
      <c r="H15" s="54">
        <v>0</v>
      </c>
      <c r="I15" s="54">
        <v>0</v>
      </c>
      <c r="J15" s="54">
        <v>0</v>
      </c>
      <c r="K15" s="54">
        <v>0</v>
      </c>
      <c r="L15" s="55">
        <v>0</v>
      </c>
      <c r="M15" s="54">
        <v>0</v>
      </c>
      <c r="N15" s="55">
        <v>0</v>
      </c>
      <c r="O15" s="10">
        <v>0</v>
      </c>
      <c r="P15" s="54"/>
      <c r="Q15" s="56">
        <f>+P15</f>
      </c>
    </row>
    <row r="16">
      <c r="A16" s="1">
        <v>133106</v>
      </c>
      <c r="B16" s="52">
        <v>105</v>
      </c>
      <c r="C16" s="53" t="inlineStr">
        <is>
          <t>SAN ESTEBAN ATATLAHUACA</t>
        </is>
      </c>
      <c r="D16" s="57">
        <v>213</v>
      </c>
      <c r="E16" s="57">
        <v>267</v>
      </c>
      <c r="F16" s="10">
        <f>E16*0.666*24/72</f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5">
        <v>0</v>
      </c>
      <c r="M16" s="54">
        <v>0</v>
      </c>
      <c r="N16" s="55">
        <v>0</v>
      </c>
      <c r="O16" s="10">
        <v>0</v>
      </c>
      <c r="P16" s="54"/>
      <c r="Q16" s="56">
        <f>+P16</f>
      </c>
    </row>
    <row r="17">
      <c r="A17" s="1">
        <v>269103</v>
      </c>
      <c r="B17" s="52">
        <v>106</v>
      </c>
      <c r="C17" s="53" t="inlineStr">
        <is>
          <t>SAN MIGUEL EL GRANDE</t>
        </is>
      </c>
      <c r="D17" s="57">
        <v>60</v>
      </c>
      <c r="E17" s="57">
        <v>81</v>
      </c>
      <c r="F17" s="10">
        <f>E17*0.666*24/72</f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5">
        <v>0</v>
      </c>
      <c r="M17" s="54">
        <v>0</v>
      </c>
      <c r="N17" s="55">
        <v>0</v>
      </c>
      <c r="O17" s="10">
        <v>0</v>
      </c>
      <c r="P17" s="54"/>
      <c r="Q17" s="56">
        <f>+P17</f>
      </c>
    </row>
    <row r="18">
      <c r="A18" s="1">
        <v>320101</v>
      </c>
      <c r="B18" s="52">
        <v>4</v>
      </c>
      <c r="C18" s="53" t="inlineStr">
        <is>
          <t>SAN PEDRO MOLINOS</t>
        </is>
      </c>
      <c r="D18" s="57">
        <v>53</v>
      </c>
      <c r="E18" s="57">
        <v>74</v>
      </c>
      <c r="F18" s="10">
        <f>E18*0.666*24/72</f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5">
        <v>0</v>
      </c>
      <c r="M18" s="54">
        <v>0</v>
      </c>
      <c r="N18" s="55">
        <v>0</v>
      </c>
      <c r="O18" s="10">
        <v>0</v>
      </c>
      <c r="P18" s="54"/>
      <c r="Q18" s="56">
        <f>+P18</f>
      </c>
    </row>
    <row r="19">
      <c r="A19" s="1">
        <v>371102</v>
      </c>
      <c r="B19" s="52">
        <v>119</v>
      </c>
      <c r="C19" s="53" t="inlineStr">
        <is>
          <t>SANTA CATARINA TICU</t>
        </is>
      </c>
      <c r="D19" s="57">
        <v>76</v>
      </c>
      <c r="E19" s="57">
        <v>96</v>
      </c>
      <c r="F19" s="10">
        <f>E19*0.666*24/72</f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5">
        <v>0</v>
      </c>
      <c r="M19" s="54">
        <v>0</v>
      </c>
      <c r="N19" s="55">
        <v>0</v>
      </c>
      <c r="O19" s="10">
        <v>0</v>
      </c>
      <c r="P19" s="54"/>
      <c r="Q19" s="56">
        <f>+P19</f>
      </c>
    </row>
    <row r="20">
      <c r="A20" s="1">
        <v>510102</v>
      </c>
      <c r="B20" s="52">
        <v>10</v>
      </c>
      <c r="C20" s="53" t="inlineStr">
        <is>
          <t>SANTO DOMINGO IXCATL N</t>
        </is>
      </c>
      <c r="D20" s="57">
        <v>56</v>
      </c>
      <c r="E20" s="57">
        <v>64</v>
      </c>
      <c r="F20" s="10">
        <f>E20*0.666*24/72</f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5">
        <v>0</v>
      </c>
      <c r="M20" s="54">
        <v>0</v>
      </c>
      <c r="N20" s="55">
        <v>0</v>
      </c>
      <c r="O20" s="10">
        <v>0</v>
      </c>
      <c r="P20" s="54"/>
      <c r="Q20" s="56">
        <f>+P20</f>
      </c>
    </row>
    <row r="22">
      <c r="A22" s="43" t="inlineStr">
        <is>
          <t>T O T A L</t>
        </is>
      </c>
      <c r="B22" s="44"/>
      <c r="C22" s="45">
        <f>COUNTA(A14:A20)</f>
      </c>
      <c r="D22" s="65">
        <f>SUM(D14:D20)</f>
      </c>
      <c r="E22" s="65">
        <f>SUM(E14:E20)</f>
      </c>
      <c r="F22" s="65">
        <f>SUM(F14:F20)</f>
      </c>
      <c r="G22" s="65">
        <f>SUM(G14:G20)</f>
      </c>
      <c r="H22" s="65">
        <f>SUM(H14:H20)</f>
      </c>
      <c r="I22" s="65">
        <f>SUM(I14:I20)</f>
      </c>
      <c r="J22" s="65">
        <f>SUM(J14:J20)</f>
      </c>
      <c r="K22" s="65">
        <f>SUM(K14:K20)</f>
      </c>
      <c r="L22" s="65">
        <f>SUM(L14:L20)</f>
      </c>
      <c r="M22" s="65">
        <f>SUM(M14:M20)</f>
      </c>
      <c r="N22" s="65">
        <f>SUM(N14:N20)</f>
      </c>
      <c r="O22" s="65">
        <f>SUM(O14:O20)</f>
      </c>
      <c r="P22" s="65">
        <f>SUM(P14:P20)</f>
      </c>
      <c r="Q22" s="65">
        <f>SUM(Q14:Q20)</f>
      </c>
    </row>
    <row r="23">
      <c r="A23" s="66" t="inlineStr">
        <is>
          <t>OBSERVACIONES: </t>
        </is>
      </c>
      <c r="B23" s="67"/>
      <c r="C23" s="68"/>
      <c r="D23" s="69"/>
      <c r="E23" s="69"/>
      <c r="F23" s="70"/>
      <c r="G23" s="69"/>
      <c r="H23" s="69"/>
      <c r="I23" s="69"/>
      <c r="J23" s="69"/>
      <c r="K23" s="69"/>
      <c r="L23" s="70"/>
      <c r="M23" s="71"/>
      <c r="N23" s="72"/>
      <c r="O23" s="72"/>
      <c r="P23" s="73"/>
      <c r="Q23" s="74"/>
    </row>
    <row r="24">
      <c r="P24" s="65" t="inlineStr">
        <is>
          <t>TOTAL A RECIBIR EN ALMACEN:</t>
        </is>
      </c>
      <c r="Q24" s="65">
        <f>Q22</f>
      </c>
    </row>
    <row r="27">
      <c r="B27" s="40" t="inlineStr">
        <is>
          <t>ALMACEN RURAL : COIXTLAHUACA</t>
        </is>
      </c>
      <c r="C27" s="41"/>
    </row>
    <row r="30">
      <c r="A30" s="1">
        <v>100144</v>
      </c>
      <c r="B30" s="52">
        <v>50</v>
      </c>
      <c r="C30" s="53" t="inlineStr">
        <is>
          <t>COL CENTRO</t>
        </is>
      </c>
      <c r="D30" s="57">
        <v>210</v>
      </c>
      <c r="E30" s="57">
        <v>341</v>
      </c>
      <c r="F30" s="10">
        <f>E30*0.666*24/72</f>
      </c>
      <c r="G30" s="54">
        <v>0</v>
      </c>
      <c r="H30" s="54">
        <v>0</v>
      </c>
      <c r="I30" s="54">
        <v>0</v>
      </c>
      <c r="J30" s="54">
        <v>0</v>
      </c>
      <c r="K30" s="54">
        <v>0</v>
      </c>
      <c r="L30" s="55">
        <v>0</v>
      </c>
      <c r="M30" s="54">
        <v>0</v>
      </c>
      <c r="N30" s="55">
        <v>0</v>
      </c>
      <c r="O30" s="10">
        <v>0</v>
      </c>
      <c r="P30" s="54"/>
      <c r="Q30" s="56">
        <f>+P30</f>
      </c>
    </row>
    <row r="31">
      <c r="A31" s="1">
        <v>120438</v>
      </c>
      <c r="B31" s="52">
        <v>65</v>
      </c>
      <c r="C31" s="53" t="inlineStr">
        <is>
          <t>TEPELMEME VILLA DE MORELOS</t>
        </is>
      </c>
      <c r="D31" s="57">
        <v>136</v>
      </c>
      <c r="E31" s="57">
        <v>205</v>
      </c>
      <c r="F31" s="10">
        <f>E31*0.666*24/72</f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55">
        <v>0</v>
      </c>
      <c r="M31" s="54">
        <v>0</v>
      </c>
      <c r="N31" s="55">
        <v>0</v>
      </c>
      <c r="O31" s="10">
        <v>0</v>
      </c>
      <c r="P31" s="54"/>
      <c r="Q31" s="56">
        <f>+P31</f>
      </c>
    </row>
    <row r="32">
      <c r="A32" s="1">
        <v>283101</v>
      </c>
      <c r="B32" s="52">
        <v>66</v>
      </c>
      <c r="C32" s="53" t="inlineStr">
        <is>
          <t>SAN MIGUEL TEQUIXTEPEC</t>
        </is>
      </c>
      <c r="D32" s="57">
        <v>91</v>
      </c>
      <c r="E32" s="57">
        <v>127</v>
      </c>
      <c r="F32" s="10">
        <f>E32*0.666*24/72</f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55">
        <v>0</v>
      </c>
      <c r="M32" s="54">
        <v>0</v>
      </c>
      <c r="N32" s="55">
        <v>0</v>
      </c>
      <c r="O32" s="10">
        <v>0</v>
      </c>
      <c r="P32" s="54"/>
      <c r="Q32" s="56">
        <f>+P32</f>
      </c>
    </row>
    <row r="33">
      <c r="A33" s="1">
        <v>422101</v>
      </c>
      <c r="B33" s="52">
        <v>23</v>
      </c>
      <c r="C33" s="53" t="inlineStr">
        <is>
          <t>SANTA MARIA NATIVITAS</t>
        </is>
      </c>
      <c r="D33" s="57">
        <v>58</v>
      </c>
      <c r="E33" s="57">
        <v>79</v>
      </c>
      <c r="F33" s="10">
        <f>E33*0.666*24/72</f>
      </c>
      <c r="G33" s="54">
        <v>0</v>
      </c>
      <c r="H33" s="54">
        <v>0</v>
      </c>
      <c r="I33" s="54">
        <v>0</v>
      </c>
      <c r="J33" s="54">
        <v>0</v>
      </c>
      <c r="K33" s="54">
        <v>0</v>
      </c>
      <c r="L33" s="55">
        <v>0</v>
      </c>
      <c r="M33" s="54">
        <v>0</v>
      </c>
      <c r="N33" s="55">
        <v>0</v>
      </c>
      <c r="O33" s="10">
        <v>0</v>
      </c>
      <c r="P33" s="54"/>
      <c r="Q33" s="56">
        <f>+P33</f>
      </c>
    </row>
    <row r="34">
      <c r="A34" s="1">
        <v>552101</v>
      </c>
      <c r="B34" s="52">
        <v>27</v>
      </c>
      <c r="C34" s="53" t="inlineStr">
        <is>
          <t>TLACOTEPEC PLUMAS</t>
        </is>
      </c>
      <c r="D34" s="57">
        <v>53</v>
      </c>
      <c r="E34" s="57">
        <v>80</v>
      </c>
      <c r="F34" s="10">
        <f>E34*0.666*24/72</f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5">
        <v>0</v>
      </c>
      <c r="M34" s="54">
        <v>0</v>
      </c>
      <c r="N34" s="55">
        <v>0</v>
      </c>
      <c r="O34" s="10">
        <v>0</v>
      </c>
      <c r="P34" s="54"/>
      <c r="Q34" s="56">
        <f>+P34</f>
      </c>
    </row>
    <row r="35">
      <c r="A35" s="1">
        <v>556101</v>
      </c>
      <c r="B35" s="52">
        <v>10</v>
      </c>
      <c r="C35" s="53" t="inlineStr">
        <is>
          <t>LA TRINIDAD VISTA HERMOSA</t>
        </is>
      </c>
      <c r="D35" s="57">
        <v>69</v>
      </c>
      <c r="E35" s="57">
        <v>107</v>
      </c>
      <c r="F35" s="10">
        <f>E35*0.666*24/72</f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5">
        <v>0</v>
      </c>
      <c r="M35" s="54">
        <v>0</v>
      </c>
      <c r="N35" s="55">
        <v>0</v>
      </c>
      <c r="O35" s="10">
        <v>0</v>
      </c>
      <c r="P35" s="54"/>
      <c r="Q35" s="56">
        <f>+P35</f>
      </c>
    </row>
    <row r="37">
      <c r="A37" s="43" t="inlineStr">
        <is>
          <t>T O T A L</t>
        </is>
      </c>
      <c r="B37" s="44"/>
      <c r="C37" s="45">
        <f>COUNTA(A30:A35)</f>
      </c>
      <c r="D37" s="65">
        <f>SUM(D30:D35)</f>
      </c>
      <c r="E37" s="65">
        <f>SUM(E30:E35)</f>
      </c>
      <c r="F37" s="65">
        <f>SUM(F30:F35)</f>
      </c>
      <c r="G37" s="65">
        <f>SUM(G30:G35)</f>
      </c>
      <c r="H37" s="65">
        <f>SUM(H30:H35)</f>
      </c>
      <c r="I37" s="65">
        <f>SUM(I30:I35)</f>
      </c>
      <c r="J37" s="65">
        <f>SUM(J30:J35)</f>
      </c>
      <c r="K37" s="65">
        <f>SUM(K30:K35)</f>
      </c>
      <c r="L37" s="65">
        <f>SUM(L30:L35)</f>
      </c>
      <c r="M37" s="65">
        <f>SUM(M30:M35)</f>
      </c>
      <c r="N37" s="65">
        <f>SUM(N30:N35)</f>
      </c>
      <c r="O37" s="65">
        <f>SUM(O30:O35)</f>
      </c>
      <c r="P37" s="65">
        <f>SUM(P30:P35)</f>
      </c>
      <c r="Q37" s="65">
        <f>SUM(Q30:Q35)</f>
      </c>
    </row>
    <row r="38">
      <c r="A38" s="66" t="inlineStr">
        <is>
          <t>OBSERVACIONES: </t>
        </is>
      </c>
      <c r="B38" s="67"/>
      <c r="C38" s="68"/>
      <c r="D38" s="69"/>
      <c r="E38" s="69"/>
      <c r="F38" s="70"/>
      <c r="G38" s="69"/>
      <c r="H38" s="69"/>
      <c r="I38" s="69"/>
      <c r="J38" s="69"/>
      <c r="K38" s="69"/>
      <c r="L38" s="70"/>
      <c r="M38" s="71"/>
      <c r="N38" s="72"/>
      <c r="O38" s="72"/>
      <c r="P38" s="73"/>
      <c r="Q38" s="74"/>
    </row>
    <row r="39">
      <c r="P39" s="65" t="inlineStr">
        <is>
          <t>TOTAL A RECIBIR EN ALMACEN:</t>
        </is>
      </c>
      <c r="Q39" s="65">
        <f>Q37</f>
      </c>
    </row>
    <row r="42">
      <c r="B42" s="40" t="inlineStr">
        <is>
          <t>ALMACEN RURAL : CONSTANCIA DEL ROSARIO</t>
        </is>
      </c>
      <c r="C42" s="41"/>
    </row>
    <row r="45">
      <c r="A45" s="1">
        <v>73101</v>
      </c>
      <c r="B45" s="52">
        <v>46</v>
      </c>
      <c r="C45" s="53" t="inlineStr">
        <is>
          <t>SANTIAGO AMATE COLORADO</t>
        </is>
      </c>
      <c r="D45" s="57">
        <v>49</v>
      </c>
      <c r="E45" s="57">
        <v>83</v>
      </c>
      <c r="F45" s="10">
        <f>E45*0.666*24/72</f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55">
        <v>0</v>
      </c>
      <c r="M45" s="54">
        <v>0</v>
      </c>
      <c r="N45" s="55">
        <v>0</v>
      </c>
      <c r="O45" s="10">
        <v>0</v>
      </c>
      <c r="P45" s="54"/>
      <c r="Q45" s="56">
        <f>+P45</f>
      </c>
    </row>
    <row r="46">
      <c r="A46" s="1">
        <v>73113</v>
      </c>
      <c r="B46" s="52">
        <v>13</v>
      </c>
      <c r="C46" s="53" t="inlineStr">
        <is>
          <t>SAN PEDRO SINIYUVI</t>
        </is>
      </c>
      <c r="D46" s="57">
        <v>66</v>
      </c>
      <c r="E46" s="57">
        <v>79</v>
      </c>
      <c r="F46" s="10">
        <f>E46*0.666*24/72</f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55">
        <v>0</v>
      </c>
      <c r="M46" s="54">
        <v>0</v>
      </c>
      <c r="N46" s="55">
        <v>0</v>
      </c>
      <c r="O46" s="10">
        <v>0</v>
      </c>
      <c r="P46" s="54"/>
      <c r="Q46" s="56">
        <f>+P46</f>
      </c>
    </row>
    <row r="47">
      <c r="A47" s="1">
        <v>73114</v>
      </c>
      <c r="B47" s="52">
        <v>9</v>
      </c>
      <c r="C47" s="53" t="inlineStr">
        <is>
          <t>SAN ANDRES CHICAHUAXTLA</t>
        </is>
      </c>
      <c r="D47" s="57">
        <v>68</v>
      </c>
      <c r="E47" s="57">
        <v>81</v>
      </c>
      <c r="F47" s="10">
        <f>E47*0.666*24/72</f>
      </c>
      <c r="G47" s="54">
        <v>0</v>
      </c>
      <c r="H47" s="54">
        <v>0</v>
      </c>
      <c r="I47" s="54">
        <v>0</v>
      </c>
      <c r="J47" s="54">
        <v>0</v>
      </c>
      <c r="K47" s="54">
        <v>0</v>
      </c>
      <c r="L47" s="55">
        <v>0</v>
      </c>
      <c r="M47" s="54">
        <v>0</v>
      </c>
      <c r="N47" s="55">
        <v>0</v>
      </c>
      <c r="O47" s="10">
        <v>0</v>
      </c>
      <c r="P47" s="54"/>
      <c r="Q47" s="56">
        <f>+P47</f>
      </c>
    </row>
    <row r="48">
      <c r="A48" s="1">
        <v>73115</v>
      </c>
      <c r="B48" s="52">
        <v>31</v>
      </c>
      <c r="C48" s="53" t="inlineStr">
        <is>
          <t>ASUNCION ATOYAQUILLO</t>
        </is>
      </c>
      <c r="D48" s="57">
        <v>101</v>
      </c>
      <c r="E48" s="57">
        <v>120</v>
      </c>
      <c r="F48" s="10">
        <f>E48*0.666*24/72</f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55">
        <v>0</v>
      </c>
      <c r="M48" s="54">
        <v>0</v>
      </c>
      <c r="N48" s="55">
        <v>0</v>
      </c>
      <c r="O48" s="10">
        <v>0</v>
      </c>
      <c r="P48" s="54"/>
      <c r="Q48" s="56">
        <f>+P48</f>
      </c>
    </row>
    <row r="49">
      <c r="A49" s="1">
        <v>76101</v>
      </c>
      <c r="B49" s="52">
        <v>33</v>
      </c>
      <c r="C49" s="53" t="inlineStr">
        <is>
          <t>LA REFORMA</t>
        </is>
      </c>
      <c r="D49" s="57">
        <v>78</v>
      </c>
      <c r="E49" s="57">
        <v>123</v>
      </c>
      <c r="F49" s="10">
        <f>E49*0.666*24/72</f>
      </c>
      <c r="G49" s="54">
        <v>0</v>
      </c>
      <c r="H49" s="54">
        <v>0</v>
      </c>
      <c r="I49" s="54">
        <v>0</v>
      </c>
      <c r="J49" s="54">
        <v>0</v>
      </c>
      <c r="K49" s="54">
        <v>0</v>
      </c>
      <c r="L49" s="55">
        <v>0</v>
      </c>
      <c r="M49" s="54">
        <v>0</v>
      </c>
      <c r="N49" s="55">
        <v>0</v>
      </c>
      <c r="O49" s="10">
        <v>0</v>
      </c>
      <c r="P49" s="54"/>
      <c r="Q49" s="56">
        <f>+P49</f>
      </c>
    </row>
    <row r="50">
      <c r="A50" s="1">
        <v>76102</v>
      </c>
      <c r="B50" s="52">
        <v>42</v>
      </c>
      <c r="C50" s="53" t="inlineStr">
        <is>
          <t>ESTANZUELA GRANDE</t>
        </is>
      </c>
      <c r="D50" s="57">
        <v>61</v>
      </c>
      <c r="E50" s="57">
        <v>94</v>
      </c>
      <c r="F50" s="10">
        <f>E50*0.666*24/72</f>
      </c>
      <c r="G50" s="54">
        <v>0</v>
      </c>
      <c r="H50" s="54">
        <v>0</v>
      </c>
      <c r="I50" s="54">
        <v>0</v>
      </c>
      <c r="J50" s="54">
        <v>0</v>
      </c>
      <c r="K50" s="54">
        <v>0</v>
      </c>
      <c r="L50" s="55">
        <v>0</v>
      </c>
      <c r="M50" s="54">
        <v>0</v>
      </c>
      <c r="N50" s="55">
        <v>0</v>
      </c>
      <c r="O50" s="10">
        <v>0</v>
      </c>
      <c r="P50" s="54"/>
      <c r="Q50" s="56">
        <f>+P50</f>
      </c>
    </row>
    <row r="51">
      <c r="A51" s="1">
        <v>120347</v>
      </c>
      <c r="B51" s="52">
        <v>79</v>
      </c>
      <c r="C51" s="53" t="inlineStr">
        <is>
          <t>PUTLA DE GUERRERO</t>
        </is>
      </c>
      <c r="D51" s="57">
        <v>485</v>
      </c>
      <c r="E51" s="57">
        <v>705</v>
      </c>
      <c r="F51" s="10">
        <f>E51*0.666*24/72</f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55">
        <v>0</v>
      </c>
      <c r="M51" s="54">
        <v>0</v>
      </c>
      <c r="N51" s="55">
        <v>0</v>
      </c>
      <c r="O51" s="10">
        <v>0</v>
      </c>
      <c r="P51" s="54"/>
      <c r="Q51" s="56">
        <f>+P51</f>
      </c>
    </row>
    <row r="52">
      <c r="A52" s="1">
        <v>120427</v>
      </c>
      <c r="B52" s="52">
        <v>93</v>
      </c>
      <c r="C52" s="53" t="inlineStr">
        <is>
          <t>NUEVO TENOCHTITLAN</t>
        </is>
      </c>
      <c r="D52" s="57">
        <v>56</v>
      </c>
      <c r="E52" s="57">
        <v>80</v>
      </c>
      <c r="F52" s="10">
        <f>E52*0.666*24/72</f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  <c r="L52" s="55">
        <v>0</v>
      </c>
      <c r="M52" s="54">
        <v>0</v>
      </c>
      <c r="N52" s="55">
        <v>0</v>
      </c>
      <c r="O52" s="10">
        <v>0</v>
      </c>
      <c r="P52" s="54"/>
      <c r="Q52" s="56">
        <f>+P52</f>
      </c>
    </row>
    <row r="53">
      <c r="A53" s="1">
        <v>120535</v>
      </c>
      <c r="B53" s="52">
        <v>24</v>
      </c>
      <c r="C53" s="53" t="inlineStr">
        <is>
          <t>SANTA MARIA ZACATEPEC</t>
        </is>
      </c>
      <c r="D53" s="57">
        <v>309</v>
      </c>
      <c r="E53" s="57">
        <v>495</v>
      </c>
      <c r="F53" s="10">
        <f>E53*0.666*24/72</f>
      </c>
      <c r="G53" s="54">
        <v>0</v>
      </c>
      <c r="H53" s="54">
        <v>0</v>
      </c>
      <c r="I53" s="54">
        <v>0</v>
      </c>
      <c r="J53" s="54">
        <v>0</v>
      </c>
      <c r="K53" s="54">
        <v>0</v>
      </c>
      <c r="L53" s="55">
        <v>0</v>
      </c>
      <c r="M53" s="54">
        <v>0</v>
      </c>
      <c r="N53" s="55">
        <v>0</v>
      </c>
      <c r="O53" s="10">
        <v>0</v>
      </c>
      <c r="P53" s="54"/>
      <c r="Q53" s="56">
        <f>+P53</f>
      </c>
    </row>
    <row r="54">
      <c r="A54" s="1">
        <v>415101</v>
      </c>
      <c r="B54" s="52">
        <v>17</v>
      </c>
      <c r="C54" s="53" t="inlineStr">
        <is>
          <t>ZOCOTEACA DE LEON</t>
        </is>
      </c>
      <c r="D54" s="57">
        <v>68</v>
      </c>
      <c r="E54" s="57">
        <v>95</v>
      </c>
      <c r="F54" s="10">
        <f>E54*0.666*24/72</f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5">
        <v>0</v>
      </c>
      <c r="M54" s="54">
        <v>0</v>
      </c>
      <c r="N54" s="55">
        <v>0</v>
      </c>
      <c r="O54" s="10">
        <v>0</v>
      </c>
      <c r="P54" s="54"/>
      <c r="Q54" s="56">
        <f>+P54</f>
      </c>
    </row>
    <row r="55">
      <c r="A55" s="1">
        <v>415102</v>
      </c>
      <c r="B55" s="52">
        <v>14</v>
      </c>
      <c r="C55" s="53" t="inlineStr">
        <is>
          <t>SANTA MARIA IPALAPA</t>
        </is>
      </c>
      <c r="D55" s="57">
        <v>71</v>
      </c>
      <c r="E55" s="57">
        <v>87</v>
      </c>
      <c r="F55" s="10">
        <f>E55*0.666*24/72</f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5">
        <v>0</v>
      </c>
      <c r="M55" s="54">
        <v>0</v>
      </c>
      <c r="N55" s="55">
        <v>0</v>
      </c>
      <c r="O55" s="10">
        <v>0</v>
      </c>
      <c r="P55" s="54"/>
      <c r="Q55" s="56">
        <f>+P55</f>
      </c>
    </row>
    <row r="56">
      <c r="A56" s="1">
        <v>415103</v>
      </c>
      <c r="B56" s="52">
        <v>49</v>
      </c>
      <c r="C56" s="53" t="inlineStr">
        <is>
          <t>SANTA MARIA EL RINCON</t>
        </is>
      </c>
      <c r="D56" s="57">
        <v>61</v>
      </c>
      <c r="E56" s="57">
        <v>85</v>
      </c>
      <c r="F56" s="10">
        <f>E56*0.666*24/72</f>
      </c>
      <c r="G56" s="54">
        <v>0</v>
      </c>
      <c r="H56" s="54">
        <v>0</v>
      </c>
      <c r="I56" s="54">
        <v>0</v>
      </c>
      <c r="J56" s="54">
        <v>0</v>
      </c>
      <c r="K56" s="54">
        <v>0</v>
      </c>
      <c r="L56" s="55">
        <v>0</v>
      </c>
      <c r="M56" s="54">
        <v>0</v>
      </c>
      <c r="N56" s="55">
        <v>0</v>
      </c>
      <c r="O56" s="10">
        <v>0</v>
      </c>
      <c r="P56" s="54"/>
      <c r="Q56" s="56">
        <f>+P56</f>
      </c>
    </row>
    <row r="57">
      <c r="A57" s="1">
        <v>446101</v>
      </c>
      <c r="B57" s="52">
        <v>4</v>
      </c>
      <c r="C57" s="53" t="inlineStr">
        <is>
          <t>REYES LLANO GRANDE</t>
        </is>
      </c>
      <c r="D57" s="57">
        <v>38</v>
      </c>
      <c r="E57" s="57">
        <v>52</v>
      </c>
      <c r="F57" s="10">
        <f>E57*0.666*24/72</f>
      </c>
      <c r="G57" s="54">
        <v>0</v>
      </c>
      <c r="H57" s="54">
        <v>0</v>
      </c>
      <c r="I57" s="54">
        <v>0</v>
      </c>
      <c r="J57" s="54">
        <v>0</v>
      </c>
      <c r="K57" s="54">
        <v>0</v>
      </c>
      <c r="L57" s="55">
        <v>0</v>
      </c>
      <c r="M57" s="54">
        <v>0</v>
      </c>
      <c r="N57" s="55">
        <v>0</v>
      </c>
      <c r="O57" s="10">
        <v>0</v>
      </c>
      <c r="P57" s="54"/>
      <c r="Q57" s="56">
        <f>+P57</f>
      </c>
    </row>
    <row r="58">
      <c r="A58" s="1">
        <v>447103</v>
      </c>
      <c r="B58" s="52">
        <v>1</v>
      </c>
      <c r="C58" s="53" t="inlineStr">
        <is>
          <t>SAN JUAN CABEZA DEL RIO</t>
        </is>
      </c>
      <c r="D58" s="57">
        <v>104</v>
      </c>
      <c r="E58" s="57">
        <v>129</v>
      </c>
      <c r="F58" s="10">
        <f>E58*0.666*24/72</f>
      </c>
      <c r="G58" s="54">
        <v>0</v>
      </c>
      <c r="H58" s="54">
        <v>0</v>
      </c>
      <c r="I58" s="54">
        <v>0</v>
      </c>
      <c r="J58" s="54">
        <v>0</v>
      </c>
      <c r="K58" s="54">
        <v>0</v>
      </c>
      <c r="L58" s="55">
        <v>0</v>
      </c>
      <c r="M58" s="54">
        <v>0</v>
      </c>
      <c r="N58" s="55">
        <v>0</v>
      </c>
      <c r="O58" s="10">
        <v>0</v>
      </c>
      <c r="P58" s="54"/>
      <c r="Q58" s="56">
        <f>+P58</f>
      </c>
    </row>
    <row r="59">
      <c r="A59" s="1">
        <v>447106</v>
      </c>
      <c r="B59" s="52">
        <v>30</v>
      </c>
      <c r="C59" s="53" t="inlineStr">
        <is>
          <t>SANTIAGO LLANO GRANDE</t>
        </is>
      </c>
      <c r="D59" s="57">
        <v>44</v>
      </c>
      <c r="E59" s="57">
        <v>54</v>
      </c>
      <c r="F59" s="10">
        <f>E59*0.666*24/72</f>
      </c>
      <c r="G59" s="54">
        <v>0</v>
      </c>
      <c r="H59" s="54">
        <v>0</v>
      </c>
      <c r="I59" s="54">
        <v>0</v>
      </c>
      <c r="J59" s="54">
        <v>0</v>
      </c>
      <c r="K59" s="54">
        <v>0</v>
      </c>
      <c r="L59" s="55">
        <v>0</v>
      </c>
      <c r="M59" s="54">
        <v>0</v>
      </c>
      <c r="N59" s="55">
        <v>0</v>
      </c>
      <c r="O59" s="10">
        <v>0</v>
      </c>
      <c r="P59" s="54"/>
      <c r="Q59" s="56">
        <f>+P59</f>
      </c>
    </row>
    <row r="60">
      <c r="A60" s="1">
        <v>469104</v>
      </c>
      <c r="B60" s="52">
        <v>64</v>
      </c>
      <c r="C60" s="53" t="inlineStr">
        <is>
          <t>EL RASTROJO</t>
        </is>
      </c>
      <c r="D60" s="57">
        <v>82</v>
      </c>
      <c r="E60" s="57">
        <v>125</v>
      </c>
      <c r="F60" s="10">
        <f>E60*0.666*24/72</f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5">
        <v>0</v>
      </c>
      <c r="M60" s="54">
        <v>0</v>
      </c>
      <c r="N60" s="55">
        <v>0</v>
      </c>
      <c r="O60" s="10">
        <v>0</v>
      </c>
      <c r="P60" s="54"/>
      <c r="Q60" s="56">
        <f>+P60</f>
      </c>
    </row>
    <row r="61">
      <c r="A61" s="1">
        <v>469105</v>
      </c>
      <c r="B61" s="52">
        <v>103</v>
      </c>
      <c r="C61" s="53" t="inlineStr">
        <is>
          <t>LAZARO CARDENAS COPALA</t>
        </is>
      </c>
      <c r="D61" s="57">
        <v>54</v>
      </c>
      <c r="E61" s="57">
        <v>104</v>
      </c>
      <c r="F61" s="10">
        <f>E61*0.666*24/72</f>
      </c>
      <c r="G61" s="54">
        <v>0</v>
      </c>
      <c r="H61" s="54">
        <v>0</v>
      </c>
      <c r="I61" s="54">
        <v>0</v>
      </c>
      <c r="J61" s="54">
        <v>0</v>
      </c>
      <c r="K61" s="54">
        <v>0</v>
      </c>
      <c r="L61" s="55">
        <v>0</v>
      </c>
      <c r="M61" s="54">
        <v>0</v>
      </c>
      <c r="N61" s="55">
        <v>0</v>
      </c>
      <c r="O61" s="10">
        <v>0</v>
      </c>
      <c r="P61" s="54"/>
      <c r="Q61" s="56">
        <f>+P61</f>
      </c>
    </row>
    <row r="63">
      <c r="A63" s="43" t="inlineStr">
        <is>
          <t>T O T A L</t>
        </is>
      </c>
      <c r="B63" s="44"/>
      <c r="C63" s="45">
        <f>COUNTA(A45:A61)</f>
      </c>
      <c r="D63" s="65">
        <f>SUM(D45:D61)</f>
      </c>
      <c r="E63" s="65">
        <f>SUM(E45:E61)</f>
      </c>
      <c r="F63" s="65">
        <f>SUM(F45:F61)</f>
      </c>
      <c r="G63" s="65">
        <f>SUM(G45:G61)</f>
      </c>
      <c r="H63" s="65">
        <f>SUM(H45:H61)</f>
      </c>
      <c r="I63" s="65">
        <f>SUM(I45:I61)</f>
      </c>
      <c r="J63" s="65">
        <f>SUM(J45:J61)</f>
      </c>
      <c r="K63" s="65">
        <f>SUM(K45:K61)</f>
      </c>
      <c r="L63" s="65">
        <f>SUM(L45:L61)</f>
      </c>
      <c r="M63" s="65">
        <f>SUM(M45:M61)</f>
      </c>
      <c r="N63" s="65">
        <f>SUM(N45:N61)</f>
      </c>
      <c r="O63" s="65">
        <f>SUM(O45:O61)</f>
      </c>
      <c r="P63" s="65">
        <f>SUM(P45:P61)</f>
      </c>
      <c r="Q63" s="65">
        <f>SUM(Q45:Q61)</f>
      </c>
    </row>
    <row r="64">
      <c r="A64" s="66" t="inlineStr">
        <is>
          <t>OBSERVACIONES: </t>
        </is>
      </c>
      <c r="B64" s="67"/>
      <c r="C64" s="68"/>
      <c r="D64" s="69"/>
      <c r="E64" s="69"/>
      <c r="F64" s="70"/>
      <c r="G64" s="69"/>
      <c r="H64" s="69"/>
      <c r="I64" s="69"/>
      <c r="J64" s="69"/>
      <c r="K64" s="69"/>
      <c r="L64" s="70"/>
      <c r="M64" s="71"/>
      <c r="N64" s="72"/>
      <c r="O64" s="72"/>
      <c r="P64" s="73"/>
      <c r="Q64" s="74"/>
    </row>
    <row r="65">
      <c r="P65" s="65" t="inlineStr">
        <is>
          <t>TOTAL A RECIBIR EN ALMACEN:</t>
        </is>
      </c>
      <c r="Q65" s="65">
        <f>Q63</f>
      </c>
    </row>
    <row r="68">
      <c r="B68" s="40" t="inlineStr">
        <is>
          <t>ALMACEN RURAL : HUAJOLOTITLAN</t>
        </is>
      </c>
      <c r="C68" s="41"/>
    </row>
    <row r="71">
      <c r="A71" s="1">
        <v>22101</v>
      </c>
      <c r="B71" s="52">
        <v>14</v>
      </c>
      <c r="C71" s="53" t="inlineStr">
        <is>
          <t>COSOLTEPEC</t>
        </is>
      </c>
      <c r="D71" s="57">
        <v>68</v>
      </c>
      <c r="E71" s="57">
        <v>87</v>
      </c>
      <c r="F71" s="10">
        <f>E71*0.666*24/72</f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5">
        <v>0</v>
      </c>
      <c r="M71" s="54">
        <v>0</v>
      </c>
      <c r="N71" s="55">
        <v>0</v>
      </c>
      <c r="O71" s="10">
        <v>0</v>
      </c>
      <c r="P71" s="54"/>
      <c r="Q71" s="56">
        <f>+P71</f>
      </c>
    </row>
    <row r="72">
      <c r="A72" s="1">
        <v>39114</v>
      </c>
      <c r="B72" s="52">
        <v>8</v>
      </c>
      <c r="C72" s="53" t="inlineStr">
        <is>
          <t>EL MOLINO</t>
        </is>
      </c>
      <c r="D72" s="57">
        <v>71</v>
      </c>
      <c r="E72" s="57">
        <v>92</v>
      </c>
      <c r="F72" s="10">
        <f>E72*0.666*24/72</f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5">
        <v>0</v>
      </c>
      <c r="M72" s="54">
        <v>0</v>
      </c>
      <c r="N72" s="55">
        <v>0</v>
      </c>
      <c r="O72" s="10">
        <v>0</v>
      </c>
      <c r="P72" s="54"/>
      <c r="Q72" s="56">
        <f>+P72</f>
      </c>
    </row>
    <row r="73">
      <c r="A73" s="1">
        <v>39115</v>
      </c>
      <c r="B73" s="52">
        <v>108</v>
      </c>
      <c r="C73" s="53" t="inlineStr">
        <is>
          <t>BUENA VISTA</t>
        </is>
      </c>
      <c r="D73" s="57">
        <v>77</v>
      </c>
      <c r="E73" s="57">
        <v>102</v>
      </c>
      <c r="F73" s="10">
        <f>E73*0.666*24/72</f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5">
        <v>0</v>
      </c>
      <c r="M73" s="54">
        <v>0</v>
      </c>
      <c r="N73" s="55">
        <v>0</v>
      </c>
      <c r="O73" s="10">
        <v>0</v>
      </c>
      <c r="P73" s="54"/>
      <c r="Q73" s="56">
        <f>+P73</f>
      </c>
    </row>
    <row r="74">
      <c r="A74" s="1">
        <v>120439</v>
      </c>
      <c r="B74" s="52">
        <v>85</v>
      </c>
      <c r="C74" s="53" t="inlineStr">
        <is>
          <t>TEZOATLAN DE SEGURA Y LUNA</t>
        </is>
      </c>
      <c r="D74" s="57">
        <v>305</v>
      </c>
      <c r="E74" s="57">
        <v>465</v>
      </c>
      <c r="F74" s="10">
        <f>E74*0.666*24/72</f>
      </c>
      <c r="G74" s="54">
        <v>0</v>
      </c>
      <c r="H74" s="54">
        <v>0</v>
      </c>
      <c r="I74" s="54">
        <v>0</v>
      </c>
      <c r="J74" s="54">
        <v>0</v>
      </c>
      <c r="K74" s="54">
        <v>0</v>
      </c>
      <c r="L74" s="55">
        <v>0</v>
      </c>
      <c r="M74" s="54">
        <v>0</v>
      </c>
      <c r="N74" s="55">
        <v>0</v>
      </c>
      <c r="O74" s="10">
        <v>0</v>
      </c>
      <c r="P74" s="54"/>
      <c r="Q74" s="56">
        <f>+P74</f>
      </c>
    </row>
    <row r="75">
      <c r="A75" s="1">
        <v>120448</v>
      </c>
      <c r="B75" s="52">
        <v>21</v>
      </c>
      <c r="C75" s="53" t="inlineStr">
        <is>
          <t>SANTIAGO CHAZUMBA</t>
        </is>
      </c>
      <c r="D75" s="57">
        <v>250</v>
      </c>
      <c r="E75" s="57">
        <v>392</v>
      </c>
      <c r="F75" s="10">
        <f>E75*0.666*24/72</f>
      </c>
      <c r="G75" s="54">
        <v>0</v>
      </c>
      <c r="H75" s="54">
        <v>0</v>
      </c>
      <c r="I75" s="54">
        <v>0</v>
      </c>
      <c r="J75" s="54">
        <v>0</v>
      </c>
      <c r="K75" s="54">
        <v>0</v>
      </c>
      <c r="L75" s="55">
        <v>0</v>
      </c>
      <c r="M75" s="54">
        <v>0</v>
      </c>
      <c r="N75" s="55">
        <v>0</v>
      </c>
      <c r="O75" s="10">
        <v>0</v>
      </c>
      <c r="P75" s="54"/>
      <c r="Q75" s="56">
        <f>+P75</f>
      </c>
    </row>
    <row r="76">
      <c r="A76" s="1">
        <v>120458</v>
      </c>
      <c r="B76" s="52">
        <v>31</v>
      </c>
      <c r="C76" s="53" t="inlineStr">
        <is>
          <t>SANTIAGO MILTEPEC</t>
        </is>
      </c>
      <c r="D76" s="57">
        <v>76</v>
      </c>
      <c r="E76" s="57">
        <v>118</v>
      </c>
      <c r="F76" s="10">
        <f>E76*0.666*24/72</f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5">
        <v>0</v>
      </c>
      <c r="M76" s="54">
        <v>0</v>
      </c>
      <c r="N76" s="55">
        <v>0</v>
      </c>
      <c r="O76" s="10">
        <v>0</v>
      </c>
      <c r="P76" s="54"/>
      <c r="Q76" s="56">
        <f>+P76</f>
      </c>
    </row>
    <row r="77">
      <c r="A77" s="1">
        <v>165101</v>
      </c>
      <c r="B77" s="52">
        <v>11</v>
      </c>
      <c r="C77" s="53" t="inlineStr">
        <is>
          <t>SAN JOSE AYUQUILLA</t>
        </is>
      </c>
      <c r="D77" s="57">
        <v>45</v>
      </c>
      <c r="E77" s="57">
        <v>65</v>
      </c>
      <c r="F77" s="10">
        <f>E77*0.666*24/72</f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5">
        <v>0</v>
      </c>
      <c r="M77" s="54">
        <v>0</v>
      </c>
      <c r="N77" s="55">
        <v>0</v>
      </c>
      <c r="O77" s="10">
        <v>0</v>
      </c>
      <c r="P77" s="54"/>
      <c r="Q77" s="56">
        <f>+P77</f>
      </c>
    </row>
    <row r="78">
      <c r="A78" s="1">
        <v>237101</v>
      </c>
      <c r="B78" s="52">
        <v>91</v>
      </c>
      <c r="C78" s="53" t="inlineStr">
        <is>
          <t>SAN MARCOS ARTEAGA</t>
        </is>
      </c>
      <c r="D78" s="57">
        <v>67</v>
      </c>
      <c r="E78" s="57">
        <v>107</v>
      </c>
      <c r="F78" s="10">
        <f>E78*0.666*24/72</f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5">
        <v>0</v>
      </c>
      <c r="M78" s="54">
        <v>0</v>
      </c>
      <c r="N78" s="55">
        <v>0</v>
      </c>
      <c r="O78" s="10">
        <v>0</v>
      </c>
      <c r="P78" s="54"/>
      <c r="Q78" s="56">
        <f>+P78</f>
      </c>
    </row>
    <row r="79">
      <c r="A79" s="1">
        <v>340102</v>
      </c>
      <c r="B79" s="52">
        <v>23</v>
      </c>
      <c r="C79" s="53" t="inlineStr">
        <is>
          <t>SAN PEDRO Y SAN PABLO TEQUIXTEPEC</t>
        </is>
      </c>
      <c r="D79" s="57">
        <v>77</v>
      </c>
      <c r="E79" s="57">
        <v>100</v>
      </c>
      <c r="F79" s="10">
        <f>E79*0.666*24/72</f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5">
        <v>0</v>
      </c>
      <c r="M79" s="54">
        <v>0</v>
      </c>
      <c r="N79" s="55">
        <v>0</v>
      </c>
      <c r="O79" s="10">
        <v>0</v>
      </c>
      <c r="P79" s="54"/>
      <c r="Q79" s="56">
        <f>+P79</f>
      </c>
    </row>
    <row r="80">
      <c r="A80" s="1">
        <v>549102</v>
      </c>
      <c r="B80" s="52">
        <v>62</v>
      </c>
      <c r="C80" s="53" t="inlineStr">
        <is>
          <t>SAN ANDRES YUTAT O</t>
        </is>
      </c>
      <c r="D80" s="57">
        <v>33</v>
      </c>
      <c r="E80" s="57">
        <v>50</v>
      </c>
      <c r="F80" s="10">
        <f>E80*0.666*24/72</f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5">
        <v>0</v>
      </c>
      <c r="M80" s="54">
        <v>0</v>
      </c>
      <c r="N80" s="55">
        <v>0</v>
      </c>
      <c r="O80" s="10">
        <v>0</v>
      </c>
      <c r="P80" s="54"/>
      <c r="Q80" s="56">
        <f>+P80</f>
      </c>
    </row>
    <row r="81">
      <c r="A81" s="1">
        <v>549103</v>
      </c>
      <c r="B81" s="52">
        <v>94</v>
      </c>
      <c r="C81" s="53" t="inlineStr">
        <is>
          <t>SAN MARTIN DEL RIO</t>
        </is>
      </c>
      <c r="D81" s="57">
        <v>64</v>
      </c>
      <c r="E81" s="57">
        <v>91</v>
      </c>
      <c r="F81" s="10">
        <f>E81*0.666*24/72</f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5">
        <v>0</v>
      </c>
      <c r="M81" s="54">
        <v>0</v>
      </c>
      <c r="N81" s="55">
        <v>0</v>
      </c>
      <c r="O81" s="10">
        <v>0</v>
      </c>
      <c r="P81" s="54"/>
      <c r="Q81" s="56">
        <f>+P81</f>
      </c>
    </row>
    <row r="82">
      <c r="A82" s="1">
        <v>549104</v>
      </c>
      <c r="B82" s="52">
        <v>23</v>
      </c>
      <c r="C82" s="53" t="inlineStr">
        <is>
          <t>SANTA MARIA TINDU</t>
        </is>
      </c>
      <c r="D82" s="57">
        <v>73</v>
      </c>
      <c r="E82" s="57">
        <v>128</v>
      </c>
      <c r="F82" s="10">
        <f>E82*0.666*24/72</f>
      </c>
      <c r="G82" s="54">
        <v>0</v>
      </c>
      <c r="H82" s="54">
        <v>0</v>
      </c>
      <c r="I82" s="54">
        <v>0</v>
      </c>
      <c r="J82" s="54">
        <v>0</v>
      </c>
      <c r="K82" s="54">
        <v>0</v>
      </c>
      <c r="L82" s="55">
        <v>0</v>
      </c>
      <c r="M82" s="54">
        <v>0</v>
      </c>
      <c r="N82" s="55">
        <v>0</v>
      </c>
      <c r="O82" s="10">
        <v>0</v>
      </c>
      <c r="P82" s="54"/>
      <c r="Q82" s="56">
        <f>+P82</f>
      </c>
    </row>
    <row r="83">
      <c r="A83" s="1">
        <v>549105</v>
      </c>
      <c r="B83" s="52">
        <v>118</v>
      </c>
      <c r="C83" s="53" t="inlineStr">
        <is>
          <t>GUADALUPE DE CISNEROS</t>
        </is>
      </c>
      <c r="D83" s="57">
        <v>88</v>
      </c>
      <c r="E83" s="57">
        <v>136</v>
      </c>
      <c r="F83" s="10">
        <f>E83*0.666*24/72</f>
      </c>
      <c r="G83" s="54">
        <v>0</v>
      </c>
      <c r="H83" s="54">
        <v>0</v>
      </c>
      <c r="I83" s="54">
        <v>0</v>
      </c>
      <c r="J83" s="54">
        <v>0</v>
      </c>
      <c r="K83" s="54">
        <v>0</v>
      </c>
      <c r="L83" s="55">
        <v>0</v>
      </c>
      <c r="M83" s="54">
        <v>0</v>
      </c>
      <c r="N83" s="55">
        <v>0</v>
      </c>
      <c r="O83" s="10">
        <v>0</v>
      </c>
      <c r="P83" s="54"/>
      <c r="Q83" s="56">
        <f>+P83</f>
      </c>
    </row>
    <row r="85">
      <c r="A85" s="43" t="inlineStr">
        <is>
          <t>T O T A L</t>
        </is>
      </c>
      <c r="B85" s="44"/>
      <c r="C85" s="45">
        <f>COUNTA(A71:A83)</f>
      </c>
      <c r="D85" s="65">
        <f>SUM(D71:D83)</f>
      </c>
      <c r="E85" s="65">
        <f>SUM(E71:E83)</f>
      </c>
      <c r="F85" s="65">
        <f>SUM(F71:F83)</f>
      </c>
      <c r="G85" s="65">
        <f>SUM(G71:G83)</f>
      </c>
      <c r="H85" s="65">
        <f>SUM(H71:H83)</f>
      </c>
      <c r="I85" s="65">
        <f>SUM(I71:I83)</f>
      </c>
      <c r="J85" s="65">
        <f>SUM(J71:J83)</f>
      </c>
      <c r="K85" s="65">
        <f>SUM(K71:K83)</f>
      </c>
      <c r="L85" s="65">
        <f>SUM(L71:L83)</f>
      </c>
      <c r="M85" s="65">
        <f>SUM(M71:M83)</f>
      </c>
      <c r="N85" s="65">
        <f>SUM(N71:N83)</f>
      </c>
      <c r="O85" s="65">
        <f>SUM(O71:O83)</f>
      </c>
      <c r="P85" s="65">
        <f>SUM(P71:P83)</f>
      </c>
      <c r="Q85" s="65">
        <f>SUM(Q71:Q83)</f>
      </c>
    </row>
    <row r="86">
      <c r="A86" s="66" t="inlineStr">
        <is>
          <t>OBSERVACIONES: </t>
        </is>
      </c>
      <c r="B86" s="67"/>
      <c r="C86" s="68"/>
      <c r="D86" s="69"/>
      <c r="E86" s="69"/>
      <c r="F86" s="70"/>
      <c r="G86" s="69"/>
      <c r="H86" s="69"/>
      <c r="I86" s="69"/>
      <c r="J86" s="69"/>
      <c r="K86" s="69"/>
      <c r="L86" s="70"/>
      <c r="M86" s="71"/>
      <c r="N86" s="72"/>
      <c r="O86" s="72"/>
      <c r="P86" s="73"/>
      <c r="Q86" s="74"/>
    </row>
    <row r="87">
      <c r="P87" s="65" t="inlineStr">
        <is>
          <t>TOTAL A RECIBIR EN ALMACEN:</t>
        </is>
      </c>
      <c r="Q87" s="65">
        <f>Q85</f>
      </c>
    </row>
    <row r="90">
      <c r="B90" s="40" t="inlineStr">
        <is>
          <t>ALMACEN RURAL : TACACHE DE MINA</t>
        </is>
      </c>
      <c r="C90" s="41"/>
    </row>
    <row r="93">
      <c r="A93" s="1">
        <v>55101</v>
      </c>
      <c r="B93" s="52">
        <v>17</v>
      </c>
      <c r="C93" s="53" t="inlineStr">
        <is>
          <t>MARISCALA DE JUAREZ</t>
        </is>
      </c>
      <c r="D93" s="57">
        <v>139</v>
      </c>
      <c r="E93" s="57">
        <v>206</v>
      </c>
      <c r="F93" s="10">
        <f>E93*0.666*24/72</f>
      </c>
      <c r="G93" s="54">
        <v>0</v>
      </c>
      <c r="H93" s="54">
        <v>0</v>
      </c>
      <c r="I93" s="54">
        <v>0</v>
      </c>
      <c r="J93" s="54">
        <v>0</v>
      </c>
      <c r="K93" s="54">
        <v>0</v>
      </c>
      <c r="L93" s="55">
        <v>0</v>
      </c>
      <c r="M93" s="54">
        <v>0</v>
      </c>
      <c r="N93" s="55">
        <v>0</v>
      </c>
      <c r="O93" s="10">
        <v>0</v>
      </c>
      <c r="P93" s="54"/>
      <c r="Q93" s="56">
        <f>+P93</f>
      </c>
    </row>
    <row r="94">
      <c r="A94" s="1">
        <v>55102</v>
      </c>
      <c r="B94" s="52">
        <v>95</v>
      </c>
      <c r="C94" s="53" t="inlineStr">
        <is>
          <t>SAN PEDRO ATOYAC</t>
        </is>
      </c>
      <c r="D94" s="57">
        <v>51</v>
      </c>
      <c r="E94" s="57">
        <v>79</v>
      </c>
      <c r="F94" s="10">
        <f>E94*0.666*24/72</f>
      </c>
      <c r="G94" s="54">
        <v>0</v>
      </c>
      <c r="H94" s="54">
        <v>0</v>
      </c>
      <c r="I94" s="54">
        <v>0</v>
      </c>
      <c r="J94" s="54">
        <v>0</v>
      </c>
      <c r="K94" s="54">
        <v>0</v>
      </c>
      <c r="L94" s="55">
        <v>0</v>
      </c>
      <c r="M94" s="54">
        <v>0</v>
      </c>
      <c r="N94" s="55">
        <v>0</v>
      </c>
      <c r="O94" s="10">
        <v>0</v>
      </c>
      <c r="P94" s="54"/>
      <c r="Q94" s="56">
        <f>+P94</f>
      </c>
    </row>
    <row r="95">
      <c r="A95" s="1">
        <v>290102</v>
      </c>
      <c r="B95" s="52">
        <v>75</v>
      </c>
      <c r="C95" s="53" t="inlineStr">
        <is>
          <t>SAN NICOLAS HIDALGO</t>
        </is>
      </c>
      <c r="D95" s="57">
        <v>78</v>
      </c>
      <c r="E95" s="57">
        <v>109</v>
      </c>
      <c r="F95" s="10">
        <f>E95*0.666*24/72</f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5">
        <v>0</v>
      </c>
      <c r="M95" s="54">
        <v>0</v>
      </c>
      <c r="N95" s="55">
        <v>0</v>
      </c>
      <c r="O95" s="10">
        <v>0</v>
      </c>
      <c r="P95" s="54"/>
      <c r="Q95" s="56">
        <f>+P95</f>
      </c>
    </row>
    <row r="97">
      <c r="A97" s="43" t="inlineStr">
        <is>
          <t>T O T A L</t>
        </is>
      </c>
      <c r="B97" s="44"/>
      <c r="C97" s="45">
        <f>COUNTA(A93:A95)</f>
      </c>
      <c r="D97" s="65">
        <f>SUM(D93:D95)</f>
      </c>
      <c r="E97" s="65">
        <f>SUM(E93:E95)</f>
      </c>
      <c r="F97" s="65">
        <f>SUM(F93:F95)</f>
      </c>
      <c r="G97" s="65">
        <f>SUM(G93:G95)</f>
      </c>
      <c r="H97" s="65">
        <f>SUM(H93:H95)</f>
      </c>
      <c r="I97" s="65">
        <f>SUM(I93:I95)</f>
      </c>
      <c r="J97" s="65">
        <f>SUM(J93:J95)</f>
      </c>
      <c r="K97" s="65">
        <f>SUM(K93:K95)</f>
      </c>
      <c r="L97" s="65">
        <f>SUM(L93:L95)</f>
      </c>
      <c r="M97" s="65">
        <f>SUM(M93:M95)</f>
      </c>
      <c r="N97" s="65">
        <f>SUM(N93:N95)</f>
      </c>
      <c r="O97" s="65">
        <f>SUM(O93:O95)</f>
      </c>
      <c r="P97" s="65">
        <f>SUM(P93:P95)</f>
      </c>
      <c r="Q97" s="65">
        <f>SUM(Q93:Q95)</f>
      </c>
    </row>
    <row r="98">
      <c r="A98" s="66" t="inlineStr">
        <is>
          <t>OBSERVACIONES: </t>
        </is>
      </c>
      <c r="B98" s="67"/>
      <c r="C98" s="68"/>
      <c r="D98" s="69"/>
      <c r="E98" s="69"/>
      <c r="F98" s="70"/>
      <c r="G98" s="69"/>
      <c r="H98" s="69"/>
      <c r="I98" s="69"/>
      <c r="J98" s="69"/>
      <c r="K98" s="69"/>
      <c r="L98" s="70"/>
      <c r="M98" s="71"/>
      <c r="N98" s="72"/>
      <c r="O98" s="72"/>
      <c r="P98" s="73"/>
      <c r="Q98" s="74"/>
    </row>
    <row r="99">
      <c r="P99" s="65" t="inlineStr">
        <is>
          <t>TOTAL A RECIBIR EN ALMACEN:</t>
        </is>
      </c>
      <c r="Q99" s="65">
        <f>Q97</f>
      </c>
    </row>
    <row r="102">
      <c r="B102" s="40" t="inlineStr">
        <is>
          <t>ALMACEN RURAL : TLAXIACO</t>
        </is>
      </c>
      <c r="C102" s="41"/>
    </row>
    <row r="105">
      <c r="A105" s="1">
        <v>100426</v>
      </c>
      <c r="B105" s="52">
        <v>69</v>
      </c>
      <c r="C105" s="53" t="inlineStr">
        <is>
          <t>SAN SEBASTIAN (TLAXIACO)</t>
        </is>
      </c>
      <c r="D105" s="57">
        <v>420</v>
      </c>
      <c r="E105" s="57">
        <v>604</v>
      </c>
      <c r="F105" s="10">
        <f>E105*0.666*24/72</f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5">
        <v>0</v>
      </c>
      <c r="M105" s="54">
        <v>0</v>
      </c>
      <c r="N105" s="55">
        <v>0</v>
      </c>
      <c r="O105" s="10">
        <v>0</v>
      </c>
      <c r="P105" s="54"/>
      <c r="Q105" s="56">
        <f>+P105</f>
      </c>
    </row>
    <row r="106">
      <c r="A106" s="1">
        <v>120532</v>
      </c>
      <c r="B106" s="52">
        <v>30</v>
      </c>
      <c r="C106" s="53" t="inlineStr">
        <is>
          <t>SANTA CATARINA TAYATA</t>
        </is>
      </c>
      <c r="D106" s="57">
        <v>69</v>
      </c>
      <c r="E106" s="57">
        <v>96</v>
      </c>
      <c r="F106" s="10">
        <f>E106*0.666*24/72</f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5">
        <v>0</v>
      </c>
      <c r="M106" s="54">
        <v>0</v>
      </c>
      <c r="N106" s="55">
        <v>0</v>
      </c>
      <c r="O106" s="10">
        <v>0</v>
      </c>
      <c r="P106" s="54"/>
      <c r="Q106" s="56">
        <f>+P106</f>
      </c>
    </row>
    <row r="107">
      <c r="A107" s="1">
        <v>172101</v>
      </c>
      <c r="B107" s="52">
        <v>10</v>
      </c>
      <c r="C107" s="53" t="inlineStr">
        <is>
          <t>SAN JUAN ACHIUTLA</t>
        </is>
      </c>
      <c r="D107" s="57">
        <v>62</v>
      </c>
      <c r="E107" s="57">
        <v>76</v>
      </c>
      <c r="F107" s="10">
        <f>E107*0.666*24/72</f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5">
        <v>0</v>
      </c>
      <c r="M107" s="54">
        <v>0</v>
      </c>
      <c r="N107" s="55">
        <v>0</v>
      </c>
      <c r="O107" s="10">
        <v>0</v>
      </c>
      <c r="P107" s="54"/>
      <c r="Q107" s="56">
        <f>+P107</f>
      </c>
    </row>
    <row r="108">
      <c r="A108" s="1">
        <v>239101</v>
      </c>
      <c r="B108" s="52">
        <v>150</v>
      </c>
      <c r="C108" s="53" t="inlineStr">
        <is>
          <t>SAN MARTIN HUAMELULPAM</t>
        </is>
      </c>
      <c r="D108" s="57">
        <v>49</v>
      </c>
      <c r="E108" s="57">
        <v>70</v>
      </c>
      <c r="F108" s="10">
        <f>E108*0.666*24/72</f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5">
        <v>0</v>
      </c>
      <c r="M108" s="54">
        <v>0</v>
      </c>
      <c r="N108" s="55">
        <v>0</v>
      </c>
      <c r="O108" s="10">
        <v>0</v>
      </c>
      <c r="P108" s="54"/>
      <c r="Q108" s="56">
        <f>+P108</f>
      </c>
    </row>
    <row r="109">
      <c r="A109" s="1">
        <v>317102</v>
      </c>
      <c r="B109" s="52">
        <v>8</v>
      </c>
      <c r="C109" s="53" t="inlineStr">
        <is>
          <t>SAN PEDRO MARTIR YUCUXACO</t>
        </is>
      </c>
      <c r="D109" s="57">
        <v>85</v>
      </c>
      <c r="E109" s="57">
        <v>146</v>
      </c>
      <c r="F109" s="10">
        <f>E109*0.666*24/72</f>
      </c>
      <c r="G109" s="54">
        <v>0</v>
      </c>
      <c r="H109" s="54">
        <v>0</v>
      </c>
      <c r="I109" s="54">
        <v>0</v>
      </c>
      <c r="J109" s="54">
        <v>0</v>
      </c>
      <c r="K109" s="54">
        <v>0</v>
      </c>
      <c r="L109" s="55">
        <v>0</v>
      </c>
      <c r="M109" s="54">
        <v>0</v>
      </c>
      <c r="N109" s="55">
        <v>0</v>
      </c>
      <c r="O109" s="10">
        <v>0</v>
      </c>
      <c r="P109" s="54"/>
      <c r="Q109" s="56">
        <f>+P109</f>
      </c>
    </row>
    <row r="110">
      <c r="A110" s="1">
        <v>346102</v>
      </c>
      <c r="B110" s="52">
        <v>152</v>
      </c>
      <c r="C110" s="53" t="inlineStr">
        <is>
          <t>SAN SEBASTIAN NICANANDUTA</t>
        </is>
      </c>
      <c r="D110" s="57">
        <v>58</v>
      </c>
      <c r="E110" s="57">
        <v>66</v>
      </c>
      <c r="F110" s="10">
        <f>E110*0.666*24/72</f>
      </c>
      <c r="G110" s="54">
        <v>0</v>
      </c>
      <c r="H110" s="54">
        <v>0</v>
      </c>
      <c r="I110" s="54">
        <v>0</v>
      </c>
      <c r="J110" s="54">
        <v>0</v>
      </c>
      <c r="K110" s="54">
        <v>0</v>
      </c>
      <c r="L110" s="55">
        <v>0</v>
      </c>
      <c r="M110" s="54">
        <v>0</v>
      </c>
      <c r="N110" s="55">
        <v>0</v>
      </c>
      <c r="O110" s="10">
        <v>0</v>
      </c>
      <c r="P110" s="54"/>
      <c r="Q110" s="56">
        <f>+P110</f>
      </c>
    </row>
    <row r="111">
      <c r="A111" s="1">
        <v>379103</v>
      </c>
      <c r="B111" s="52">
        <v>15</v>
      </c>
      <c r="C111" s="53" t="inlineStr">
        <is>
          <t>SANTA CRUZ NUNDACO</t>
        </is>
      </c>
      <c r="D111" s="57">
        <v>81</v>
      </c>
      <c r="E111" s="57">
        <v>91</v>
      </c>
      <c r="F111" s="10">
        <f>E111*0.666*24/72</f>
      </c>
      <c r="G111" s="54">
        <v>0</v>
      </c>
      <c r="H111" s="54">
        <v>0</v>
      </c>
      <c r="I111" s="54">
        <v>0</v>
      </c>
      <c r="J111" s="54">
        <v>0</v>
      </c>
      <c r="K111" s="54">
        <v>0</v>
      </c>
      <c r="L111" s="55">
        <v>0</v>
      </c>
      <c r="M111" s="54">
        <v>0</v>
      </c>
      <c r="N111" s="55">
        <v>0</v>
      </c>
      <c r="O111" s="10">
        <v>0</v>
      </c>
      <c r="P111" s="54"/>
      <c r="Q111" s="56">
        <f>+P111</f>
      </c>
    </row>
    <row r="112">
      <c r="A112" s="1">
        <v>379104</v>
      </c>
      <c r="B112" s="52">
        <v>135</v>
      </c>
      <c r="C112" s="53" t="inlineStr">
        <is>
          <t>SAN ISIDRO VISTA HERMOSA</t>
        </is>
      </c>
      <c r="D112" s="57">
        <v>62</v>
      </c>
      <c r="E112" s="57">
        <v>75</v>
      </c>
      <c r="F112" s="10">
        <f>E112*0.666*24/72</f>
      </c>
      <c r="G112" s="54">
        <v>0</v>
      </c>
      <c r="H112" s="54">
        <v>0</v>
      </c>
      <c r="I112" s="54">
        <v>0</v>
      </c>
      <c r="J112" s="54">
        <v>0</v>
      </c>
      <c r="K112" s="54">
        <v>0</v>
      </c>
      <c r="L112" s="55">
        <v>0</v>
      </c>
      <c r="M112" s="54">
        <v>0</v>
      </c>
      <c r="N112" s="55">
        <v>0</v>
      </c>
      <c r="O112" s="10">
        <v>0</v>
      </c>
      <c r="P112" s="54"/>
      <c r="Q112" s="56">
        <f>+P112</f>
      </c>
    </row>
    <row r="113">
      <c r="A113" s="1">
        <v>397104</v>
      </c>
      <c r="B113" s="52">
        <v>142</v>
      </c>
      <c r="C113" s="53" t="inlineStr">
        <is>
          <t>BARRIO SAN NICOLAS (TLAXIACO)</t>
        </is>
      </c>
      <c r="D113" s="57">
        <v>262</v>
      </c>
      <c r="E113" s="57">
        <v>386</v>
      </c>
      <c r="F113" s="10">
        <f>E113*0.666*24/72</f>
      </c>
      <c r="G113" s="54">
        <v>0</v>
      </c>
      <c r="H113" s="54">
        <v>0</v>
      </c>
      <c r="I113" s="54">
        <v>0</v>
      </c>
      <c r="J113" s="54">
        <v>0</v>
      </c>
      <c r="K113" s="54">
        <v>0</v>
      </c>
      <c r="L113" s="55">
        <v>0</v>
      </c>
      <c r="M113" s="54">
        <v>0</v>
      </c>
      <c r="N113" s="55">
        <v>0</v>
      </c>
      <c r="O113" s="10">
        <v>0</v>
      </c>
      <c r="P113" s="54"/>
      <c r="Q113" s="56">
        <f>+P113</f>
      </c>
    </row>
    <row r="114">
      <c r="A114" s="1">
        <v>397105</v>
      </c>
      <c r="B114" s="52">
        <v>83</v>
      </c>
      <c r="C114" s="53" t="inlineStr">
        <is>
          <t>BARRIO SAN PEDRO</t>
        </is>
      </c>
      <c r="D114" s="57">
        <v>267</v>
      </c>
      <c r="E114" s="57">
        <v>377</v>
      </c>
      <c r="F114" s="10">
        <f>E114*0.666*24/72</f>
      </c>
      <c r="G114" s="54">
        <v>0</v>
      </c>
      <c r="H114" s="54">
        <v>0</v>
      </c>
      <c r="I114" s="54">
        <v>0</v>
      </c>
      <c r="J114" s="54">
        <v>0</v>
      </c>
      <c r="K114" s="54">
        <v>0</v>
      </c>
      <c r="L114" s="55">
        <v>0</v>
      </c>
      <c r="M114" s="54">
        <v>0</v>
      </c>
      <c r="N114" s="55">
        <v>0</v>
      </c>
      <c r="O114" s="10">
        <v>0</v>
      </c>
      <c r="P114" s="54"/>
      <c r="Q114" s="56">
        <f>+P114</f>
      </c>
    </row>
    <row r="115">
      <c r="A115" s="1">
        <v>397106</v>
      </c>
      <c r="B115" s="52">
        <v>153</v>
      </c>
      <c r="C115" s="53" t="inlineStr">
        <is>
          <t>BARRIO SAN DIEGO</t>
        </is>
      </c>
      <c r="D115" s="57">
        <v>165</v>
      </c>
      <c r="E115" s="57">
        <v>235</v>
      </c>
      <c r="F115" s="10">
        <f>E115*0.666*24/72</f>
      </c>
      <c r="G115" s="54">
        <v>0</v>
      </c>
      <c r="H115" s="54">
        <v>0</v>
      </c>
      <c r="I115" s="54">
        <v>0</v>
      </c>
      <c r="J115" s="54">
        <v>0</v>
      </c>
      <c r="K115" s="54">
        <v>0</v>
      </c>
      <c r="L115" s="55">
        <v>0</v>
      </c>
      <c r="M115" s="54">
        <v>0</v>
      </c>
      <c r="N115" s="55">
        <v>0</v>
      </c>
      <c r="O115" s="10">
        <v>0</v>
      </c>
      <c r="P115" s="54"/>
      <c r="Q115" s="56">
        <f>+P115</f>
      </c>
    </row>
    <row r="116">
      <c r="A116" s="1">
        <v>397107</v>
      </c>
      <c r="B116" s="52">
        <v>167</v>
      </c>
      <c r="C116" s="53" t="inlineStr">
        <is>
          <t>EL CAPULIN</t>
        </is>
      </c>
      <c r="D116" s="57">
        <v>48</v>
      </c>
      <c r="E116" s="57">
        <v>66</v>
      </c>
      <c r="F116" s="10">
        <f>E116*0.666*24/72</f>
      </c>
      <c r="G116" s="54">
        <v>0</v>
      </c>
      <c r="H116" s="54">
        <v>0</v>
      </c>
      <c r="I116" s="54">
        <v>0</v>
      </c>
      <c r="J116" s="54">
        <v>0</v>
      </c>
      <c r="K116" s="54">
        <v>0</v>
      </c>
      <c r="L116" s="55">
        <v>0</v>
      </c>
      <c r="M116" s="54">
        <v>0</v>
      </c>
      <c r="N116" s="55">
        <v>0</v>
      </c>
      <c r="O116" s="10">
        <v>0</v>
      </c>
      <c r="P116" s="54"/>
      <c r="Q116" s="56">
        <f>+P116</f>
      </c>
    </row>
    <row r="117">
      <c r="A117" s="1">
        <v>397108</v>
      </c>
      <c r="B117" s="52">
        <v>177</v>
      </c>
      <c r="C117" s="53" t="inlineStr">
        <is>
          <t>TEE UJIA PROGRESO</t>
        </is>
      </c>
      <c r="D117" s="57">
        <v>62</v>
      </c>
      <c r="E117" s="57">
        <v>77</v>
      </c>
      <c r="F117" s="10">
        <f>E117*0.666*24/72</f>
      </c>
      <c r="G117" s="54">
        <v>0</v>
      </c>
      <c r="H117" s="54">
        <v>0</v>
      </c>
      <c r="I117" s="54">
        <v>0</v>
      </c>
      <c r="J117" s="54">
        <v>0</v>
      </c>
      <c r="K117" s="54">
        <v>0</v>
      </c>
      <c r="L117" s="55">
        <v>0</v>
      </c>
      <c r="M117" s="54">
        <v>0</v>
      </c>
      <c r="N117" s="55">
        <v>0</v>
      </c>
      <c r="O117" s="10">
        <v>0</v>
      </c>
      <c r="P117" s="54"/>
      <c r="Q117" s="56">
        <f>+P117</f>
      </c>
    </row>
    <row r="118">
      <c r="A118" s="1">
        <v>397109</v>
      </c>
      <c r="B118" s="52">
        <v>21</v>
      </c>
      <c r="C118" s="53" t="inlineStr">
        <is>
          <t>CAMPO DE AVIACI N</t>
        </is>
      </c>
      <c r="D118" s="57">
        <v>83</v>
      </c>
      <c r="E118" s="57">
        <v>119</v>
      </c>
      <c r="F118" s="10">
        <f>E118*0.666*24/72</f>
      </c>
      <c r="G118" s="54">
        <v>0</v>
      </c>
      <c r="H118" s="54">
        <v>0</v>
      </c>
      <c r="I118" s="54">
        <v>0</v>
      </c>
      <c r="J118" s="54">
        <v>0</v>
      </c>
      <c r="K118" s="54">
        <v>0</v>
      </c>
      <c r="L118" s="55">
        <v>0</v>
      </c>
      <c r="M118" s="54">
        <v>0</v>
      </c>
      <c r="N118" s="55">
        <v>0</v>
      </c>
      <c r="O118" s="10">
        <v>0</v>
      </c>
      <c r="P118" s="54"/>
      <c r="Q118" s="56">
        <f>+P118</f>
      </c>
    </row>
    <row r="119">
      <c r="A119" s="1">
        <v>397110</v>
      </c>
      <c r="B119" s="52">
        <v>5</v>
      </c>
      <c r="C119" s="53" t="inlineStr">
        <is>
          <t>OJO DE AGUA</t>
        </is>
      </c>
      <c r="D119" s="57">
        <v>84</v>
      </c>
      <c r="E119" s="57">
        <v>128</v>
      </c>
      <c r="F119" s="10">
        <f>E119*0.666*24/72</f>
      </c>
      <c r="G119" s="54">
        <v>0</v>
      </c>
      <c r="H119" s="54">
        <v>0</v>
      </c>
      <c r="I119" s="54">
        <v>0</v>
      </c>
      <c r="J119" s="54">
        <v>0</v>
      </c>
      <c r="K119" s="54">
        <v>0</v>
      </c>
      <c r="L119" s="55">
        <v>0</v>
      </c>
      <c r="M119" s="54">
        <v>0</v>
      </c>
      <c r="N119" s="55">
        <v>0</v>
      </c>
      <c r="O119" s="10">
        <v>0</v>
      </c>
      <c r="P119" s="54"/>
      <c r="Q119" s="56">
        <f>+P119</f>
      </c>
    </row>
    <row r="120">
      <c r="A120" s="1">
        <v>480101</v>
      </c>
      <c r="B120" s="52">
        <v>166</v>
      </c>
      <c r="C120" s="53" t="inlineStr">
        <is>
          <t>SANTIAGO NUDICHE</t>
        </is>
      </c>
      <c r="D120" s="57">
        <v>67</v>
      </c>
      <c r="E120" s="57">
        <v>93</v>
      </c>
      <c r="F120" s="10">
        <f>E120*0.666*24/72</f>
      </c>
      <c r="G120" s="54">
        <v>0</v>
      </c>
      <c r="H120" s="54">
        <v>0</v>
      </c>
      <c r="I120" s="54">
        <v>0</v>
      </c>
      <c r="J120" s="54">
        <v>0</v>
      </c>
      <c r="K120" s="54">
        <v>0</v>
      </c>
      <c r="L120" s="55">
        <v>0</v>
      </c>
      <c r="M120" s="54">
        <v>0</v>
      </c>
      <c r="N120" s="55">
        <v>0</v>
      </c>
      <c r="O120" s="10">
        <v>0</v>
      </c>
      <c r="P120" s="54"/>
      <c r="Q120" s="56">
        <f>+P120</f>
      </c>
    </row>
    <row r="121">
      <c r="A121" s="1">
        <v>499102</v>
      </c>
      <c r="B121" s="52">
        <v>95</v>
      </c>
      <c r="C121" s="53" t="inlineStr">
        <is>
          <t>SANTIAGO YOLOMECATL</t>
        </is>
      </c>
      <c r="D121" s="57">
        <v>122</v>
      </c>
      <c r="E121" s="57">
        <v>164</v>
      </c>
      <c r="F121" s="10">
        <f>E121*0.666*24/72</f>
      </c>
      <c r="G121" s="54">
        <v>0</v>
      </c>
      <c r="H121" s="54">
        <v>0</v>
      </c>
      <c r="I121" s="54">
        <v>0</v>
      </c>
      <c r="J121" s="54">
        <v>0</v>
      </c>
      <c r="K121" s="54">
        <v>0</v>
      </c>
      <c r="L121" s="55">
        <v>0</v>
      </c>
      <c r="M121" s="54">
        <v>0</v>
      </c>
      <c r="N121" s="55">
        <v>0</v>
      </c>
      <c r="O121" s="10">
        <v>0</v>
      </c>
      <c r="P121" s="54"/>
      <c r="Q121" s="56">
        <f>+P121</f>
      </c>
    </row>
    <row r="122">
      <c r="A122" s="1">
        <v>532101</v>
      </c>
      <c r="B122" s="52">
        <v>18</v>
      </c>
      <c r="C122" s="53" t="inlineStr">
        <is>
          <t>SANTO TOMAS OCOTEPEC</t>
        </is>
      </c>
      <c r="D122" s="57">
        <v>101</v>
      </c>
      <c r="E122" s="57">
        <v>139</v>
      </c>
      <c r="F122" s="10">
        <f>E122*0.666*24/72</f>
      </c>
      <c r="G122" s="54">
        <v>0</v>
      </c>
      <c r="H122" s="54">
        <v>0</v>
      </c>
      <c r="I122" s="54">
        <v>0</v>
      </c>
      <c r="J122" s="54">
        <v>0</v>
      </c>
      <c r="K122" s="54">
        <v>0</v>
      </c>
      <c r="L122" s="55">
        <v>0</v>
      </c>
      <c r="M122" s="54">
        <v>0</v>
      </c>
      <c r="N122" s="55">
        <v>0</v>
      </c>
      <c r="O122" s="10">
        <v>0</v>
      </c>
      <c r="P122" s="54"/>
      <c r="Q122" s="56">
        <f>+P122</f>
      </c>
    </row>
    <row r="124">
      <c r="A124" s="43" t="inlineStr">
        <is>
          <t>T O T A L</t>
        </is>
      </c>
      <c r="B124" s="44"/>
      <c r="C124" s="45">
        <f>COUNTA(A105:A122)</f>
      </c>
      <c r="D124" s="65">
        <f>SUM(D105:D122)</f>
      </c>
      <c r="E124" s="65">
        <f>SUM(E105:E122)</f>
      </c>
      <c r="F124" s="65">
        <f>SUM(F105:F122)</f>
      </c>
      <c r="G124" s="65">
        <f>SUM(G105:G122)</f>
      </c>
      <c r="H124" s="65">
        <f>SUM(H105:H122)</f>
      </c>
      <c r="I124" s="65">
        <f>SUM(I105:I122)</f>
      </c>
      <c r="J124" s="65">
        <f>SUM(J105:J122)</f>
      </c>
      <c r="K124" s="65">
        <f>SUM(K105:K122)</f>
      </c>
      <c r="L124" s="65">
        <f>SUM(L105:L122)</f>
      </c>
      <c r="M124" s="65">
        <f>SUM(M105:M122)</f>
      </c>
      <c r="N124" s="65">
        <f>SUM(N105:N122)</f>
      </c>
      <c r="O124" s="65">
        <f>SUM(O105:O122)</f>
      </c>
      <c r="P124" s="65">
        <f>SUM(P105:P122)</f>
      </c>
      <c r="Q124" s="65">
        <f>SUM(Q105:Q122)</f>
      </c>
    </row>
    <row r="125">
      <c r="A125" s="66" t="inlineStr">
        <is>
          <t>OBSERVACIONES: </t>
        </is>
      </c>
      <c r="B125" s="67"/>
      <c r="C125" s="68"/>
      <c r="D125" s="69"/>
      <c r="E125" s="69"/>
      <c r="F125" s="70"/>
      <c r="G125" s="69"/>
      <c r="H125" s="69"/>
      <c r="I125" s="69"/>
      <c r="J125" s="69"/>
      <c r="K125" s="69"/>
      <c r="L125" s="70"/>
      <c r="M125" s="71"/>
      <c r="N125" s="72"/>
      <c r="O125" s="72"/>
      <c r="P125" s="73"/>
      <c r="Q125" s="74"/>
    </row>
    <row r="126">
      <c r="P126" s="65" t="inlineStr">
        <is>
          <t>TOTAL A RECIBIR EN ALMACEN:</t>
        </is>
      </c>
      <c r="Q126" s="65">
        <f>Q124</f>
      </c>
    </row>
    <row r="129">
      <c r="B129" s="40" t="inlineStr">
        <is>
          <t>ALMACEN RURAL : TECOMAXTLAHUACA</t>
        </is>
      </c>
      <c r="C129" s="41"/>
    </row>
    <row r="132">
      <c r="A132" s="1">
        <v>120297</v>
      </c>
      <c r="B132" s="52">
        <v>50</v>
      </c>
      <c r="C132" s="53" t="inlineStr">
        <is>
          <t>SANTIAGO JUXTLAHUACA</t>
        </is>
      </c>
      <c r="D132" s="57">
        <v>359</v>
      </c>
      <c r="E132" s="57">
        <v>669</v>
      </c>
      <c r="F132" s="10">
        <f>E132*0.666*24/72</f>
      </c>
      <c r="G132" s="54">
        <v>0</v>
      </c>
      <c r="H132" s="54">
        <v>0</v>
      </c>
      <c r="I132" s="54">
        <v>0</v>
      </c>
      <c r="J132" s="54">
        <v>0</v>
      </c>
      <c r="K132" s="54">
        <v>0</v>
      </c>
      <c r="L132" s="55">
        <v>0</v>
      </c>
      <c r="M132" s="54">
        <v>0</v>
      </c>
      <c r="N132" s="55">
        <v>0</v>
      </c>
      <c r="O132" s="10">
        <v>0</v>
      </c>
      <c r="P132" s="54"/>
      <c r="Q132" s="56">
        <f>+P132</f>
      </c>
    </row>
    <row r="133">
      <c r="A133" s="1">
        <v>520102</v>
      </c>
      <c r="B133" s="52">
        <v>70</v>
      </c>
      <c r="C133" s="53" t="inlineStr">
        <is>
          <t>SANTO DOMINGO TONAL</t>
        </is>
      </c>
      <c r="D133" s="57">
        <v>137</v>
      </c>
      <c r="E133" s="57">
        <v>234</v>
      </c>
      <c r="F133" s="10">
        <f>E133*0.666*24/72</f>
      </c>
      <c r="G133" s="54">
        <v>0</v>
      </c>
      <c r="H133" s="54">
        <v>0</v>
      </c>
      <c r="I133" s="54">
        <v>0</v>
      </c>
      <c r="J133" s="54">
        <v>0</v>
      </c>
      <c r="K133" s="54">
        <v>0</v>
      </c>
      <c r="L133" s="55">
        <v>0</v>
      </c>
      <c r="M133" s="54">
        <v>0</v>
      </c>
      <c r="N133" s="55">
        <v>0</v>
      </c>
      <c r="O133" s="10">
        <v>0</v>
      </c>
      <c r="P133" s="54"/>
      <c r="Q133" s="56">
        <f>+P133</f>
      </c>
    </row>
    <row r="135">
      <c r="A135" s="43" t="inlineStr">
        <is>
          <t>T O T A L</t>
        </is>
      </c>
      <c r="B135" s="44"/>
      <c r="C135" s="45">
        <f>COUNTA(A132:A133)</f>
      </c>
      <c r="D135" s="65">
        <f>SUM(D132:D133)</f>
      </c>
      <c r="E135" s="65">
        <f>SUM(E132:E133)</f>
      </c>
      <c r="F135" s="65">
        <f>SUM(F132:F133)</f>
      </c>
      <c r="G135" s="65">
        <f>SUM(G132:G133)</f>
      </c>
      <c r="H135" s="65">
        <f>SUM(H132:H133)</f>
      </c>
      <c r="I135" s="65">
        <f>SUM(I132:I133)</f>
      </c>
      <c r="J135" s="65">
        <f>SUM(J132:J133)</f>
      </c>
      <c r="K135" s="65">
        <f>SUM(K132:K133)</f>
      </c>
      <c r="L135" s="65">
        <f>SUM(L132:L133)</f>
      </c>
      <c r="M135" s="65">
        <f>SUM(M132:M133)</f>
      </c>
      <c r="N135" s="65">
        <f>SUM(N132:N133)</f>
      </c>
      <c r="O135" s="65">
        <f>SUM(O132:O133)</f>
      </c>
      <c r="P135" s="65">
        <f>SUM(P132:P133)</f>
      </c>
      <c r="Q135" s="65">
        <f>SUM(Q132:Q133)</f>
      </c>
    </row>
    <row r="136">
      <c r="A136" s="66" t="inlineStr">
        <is>
          <t>OBSERVACIONES: </t>
        </is>
      </c>
      <c r="B136" s="67"/>
      <c r="C136" s="68"/>
      <c r="D136" s="69"/>
      <c r="E136" s="69"/>
      <c r="F136" s="70"/>
      <c r="G136" s="69"/>
      <c r="H136" s="69"/>
      <c r="I136" s="69"/>
      <c r="J136" s="69"/>
      <c r="K136" s="69"/>
      <c r="L136" s="70"/>
      <c r="M136" s="71"/>
      <c r="N136" s="72"/>
      <c r="O136" s="72"/>
      <c r="P136" s="73"/>
      <c r="Q136" s="74"/>
    </row>
    <row r="137">
      <c r="P137" s="65" t="inlineStr">
        <is>
          <t>TOTAL A RECIBIR EN ALMACEN:</t>
        </is>
      </c>
      <c r="Q137" s="65">
        <f>Q135</f>
      </c>
    </row>
    <row r="140">
      <c r="B140" s="40" t="inlineStr">
        <is>
          <t>ALMACEN RURAL : YANHUITLAN</t>
        </is>
      </c>
      <c r="C140" s="41"/>
    </row>
    <row r="143">
      <c r="A143" s="1">
        <v>93102</v>
      </c>
      <c r="B143" s="52">
        <v>40</v>
      </c>
      <c r="C143" s="53" t="inlineStr">
        <is>
          <t>SAN ANDRES LAGUNAS</t>
        </is>
      </c>
      <c r="D143" s="57">
        <v>55</v>
      </c>
      <c r="E143" s="57">
        <v>69</v>
      </c>
      <c r="F143" s="10">
        <f>E143*0.666*24/72</f>
      </c>
      <c r="G143" s="54">
        <v>0</v>
      </c>
      <c r="H143" s="54">
        <v>0</v>
      </c>
      <c r="I143" s="54">
        <v>0</v>
      </c>
      <c r="J143" s="54">
        <v>0</v>
      </c>
      <c r="K143" s="54">
        <v>0</v>
      </c>
      <c r="L143" s="55">
        <v>0</v>
      </c>
      <c r="M143" s="54">
        <v>0</v>
      </c>
      <c r="N143" s="55">
        <v>0</v>
      </c>
      <c r="O143" s="10">
        <v>0</v>
      </c>
      <c r="P143" s="54"/>
      <c r="Q143" s="56">
        <f>+P143</f>
      </c>
    </row>
    <row r="144">
      <c r="A144" s="1">
        <v>144103</v>
      </c>
      <c r="B144" s="52">
        <v>58</v>
      </c>
      <c r="C144" s="53" t="inlineStr">
        <is>
          <t>SAN FRANCISCO JALTEPETONGO</t>
        </is>
      </c>
      <c r="D144" s="57">
        <v>57</v>
      </c>
      <c r="E144" s="57">
        <v>73</v>
      </c>
      <c r="F144" s="10">
        <f>E144*0.666*24/72</f>
      </c>
      <c r="G144" s="54">
        <v>0</v>
      </c>
      <c r="H144" s="54">
        <v>0</v>
      </c>
      <c r="I144" s="54">
        <v>0</v>
      </c>
      <c r="J144" s="54">
        <v>0</v>
      </c>
      <c r="K144" s="54">
        <v>0</v>
      </c>
      <c r="L144" s="55">
        <v>0</v>
      </c>
      <c r="M144" s="54">
        <v>0</v>
      </c>
      <c r="N144" s="55">
        <v>0</v>
      </c>
      <c r="O144" s="10">
        <v>0</v>
      </c>
      <c r="P144" s="54"/>
      <c r="Q144" s="56">
        <f>+P144</f>
      </c>
    </row>
    <row r="145">
      <c r="A145" s="1">
        <v>215101</v>
      </c>
      <c r="B145" s="52">
        <v>136</v>
      </c>
      <c r="C145" s="53" t="inlineStr">
        <is>
          <t>SAN JUAN SAYULTEPEC</t>
        </is>
      </c>
      <c r="D145" s="57">
        <v>76</v>
      </c>
      <c r="E145" s="57">
        <v>112</v>
      </c>
      <c r="F145" s="10">
        <f>E145*0.666*24/72</f>
      </c>
      <c r="G145" s="54">
        <v>0</v>
      </c>
      <c r="H145" s="54">
        <v>0</v>
      </c>
      <c r="I145" s="54">
        <v>0</v>
      </c>
      <c r="J145" s="54">
        <v>0</v>
      </c>
      <c r="K145" s="54">
        <v>0</v>
      </c>
      <c r="L145" s="55">
        <v>0</v>
      </c>
      <c r="M145" s="54">
        <v>0</v>
      </c>
      <c r="N145" s="55">
        <v>0</v>
      </c>
      <c r="O145" s="10">
        <v>0</v>
      </c>
      <c r="P145" s="54"/>
      <c r="Q145" s="56">
        <f>+P145</f>
      </c>
    </row>
    <row r="146">
      <c r="A146" s="1">
        <v>221102</v>
      </c>
      <c r="B146" s="52">
        <v>25</v>
      </c>
      <c r="C146" s="53" t="inlineStr">
        <is>
          <t>SAN JUAN TEPOSCOLULA</t>
        </is>
      </c>
      <c r="D146" s="57">
        <v>65</v>
      </c>
      <c r="E146" s="57">
        <v>94</v>
      </c>
      <c r="F146" s="10">
        <f>E146*0.666*24/72</f>
      </c>
      <c r="G146" s="54">
        <v>0</v>
      </c>
      <c r="H146" s="54">
        <v>0</v>
      </c>
      <c r="I146" s="54">
        <v>0</v>
      </c>
      <c r="J146" s="54">
        <v>0</v>
      </c>
      <c r="K146" s="54">
        <v>0</v>
      </c>
      <c r="L146" s="55">
        <v>0</v>
      </c>
      <c r="M146" s="54">
        <v>0</v>
      </c>
      <c r="N146" s="55">
        <v>0</v>
      </c>
      <c r="O146" s="10">
        <v>0</v>
      </c>
      <c r="P146" s="54"/>
      <c r="Q146" s="56">
        <f>+P146</f>
      </c>
    </row>
    <row r="147">
      <c r="A147" s="1">
        <v>224102</v>
      </c>
      <c r="B147" s="52">
        <v>141</v>
      </c>
      <c r="C147" s="53" t="inlineStr">
        <is>
          <t>SANTA MARIA CHACHOAPAM</t>
        </is>
      </c>
      <c r="D147" s="57">
        <v>115</v>
      </c>
      <c r="E147" s="57">
        <v>162</v>
      </c>
      <c r="F147" s="10">
        <f>E147*0.666*24/72</f>
      </c>
      <c r="G147" s="54">
        <v>0</v>
      </c>
      <c r="H147" s="54">
        <v>0</v>
      </c>
      <c r="I147" s="54">
        <v>0</v>
      </c>
      <c r="J147" s="54">
        <v>0</v>
      </c>
      <c r="K147" s="54">
        <v>0</v>
      </c>
      <c r="L147" s="55">
        <v>0</v>
      </c>
      <c r="M147" s="54">
        <v>0</v>
      </c>
      <c r="N147" s="55">
        <v>0</v>
      </c>
      <c r="O147" s="10">
        <v>0</v>
      </c>
      <c r="P147" s="54"/>
      <c r="Q147" s="56">
        <f>+P147</f>
      </c>
    </row>
    <row r="148">
      <c r="A148" s="1">
        <v>250101</v>
      </c>
      <c r="B148" s="52">
        <v>2</v>
      </c>
      <c r="C148" s="53" t="inlineStr">
        <is>
          <t>SAN MATEO ETLATONGO</t>
        </is>
      </c>
      <c r="D148" s="57">
        <v>83</v>
      </c>
      <c r="E148" s="57">
        <v>111</v>
      </c>
      <c r="F148" s="10">
        <f>E148*0.666*24/72</f>
      </c>
      <c r="G148" s="54">
        <v>0</v>
      </c>
      <c r="H148" s="54">
        <v>0</v>
      </c>
      <c r="I148" s="54">
        <v>0</v>
      </c>
      <c r="J148" s="54">
        <v>0</v>
      </c>
      <c r="K148" s="54">
        <v>0</v>
      </c>
      <c r="L148" s="55">
        <v>0</v>
      </c>
      <c r="M148" s="54">
        <v>0</v>
      </c>
      <c r="N148" s="55">
        <v>0</v>
      </c>
      <c r="O148" s="10">
        <v>0</v>
      </c>
      <c r="P148" s="54"/>
      <c r="Q148" s="56">
        <f>+P148</f>
      </c>
    </row>
    <row r="149">
      <c r="A149" s="1">
        <v>329102</v>
      </c>
      <c r="B149" s="52">
        <v>70</v>
      </c>
      <c r="C149" s="53" t="inlineStr">
        <is>
          <t>SAN PEDRO TEOZACOALCO</t>
        </is>
      </c>
      <c r="D149" s="57">
        <v>56</v>
      </c>
      <c r="E149" s="57">
        <v>72</v>
      </c>
      <c r="F149" s="10">
        <f>E149*0.666*24/72</f>
      </c>
      <c r="G149" s="54">
        <v>0</v>
      </c>
      <c r="H149" s="54">
        <v>0</v>
      </c>
      <c r="I149" s="54">
        <v>0</v>
      </c>
      <c r="J149" s="54">
        <v>0</v>
      </c>
      <c r="K149" s="54">
        <v>0</v>
      </c>
      <c r="L149" s="55">
        <v>0</v>
      </c>
      <c r="M149" s="54">
        <v>0</v>
      </c>
      <c r="N149" s="55">
        <v>0</v>
      </c>
      <c r="O149" s="10">
        <v>0</v>
      </c>
      <c r="P149" s="54"/>
      <c r="Q149" s="56">
        <f>+P149</f>
      </c>
    </row>
    <row r="150">
      <c r="A150" s="1">
        <v>339102</v>
      </c>
      <c r="B150" s="52">
        <v>122</v>
      </c>
      <c r="C150" s="53" t="inlineStr">
        <is>
          <t>SAN PEDRO Y SAN PABLO TEPOSCOLULA</t>
        </is>
      </c>
      <c r="D150" s="57">
        <v>217</v>
      </c>
      <c r="E150" s="57">
        <v>331</v>
      </c>
      <c r="F150" s="10">
        <f>E150*0.666*24/72</f>
      </c>
      <c r="G150" s="54">
        <v>0</v>
      </c>
      <c r="H150" s="54">
        <v>0</v>
      </c>
      <c r="I150" s="54">
        <v>0</v>
      </c>
      <c r="J150" s="54">
        <v>0</v>
      </c>
      <c r="K150" s="54">
        <v>0</v>
      </c>
      <c r="L150" s="55">
        <v>0</v>
      </c>
      <c r="M150" s="54">
        <v>0</v>
      </c>
      <c r="N150" s="55">
        <v>0</v>
      </c>
      <c r="O150" s="10">
        <v>0</v>
      </c>
      <c r="P150" s="54"/>
      <c r="Q150" s="56">
        <f>+P150</f>
      </c>
    </row>
    <row r="151">
      <c r="A151" s="1">
        <v>536102</v>
      </c>
      <c r="B151" s="52">
        <v>13</v>
      </c>
      <c r="C151" s="53" t="inlineStr">
        <is>
          <t>SAN VICENTE NU U</t>
        </is>
      </c>
      <c r="D151" s="57">
        <v>35</v>
      </c>
      <c r="E151" s="57">
        <v>52</v>
      </c>
      <c r="F151" s="10">
        <f>E151*0.666*24/72</f>
      </c>
      <c r="G151" s="54">
        <v>0</v>
      </c>
      <c r="H151" s="54">
        <v>0</v>
      </c>
      <c r="I151" s="54">
        <v>0</v>
      </c>
      <c r="J151" s="54">
        <v>0</v>
      </c>
      <c r="K151" s="54">
        <v>0</v>
      </c>
      <c r="L151" s="55">
        <v>0</v>
      </c>
      <c r="M151" s="54">
        <v>0</v>
      </c>
      <c r="N151" s="55">
        <v>0</v>
      </c>
      <c r="O151" s="10">
        <v>0</v>
      </c>
      <c r="P151" s="54"/>
      <c r="Q151" s="56">
        <f>+P151</f>
      </c>
    </row>
    <row r="152">
      <c r="A152" s="1">
        <v>562101</v>
      </c>
      <c r="B152" s="52">
        <v>97</v>
      </c>
      <c r="C152" s="53" t="inlineStr">
        <is>
          <t>MAGDALENA YODOCONO DE PORFIRIO DIAZ</t>
        </is>
      </c>
      <c r="D152" s="57">
        <v>70</v>
      </c>
      <c r="E152" s="57">
        <v>115</v>
      </c>
      <c r="F152" s="10">
        <f>E152*0.666*24/72</f>
      </c>
      <c r="G152" s="54">
        <v>0</v>
      </c>
      <c r="H152" s="54">
        <v>0</v>
      </c>
      <c r="I152" s="54">
        <v>0</v>
      </c>
      <c r="J152" s="54">
        <v>0</v>
      </c>
      <c r="K152" s="54">
        <v>0</v>
      </c>
      <c r="L152" s="55">
        <v>0</v>
      </c>
      <c r="M152" s="54">
        <v>0</v>
      </c>
      <c r="N152" s="55">
        <v>0</v>
      </c>
      <c r="O152" s="10">
        <v>0</v>
      </c>
      <c r="P152" s="54"/>
      <c r="Q152" s="56">
        <f>+P152</f>
      </c>
    </row>
    <row r="153">
      <c r="A153" s="1">
        <v>564101</v>
      </c>
      <c r="B153" s="52">
        <v>68</v>
      </c>
      <c r="C153" s="53" t="inlineStr">
        <is>
          <t>YUTANDUCHI DE GUERRERO</t>
        </is>
      </c>
      <c r="D153" s="57">
        <v>121</v>
      </c>
      <c r="E153" s="57">
        <v>139</v>
      </c>
      <c r="F153" s="10">
        <f>E153*0.666*24/72</f>
      </c>
      <c r="G153" s="54">
        <v>0</v>
      </c>
      <c r="H153" s="54">
        <v>0</v>
      </c>
      <c r="I153" s="54">
        <v>0</v>
      </c>
      <c r="J153" s="54">
        <v>0</v>
      </c>
      <c r="K153" s="54">
        <v>0</v>
      </c>
      <c r="L153" s="55">
        <v>0</v>
      </c>
      <c r="M153" s="54">
        <v>0</v>
      </c>
      <c r="N153" s="55">
        <v>0</v>
      </c>
      <c r="O153" s="10">
        <v>0</v>
      </c>
      <c r="P153" s="54"/>
      <c r="Q153" s="56">
        <f>+P153</f>
      </c>
    </row>
    <row r="154">
      <c r="A154" s="1">
        <v>569101</v>
      </c>
      <c r="B154" s="52">
        <v>4</v>
      </c>
      <c r="C154" s="53" t="inlineStr">
        <is>
          <t>SANTA INES DE ZARAGOZA</t>
        </is>
      </c>
      <c r="D154" s="57">
        <v>71</v>
      </c>
      <c r="E154" s="57">
        <v>94</v>
      </c>
      <c r="F154" s="10">
        <f>E154*0.666*24/72</f>
      </c>
      <c r="G154" s="54">
        <v>0</v>
      </c>
      <c r="H154" s="54">
        <v>0</v>
      </c>
      <c r="I154" s="54">
        <v>0</v>
      </c>
      <c r="J154" s="54">
        <v>0</v>
      </c>
      <c r="K154" s="54">
        <v>0</v>
      </c>
      <c r="L154" s="55">
        <v>0</v>
      </c>
      <c r="M154" s="54">
        <v>0</v>
      </c>
      <c r="N154" s="55">
        <v>0</v>
      </c>
      <c r="O154" s="10">
        <v>0</v>
      </c>
      <c r="P154" s="54"/>
      <c r="Q154" s="56">
        <f>+P154</f>
      </c>
    </row>
    <row r="156">
      <c r="A156" s="43" t="inlineStr">
        <is>
          <t>T O T A L</t>
        </is>
      </c>
      <c r="B156" s="44"/>
      <c r="C156" s="45">
        <f>COUNTA(A143:A154)</f>
      </c>
      <c r="D156" s="65">
        <f>SUM(D143:D154)</f>
      </c>
      <c r="E156" s="65">
        <f>SUM(E143:E154)</f>
      </c>
      <c r="F156" s="65">
        <f>SUM(F143:F154)</f>
      </c>
      <c r="G156" s="65">
        <f>SUM(G143:G154)</f>
      </c>
      <c r="H156" s="65">
        <f>SUM(H143:H154)</f>
      </c>
      <c r="I156" s="65">
        <f>SUM(I143:I154)</f>
      </c>
      <c r="J156" s="65">
        <f>SUM(J143:J154)</f>
      </c>
      <c r="K156" s="65">
        <f>SUM(K143:K154)</f>
      </c>
      <c r="L156" s="65">
        <f>SUM(L143:L154)</f>
      </c>
      <c r="M156" s="65">
        <f>SUM(M143:M154)</f>
      </c>
      <c r="N156" s="65">
        <f>SUM(N143:N154)</f>
      </c>
      <c r="O156" s="65">
        <f>SUM(O143:O154)</f>
      </c>
      <c r="P156" s="65">
        <f>SUM(P143:P154)</f>
      </c>
      <c r="Q156" s="65">
        <f>SUM(Q143:Q154)</f>
      </c>
    </row>
    <row r="157">
      <c r="A157" s="66" t="inlineStr">
        <is>
          <t>OBSERVACIONES: </t>
        </is>
      </c>
      <c r="B157" s="67"/>
      <c r="C157" s="68"/>
      <c r="D157" s="69"/>
      <c r="E157" s="69"/>
      <c r="F157" s="70"/>
      <c r="G157" s="69"/>
      <c r="H157" s="69"/>
      <c r="I157" s="69"/>
      <c r="J157" s="69"/>
      <c r="K157" s="69"/>
      <c r="L157" s="70"/>
      <c r="M157" s="71"/>
      <c r="N157" s="72"/>
      <c r="O157" s="72"/>
      <c r="P157" s="73"/>
      <c r="Q157" s="74"/>
    </row>
    <row r="158">
      <c r="P158" s="65" t="inlineStr">
        <is>
          <t>TOTAL A RECIBIR EN ALMACEN:</t>
        </is>
      </c>
      <c r="Q158" s="65">
        <f>Q156</f>
      </c>
    </row>
    <row r="161">
      <c r="B161" s="40" t="inlineStr">
        <is>
          <t>ALMACEN RURAL : MORRO MAZATAN</t>
        </is>
      </c>
      <c r="C161" s="41"/>
    </row>
    <row r="164">
      <c r="A164" s="1">
        <v>110105</v>
      </c>
      <c r="B164" s="52">
        <v>8087</v>
      </c>
      <c r="C164" s="53" t="inlineStr">
        <is>
          <t>SANTO DOMINGO TEHUANTEPEC</t>
        </is>
      </c>
      <c r="D164" s="57">
        <v>283</v>
      </c>
      <c r="E164" s="57">
        <v>429</v>
      </c>
      <c r="F164" s="10">
        <f>E164*0.666*24/72</f>
      </c>
      <c r="G164" s="54">
        <v>0</v>
      </c>
      <c r="H164" s="54">
        <v>0</v>
      </c>
      <c r="I164" s="54">
        <v>0</v>
      </c>
      <c r="J164" s="54">
        <v>0</v>
      </c>
      <c r="K164" s="54">
        <v>0</v>
      </c>
      <c r="L164" s="55">
        <v>0</v>
      </c>
      <c r="M164" s="54">
        <v>0</v>
      </c>
      <c r="N164" s="55">
        <v>0</v>
      </c>
      <c r="O164" s="10">
        <v>0</v>
      </c>
      <c r="P164" s="54"/>
      <c r="Q164" s="56">
        <f>+P164</f>
      </c>
    </row>
    <row r="165">
      <c r="A165" s="1">
        <v>110108</v>
      </c>
      <c r="B165" s="52">
        <v>8052</v>
      </c>
      <c r="C165" s="53" t="inlineStr">
        <is>
          <t>SAN BLAS ATEMPA</t>
        </is>
      </c>
      <c r="D165" s="57">
        <v>454</v>
      </c>
      <c r="E165" s="57">
        <v>681</v>
      </c>
      <c r="F165" s="10">
        <f>E165*0.666*24/72</f>
      </c>
      <c r="G165" s="54">
        <v>0</v>
      </c>
      <c r="H165" s="54">
        <v>0</v>
      </c>
      <c r="I165" s="54">
        <v>0</v>
      </c>
      <c r="J165" s="54">
        <v>0</v>
      </c>
      <c r="K165" s="54">
        <v>0</v>
      </c>
      <c r="L165" s="55">
        <v>0</v>
      </c>
      <c r="M165" s="54">
        <v>0</v>
      </c>
      <c r="N165" s="55">
        <v>0</v>
      </c>
      <c r="O165" s="10">
        <v>0</v>
      </c>
      <c r="P165" s="54"/>
      <c r="Q165" s="56">
        <f>+P165</f>
      </c>
    </row>
    <row r="166">
      <c r="A166" s="1">
        <v>120178</v>
      </c>
      <c r="B166" s="52">
        <v>8004</v>
      </c>
      <c r="C166" s="53" t="inlineStr">
        <is>
          <t>SANTIAGO ASTATA</t>
        </is>
      </c>
      <c r="D166" s="57">
        <v>97</v>
      </c>
      <c r="E166" s="57">
        <v>134</v>
      </c>
      <c r="F166" s="10">
        <f>E166*0.666*24/72</f>
      </c>
      <c r="G166" s="54">
        <v>0</v>
      </c>
      <c r="H166" s="54">
        <v>0</v>
      </c>
      <c r="I166" s="54">
        <v>0</v>
      </c>
      <c r="J166" s="54">
        <v>0</v>
      </c>
      <c r="K166" s="54">
        <v>0</v>
      </c>
      <c r="L166" s="55">
        <v>0</v>
      </c>
      <c r="M166" s="54">
        <v>0</v>
      </c>
      <c r="N166" s="55">
        <v>0</v>
      </c>
      <c r="O166" s="10">
        <v>0</v>
      </c>
      <c r="P166" s="54"/>
      <c r="Q166" s="56">
        <f>+P166</f>
      </c>
    </row>
    <row r="167">
      <c r="A167" s="1">
        <v>124101</v>
      </c>
      <c r="B167" s="52">
        <v>70</v>
      </c>
      <c r="C167" s="53" t="inlineStr">
        <is>
          <t>RANCHO EL LLANO</t>
        </is>
      </c>
      <c r="D167" s="57">
        <v>78</v>
      </c>
      <c r="E167" s="57">
        <v>113</v>
      </c>
      <c r="F167" s="10">
        <f>E167*0.666*24/72</f>
      </c>
      <c r="G167" s="54">
        <v>0</v>
      </c>
      <c r="H167" s="54">
        <v>0</v>
      </c>
      <c r="I167" s="54">
        <v>0</v>
      </c>
      <c r="J167" s="54">
        <v>0</v>
      </c>
      <c r="K167" s="54">
        <v>0</v>
      </c>
      <c r="L167" s="55">
        <v>0</v>
      </c>
      <c r="M167" s="54">
        <v>0</v>
      </c>
      <c r="N167" s="55">
        <v>0</v>
      </c>
      <c r="O167" s="10">
        <v>0</v>
      </c>
      <c r="P167" s="54"/>
      <c r="Q167" s="56">
        <f>+P167</f>
      </c>
    </row>
    <row r="168">
      <c r="A168" s="1">
        <v>124104</v>
      </c>
      <c r="B168" s="52">
        <v>8015</v>
      </c>
      <c r="C168" s="53" t="inlineStr">
        <is>
          <t>TIERRA BLANCA</t>
        </is>
      </c>
      <c r="D168" s="57">
        <v>80</v>
      </c>
      <c r="E168" s="57">
        <v>115</v>
      </c>
      <c r="F168" s="10">
        <f>E168*0.666*24/72</f>
      </c>
      <c r="G168" s="54">
        <v>0</v>
      </c>
      <c r="H168" s="54">
        <v>0</v>
      </c>
      <c r="I168" s="54">
        <v>0</v>
      </c>
      <c r="J168" s="54">
        <v>0</v>
      </c>
      <c r="K168" s="54">
        <v>0</v>
      </c>
      <c r="L168" s="55">
        <v>0</v>
      </c>
      <c r="M168" s="54">
        <v>0</v>
      </c>
      <c r="N168" s="55">
        <v>0</v>
      </c>
      <c r="O168" s="10">
        <v>0</v>
      </c>
      <c r="P168" s="54"/>
      <c r="Q168" s="56">
        <f>+P168</f>
      </c>
    </row>
    <row r="169">
      <c r="A169" s="1">
        <v>307107</v>
      </c>
      <c r="B169" s="52">
        <v>8015</v>
      </c>
      <c r="C169" s="53" t="inlineStr">
        <is>
          <t>SAN PEDRO HUAMELULA</t>
        </is>
      </c>
      <c r="D169" s="57">
        <v>119</v>
      </c>
      <c r="E169" s="57">
        <v>155</v>
      </c>
      <c r="F169" s="10">
        <f>E169*0.666*24/72</f>
      </c>
      <c r="G169" s="54">
        <v>0</v>
      </c>
      <c r="H169" s="54">
        <v>0</v>
      </c>
      <c r="I169" s="54">
        <v>0</v>
      </c>
      <c r="J169" s="54">
        <v>0</v>
      </c>
      <c r="K169" s="54">
        <v>0</v>
      </c>
      <c r="L169" s="55">
        <v>0</v>
      </c>
      <c r="M169" s="54">
        <v>0</v>
      </c>
      <c r="N169" s="55">
        <v>0</v>
      </c>
      <c r="O169" s="10">
        <v>0</v>
      </c>
      <c r="P169" s="54"/>
      <c r="Q169" s="56">
        <f>+P169</f>
      </c>
    </row>
    <row r="170">
      <c r="A170" s="1">
        <v>308101</v>
      </c>
      <c r="B170" s="52">
        <v>8010</v>
      </c>
      <c r="C170" s="53" t="inlineStr">
        <is>
          <t>SAN PEDRO HUILOTEPEC</t>
        </is>
      </c>
      <c r="D170" s="57">
        <v>106</v>
      </c>
      <c r="E170" s="57">
        <v>143</v>
      </c>
      <c r="F170" s="10">
        <f>E170*0.666*24/72</f>
      </c>
      <c r="G170" s="54">
        <v>0</v>
      </c>
      <c r="H170" s="54">
        <v>0</v>
      </c>
      <c r="I170" s="54">
        <v>0</v>
      </c>
      <c r="J170" s="54">
        <v>0</v>
      </c>
      <c r="K170" s="54">
        <v>0</v>
      </c>
      <c r="L170" s="55">
        <v>0</v>
      </c>
      <c r="M170" s="54">
        <v>0</v>
      </c>
      <c r="N170" s="55">
        <v>0</v>
      </c>
      <c r="O170" s="10">
        <v>0</v>
      </c>
      <c r="P170" s="54"/>
      <c r="Q170" s="56">
        <f>+P170</f>
      </c>
    </row>
    <row r="171">
      <c r="A171" s="1">
        <v>515101</v>
      </c>
      <c r="B171" s="52">
        <v>8001</v>
      </c>
      <c r="C171" s="53" t="inlineStr">
        <is>
          <t>MORRO MAZATAN</t>
        </is>
      </c>
      <c r="D171" s="57">
        <v>135</v>
      </c>
      <c r="E171" s="57">
        <v>202</v>
      </c>
      <c r="F171" s="10">
        <f>E171*0.666*24/72</f>
      </c>
      <c r="G171" s="54">
        <v>0</v>
      </c>
      <c r="H171" s="54">
        <v>0</v>
      </c>
      <c r="I171" s="54">
        <v>0</v>
      </c>
      <c r="J171" s="54">
        <v>0</v>
      </c>
      <c r="K171" s="54">
        <v>0</v>
      </c>
      <c r="L171" s="55">
        <v>0</v>
      </c>
      <c r="M171" s="54">
        <v>0</v>
      </c>
      <c r="N171" s="55">
        <v>0</v>
      </c>
      <c r="O171" s="10">
        <v>0</v>
      </c>
      <c r="P171" s="54"/>
      <c r="Q171" s="56">
        <f>+P171</f>
      </c>
    </row>
    <row r="172">
      <c r="A172" s="1">
        <v>515117</v>
      </c>
      <c r="B172" s="52">
        <v>8003</v>
      </c>
      <c r="C172" s="53" t="inlineStr">
        <is>
          <t>SANTA CRUZ BAMBA Y GARRAPATERO</t>
        </is>
      </c>
      <c r="D172" s="57">
        <v>82</v>
      </c>
      <c r="E172" s="57">
        <v>86</v>
      </c>
      <c r="F172" s="10">
        <f>E172*0.666*24/72</f>
      </c>
      <c r="G172" s="54">
        <v>0</v>
      </c>
      <c r="H172" s="54">
        <v>0</v>
      </c>
      <c r="I172" s="54">
        <v>0</v>
      </c>
      <c r="J172" s="54">
        <v>0</v>
      </c>
      <c r="K172" s="54">
        <v>0</v>
      </c>
      <c r="L172" s="55">
        <v>0</v>
      </c>
      <c r="M172" s="54">
        <v>0</v>
      </c>
      <c r="N172" s="55">
        <v>0</v>
      </c>
      <c r="O172" s="10">
        <v>0</v>
      </c>
      <c r="P172" s="54"/>
      <c r="Q172" s="56">
        <f>+P172</f>
      </c>
    </row>
    <row r="174">
      <c r="A174" s="43" t="inlineStr">
        <is>
          <t>T O T A L</t>
        </is>
      </c>
      <c r="B174" s="44"/>
      <c r="C174" s="45">
        <f>COUNTA(A164:A172)</f>
      </c>
      <c r="D174" s="65">
        <f>SUM(D164:D172)</f>
      </c>
      <c r="E174" s="65">
        <f>SUM(E164:E172)</f>
      </c>
      <c r="F174" s="65">
        <f>SUM(F164:F172)</f>
      </c>
      <c r="G174" s="65">
        <f>SUM(G164:G172)</f>
      </c>
      <c r="H174" s="65">
        <f>SUM(H164:H172)</f>
      </c>
      <c r="I174" s="65">
        <f>SUM(I164:I172)</f>
      </c>
      <c r="J174" s="65">
        <f>SUM(J164:J172)</f>
      </c>
      <c r="K174" s="65">
        <f>SUM(K164:K172)</f>
      </c>
      <c r="L174" s="65">
        <f>SUM(L164:L172)</f>
      </c>
      <c r="M174" s="65">
        <f>SUM(M164:M172)</f>
      </c>
      <c r="N174" s="65">
        <f>SUM(N164:N172)</f>
      </c>
      <c r="O174" s="65">
        <f>SUM(O164:O172)</f>
      </c>
      <c r="P174" s="65">
        <f>SUM(P164:P172)</f>
      </c>
      <c r="Q174" s="65">
        <f>SUM(Q164:Q172)</f>
      </c>
    </row>
    <row r="175">
      <c r="A175" s="66" t="inlineStr">
        <is>
          <t>OBSERVACIONES: </t>
        </is>
      </c>
      <c r="B175" s="67"/>
      <c r="C175" s="68"/>
      <c r="D175" s="69"/>
      <c r="E175" s="69"/>
      <c r="F175" s="70"/>
      <c r="G175" s="69"/>
      <c r="H175" s="69"/>
      <c r="I175" s="69"/>
      <c r="J175" s="69"/>
      <c r="K175" s="69"/>
      <c r="L175" s="70"/>
      <c r="M175" s="71"/>
      <c r="N175" s="72"/>
      <c r="O175" s="72"/>
      <c r="P175" s="73"/>
      <c r="Q175" s="74"/>
    </row>
    <row r="176">
      <c r="P176" s="65" t="inlineStr">
        <is>
          <t>TOTAL A RECIBIR EN ALMACEN:</t>
        </is>
      </c>
      <c r="Q176" s="65">
        <f>Q174</f>
      </c>
    </row>
    <row r="179">
      <c r="B179" s="40" t="inlineStr">
        <is>
          <t>ALMACEN RURAL : PALOMARES</t>
        </is>
      </c>
      <c r="C179" s="41"/>
    </row>
    <row r="182">
      <c r="A182" s="1">
        <v>10104</v>
      </c>
      <c r="B182" s="52">
        <v>115</v>
      </c>
      <c r="C182" s="53" t="inlineStr">
        <is>
          <t>RIO GRANDE</t>
        </is>
      </c>
      <c r="D182" s="57">
        <v>36</v>
      </c>
      <c r="E182" s="57">
        <v>63</v>
      </c>
      <c r="F182" s="10">
        <f>E182*0.666*24/72</f>
      </c>
      <c r="G182" s="54">
        <v>0</v>
      </c>
      <c r="H182" s="54">
        <v>0</v>
      </c>
      <c r="I182" s="54">
        <v>0</v>
      </c>
      <c r="J182" s="54">
        <v>0</v>
      </c>
      <c r="K182" s="54">
        <v>0</v>
      </c>
      <c r="L182" s="55">
        <v>0</v>
      </c>
      <c r="M182" s="54">
        <v>0</v>
      </c>
      <c r="N182" s="55">
        <v>0</v>
      </c>
      <c r="O182" s="10">
        <v>0</v>
      </c>
      <c r="P182" s="54"/>
      <c r="Q182" s="56">
        <f>+P182</f>
      </c>
    </row>
    <row r="183">
      <c r="A183" s="1">
        <v>10105</v>
      </c>
      <c r="B183" s="52">
        <v>134</v>
      </c>
      <c r="C183" s="53" t="inlineStr">
        <is>
          <t>ALMOLOYA DE GUTIERREZ</t>
        </is>
      </c>
      <c r="D183" s="57">
        <v>87</v>
      </c>
      <c r="E183" s="57">
        <v>131</v>
      </c>
      <c r="F183" s="10">
        <f>E183*0.666*24/72</f>
      </c>
      <c r="G183" s="54">
        <v>0</v>
      </c>
      <c r="H183" s="54">
        <v>0</v>
      </c>
      <c r="I183" s="54">
        <v>0</v>
      </c>
      <c r="J183" s="54">
        <v>0</v>
      </c>
      <c r="K183" s="54">
        <v>0</v>
      </c>
      <c r="L183" s="55">
        <v>0</v>
      </c>
      <c r="M183" s="54">
        <v>0</v>
      </c>
      <c r="N183" s="55">
        <v>0</v>
      </c>
      <c r="O183" s="10">
        <v>0</v>
      </c>
      <c r="P183" s="54"/>
      <c r="Q183" s="56">
        <f>+P183</f>
      </c>
    </row>
    <row r="184">
      <c r="A184" s="1">
        <v>57102</v>
      </c>
      <c r="B184" s="52">
        <v>14</v>
      </c>
      <c r="C184" s="53" t="inlineStr">
        <is>
          <t>PALOMARES</t>
        </is>
      </c>
      <c r="D184" s="57">
        <v>143</v>
      </c>
      <c r="E184" s="57">
        <v>180</v>
      </c>
      <c r="F184" s="10">
        <f>E184*0.666*24/72</f>
      </c>
      <c r="G184" s="54">
        <v>0</v>
      </c>
      <c r="H184" s="54">
        <v>0</v>
      </c>
      <c r="I184" s="54">
        <v>0</v>
      </c>
      <c r="J184" s="54">
        <v>0</v>
      </c>
      <c r="K184" s="54">
        <v>0</v>
      </c>
      <c r="L184" s="55">
        <v>0</v>
      </c>
      <c r="M184" s="54">
        <v>0</v>
      </c>
      <c r="N184" s="55">
        <v>0</v>
      </c>
      <c r="O184" s="10">
        <v>0</v>
      </c>
      <c r="P184" s="54"/>
      <c r="Q184" s="56">
        <f>+P184</f>
      </c>
    </row>
    <row r="185">
      <c r="A185" s="1">
        <v>57112</v>
      </c>
      <c r="B185" s="52">
        <v>73</v>
      </c>
      <c r="C185" s="53" t="inlineStr">
        <is>
          <t>EL PASO DE LAS MARAVILLAS</t>
        </is>
      </c>
      <c r="D185" s="57">
        <v>32</v>
      </c>
      <c r="E185" s="57">
        <v>72</v>
      </c>
      <c r="F185" s="10">
        <f>E185*0.666*24/72</f>
      </c>
      <c r="G185" s="54">
        <v>0</v>
      </c>
      <c r="H185" s="54">
        <v>0</v>
      </c>
      <c r="I185" s="54">
        <v>0</v>
      </c>
      <c r="J185" s="54">
        <v>0</v>
      </c>
      <c r="K185" s="54">
        <v>0</v>
      </c>
      <c r="L185" s="55">
        <v>0</v>
      </c>
      <c r="M185" s="54">
        <v>0</v>
      </c>
      <c r="N185" s="55">
        <v>0</v>
      </c>
      <c r="O185" s="10">
        <v>0</v>
      </c>
      <c r="P185" s="54"/>
      <c r="Q185" s="56">
        <f>+P185</f>
      </c>
    </row>
    <row r="186">
      <c r="A186" s="1">
        <v>57113</v>
      </c>
      <c r="B186" s="52">
        <v>113</v>
      </c>
      <c r="C186" s="53" t="inlineStr">
        <is>
          <t>CUAUHTEMOC</t>
        </is>
      </c>
      <c r="D186" s="57">
        <v>90</v>
      </c>
      <c r="E186" s="57">
        <v>122</v>
      </c>
      <c r="F186" s="10">
        <f>E186*0.666*24/72</f>
      </c>
      <c r="G186" s="54">
        <v>0</v>
      </c>
      <c r="H186" s="54">
        <v>0</v>
      </c>
      <c r="I186" s="54">
        <v>0</v>
      </c>
      <c r="J186" s="54">
        <v>0</v>
      </c>
      <c r="K186" s="54">
        <v>0</v>
      </c>
      <c r="L186" s="55">
        <v>0</v>
      </c>
      <c r="M186" s="54">
        <v>0</v>
      </c>
      <c r="N186" s="55">
        <v>0</v>
      </c>
      <c r="O186" s="10">
        <v>0</v>
      </c>
      <c r="P186" s="54"/>
      <c r="Q186" s="56">
        <f>+P186</f>
      </c>
    </row>
    <row r="187">
      <c r="A187" s="1">
        <v>198115</v>
      </c>
      <c r="B187" s="52">
        <v>125</v>
      </c>
      <c r="C187" s="53" t="inlineStr">
        <is>
          <t>EL ZACATAL</t>
        </is>
      </c>
      <c r="D187" s="57">
        <v>92</v>
      </c>
      <c r="E187" s="57">
        <v>133</v>
      </c>
      <c r="F187" s="10">
        <f>E187*0.666*24/72</f>
      </c>
      <c r="G187" s="54">
        <v>0</v>
      </c>
      <c r="H187" s="54">
        <v>0</v>
      </c>
      <c r="I187" s="54">
        <v>0</v>
      </c>
      <c r="J187" s="54">
        <v>0</v>
      </c>
      <c r="K187" s="54">
        <v>0</v>
      </c>
      <c r="L187" s="55">
        <v>0</v>
      </c>
      <c r="M187" s="54">
        <v>0</v>
      </c>
      <c r="N187" s="55">
        <v>0</v>
      </c>
      <c r="O187" s="10">
        <v>0</v>
      </c>
      <c r="P187" s="54"/>
      <c r="Q187" s="56">
        <f>+P187</f>
      </c>
    </row>
    <row r="188">
      <c r="A188" s="1">
        <v>198116</v>
      </c>
      <c r="B188" s="52">
        <v>115</v>
      </c>
      <c r="C188" s="53" t="inlineStr">
        <is>
          <t>OCOTAL</t>
        </is>
      </c>
      <c r="D188" s="57">
        <v>17</v>
      </c>
      <c r="E188" s="57">
        <v>34</v>
      </c>
      <c r="F188" s="10">
        <f>E188*0.666*24/72</f>
      </c>
      <c r="G188" s="54">
        <v>0</v>
      </c>
      <c r="H188" s="54">
        <v>0</v>
      </c>
      <c r="I188" s="54">
        <v>0</v>
      </c>
      <c r="J188" s="54">
        <v>0</v>
      </c>
      <c r="K188" s="54">
        <v>0</v>
      </c>
      <c r="L188" s="55">
        <v>0</v>
      </c>
      <c r="M188" s="54">
        <v>0</v>
      </c>
      <c r="N188" s="55">
        <v>0</v>
      </c>
      <c r="O188" s="10">
        <v>0</v>
      </c>
      <c r="P188" s="54"/>
      <c r="Q188" s="56">
        <f>+P188</f>
      </c>
    </row>
    <row r="189">
      <c r="A189" s="1">
        <v>198117</v>
      </c>
      <c r="B189" s="52">
        <v>43</v>
      </c>
      <c r="C189" s="53" t="inlineStr">
        <is>
          <t>PLAN SAN LUIS</t>
        </is>
      </c>
      <c r="D189" s="57">
        <v>45</v>
      </c>
      <c r="E189" s="57">
        <v>78</v>
      </c>
      <c r="F189" s="10">
        <f>E189*0.666*24/72</f>
      </c>
      <c r="G189" s="54">
        <v>0</v>
      </c>
      <c r="H189" s="54">
        <v>0</v>
      </c>
      <c r="I189" s="54">
        <v>0</v>
      </c>
      <c r="J189" s="54">
        <v>0</v>
      </c>
      <c r="K189" s="54">
        <v>0</v>
      </c>
      <c r="L189" s="55">
        <v>0</v>
      </c>
      <c r="M189" s="54">
        <v>0</v>
      </c>
      <c r="N189" s="55">
        <v>0</v>
      </c>
      <c r="O189" s="10">
        <v>0</v>
      </c>
      <c r="P189" s="54"/>
      <c r="Q189" s="56">
        <f>+P189</f>
      </c>
    </row>
    <row r="190">
      <c r="A190" s="1">
        <v>198118</v>
      </c>
      <c r="B190" s="52">
        <v>44</v>
      </c>
      <c r="C190" s="53" t="inlineStr">
        <is>
          <t>ESTACION SARABIA</t>
        </is>
      </c>
      <c r="D190" s="57">
        <v>66</v>
      </c>
      <c r="E190" s="57">
        <v>123</v>
      </c>
      <c r="F190" s="10">
        <f>E190*0.666*24/72</f>
      </c>
      <c r="G190" s="54">
        <v>0</v>
      </c>
      <c r="H190" s="54">
        <v>0</v>
      </c>
      <c r="I190" s="54">
        <v>0</v>
      </c>
      <c r="J190" s="54">
        <v>0</v>
      </c>
      <c r="K190" s="54">
        <v>0</v>
      </c>
      <c r="L190" s="55">
        <v>0</v>
      </c>
      <c r="M190" s="54">
        <v>0</v>
      </c>
      <c r="N190" s="55">
        <v>0</v>
      </c>
      <c r="O190" s="10">
        <v>0</v>
      </c>
      <c r="P190" s="54"/>
      <c r="Q190" s="56">
        <f>+P190</f>
      </c>
    </row>
    <row r="191">
      <c r="A191" s="1">
        <v>198119</v>
      </c>
      <c r="B191" s="52">
        <v>144</v>
      </c>
      <c r="C191" s="53" t="inlineStr">
        <is>
          <t>RIO PACHI E</t>
        </is>
      </c>
      <c r="D191" s="57">
        <v>142</v>
      </c>
      <c r="E191" s="57">
        <v>177</v>
      </c>
      <c r="F191" s="10">
        <f>E191*0.666*24/72</f>
      </c>
      <c r="G191" s="54">
        <v>0</v>
      </c>
      <c r="H191" s="54">
        <v>0</v>
      </c>
      <c r="I191" s="54">
        <v>0</v>
      </c>
      <c r="J191" s="54">
        <v>0</v>
      </c>
      <c r="K191" s="54">
        <v>0</v>
      </c>
      <c r="L191" s="55">
        <v>0</v>
      </c>
      <c r="M191" s="54">
        <v>0</v>
      </c>
      <c r="N191" s="55">
        <v>0</v>
      </c>
      <c r="O191" s="10">
        <v>0</v>
      </c>
      <c r="P191" s="54"/>
      <c r="Q191" s="56">
        <f>+P191</f>
      </c>
    </row>
    <row r="192">
      <c r="A192" s="1">
        <v>207104</v>
      </c>
      <c r="B192" s="52">
        <v>12</v>
      </c>
      <c r="C192" s="53" t="inlineStr">
        <is>
          <t>GENERAL FELIPE ANGELES</t>
        </is>
      </c>
      <c r="D192" s="57">
        <v>44</v>
      </c>
      <c r="E192" s="57">
        <v>95</v>
      </c>
      <c r="F192" s="10">
        <f>E192*0.666*24/72</f>
      </c>
      <c r="G192" s="54">
        <v>0</v>
      </c>
      <c r="H192" s="54">
        <v>0</v>
      </c>
      <c r="I192" s="54">
        <v>0</v>
      </c>
      <c r="J192" s="54">
        <v>0</v>
      </c>
      <c r="K192" s="54">
        <v>0</v>
      </c>
      <c r="L192" s="55">
        <v>0</v>
      </c>
      <c r="M192" s="54">
        <v>0</v>
      </c>
      <c r="N192" s="55">
        <v>0</v>
      </c>
      <c r="O192" s="10">
        <v>0</v>
      </c>
      <c r="P192" s="54"/>
      <c r="Q192" s="56">
        <f>+P192</f>
      </c>
    </row>
    <row r="194">
      <c r="A194" s="43" t="inlineStr">
        <is>
          <t>T O T A L</t>
        </is>
      </c>
      <c r="B194" s="44"/>
      <c r="C194" s="45">
        <f>COUNTA(A182:A192)</f>
      </c>
      <c r="D194" s="65">
        <f>SUM(D182:D192)</f>
      </c>
      <c r="E194" s="65">
        <f>SUM(E182:E192)</f>
      </c>
      <c r="F194" s="65">
        <f>SUM(F182:F192)</f>
      </c>
      <c r="G194" s="65">
        <f>SUM(G182:G192)</f>
      </c>
      <c r="H194" s="65">
        <f>SUM(H182:H192)</f>
      </c>
      <c r="I194" s="65">
        <f>SUM(I182:I192)</f>
      </c>
      <c r="J194" s="65">
        <f>SUM(J182:J192)</f>
      </c>
      <c r="K194" s="65">
        <f>SUM(K182:K192)</f>
      </c>
      <c r="L194" s="65">
        <f>SUM(L182:L192)</f>
      </c>
      <c r="M194" s="65">
        <f>SUM(M182:M192)</f>
      </c>
      <c r="N194" s="65">
        <f>SUM(N182:N192)</f>
      </c>
      <c r="O194" s="65">
        <f>SUM(O182:O192)</f>
      </c>
      <c r="P194" s="65">
        <f>SUM(P182:P192)</f>
      </c>
      <c r="Q194" s="65">
        <f>SUM(Q182:Q192)</f>
      </c>
    </row>
    <row r="195">
      <c r="A195" s="66" t="inlineStr">
        <is>
          <t>OBSERVACIONES: </t>
        </is>
      </c>
      <c r="B195" s="67"/>
      <c r="C195" s="68"/>
      <c r="D195" s="69"/>
      <c r="E195" s="69"/>
      <c r="F195" s="70"/>
      <c r="G195" s="69"/>
      <c r="H195" s="69"/>
      <c r="I195" s="69"/>
      <c r="J195" s="69"/>
      <c r="K195" s="69"/>
      <c r="L195" s="70"/>
      <c r="M195" s="71"/>
      <c r="N195" s="72"/>
      <c r="O195" s="72"/>
      <c r="P195" s="73"/>
      <c r="Q195" s="74"/>
    </row>
    <row r="196">
      <c r="P196" s="65" t="inlineStr">
        <is>
          <t>TOTAL A RECIBIR EN ALMACEN:</t>
        </is>
      </c>
      <c r="Q196" s="65">
        <f>Q194</f>
      </c>
    </row>
    <row r="199">
      <c r="B199" s="40" t="inlineStr">
        <is>
          <t>ALMACEN RURAL : SANTIAGO LAOLLAGA</t>
        </is>
      </c>
      <c r="C199" s="41"/>
    </row>
    <row r="202">
      <c r="A202" s="1">
        <v>5103</v>
      </c>
      <c r="B202" s="52">
        <v>114</v>
      </c>
      <c r="C202" s="53" t="inlineStr">
        <is>
          <t>ASUNCION IXTALTEPEC</t>
        </is>
      </c>
      <c r="D202" s="57">
        <v>339</v>
      </c>
      <c r="E202" s="57">
        <v>475</v>
      </c>
      <c r="F202" s="10">
        <f>E202*0.666*24/72</f>
      </c>
      <c r="G202" s="54">
        <v>0</v>
      </c>
      <c r="H202" s="54">
        <v>0</v>
      </c>
      <c r="I202" s="54">
        <v>0</v>
      </c>
      <c r="J202" s="54">
        <v>0</v>
      </c>
      <c r="K202" s="54">
        <v>0</v>
      </c>
      <c r="L202" s="55">
        <v>0</v>
      </c>
      <c r="M202" s="54">
        <v>0</v>
      </c>
      <c r="N202" s="55">
        <v>0</v>
      </c>
      <c r="O202" s="10">
        <v>0</v>
      </c>
      <c r="P202" s="54"/>
      <c r="Q202" s="56">
        <f>+P202</f>
      </c>
    </row>
    <row r="203">
      <c r="A203" s="1">
        <v>53102</v>
      </c>
      <c r="B203" s="52">
        <v>110</v>
      </c>
      <c r="C203" s="53" t="inlineStr">
        <is>
          <t>MAGDALENA TLACOTEPEC</t>
        </is>
      </c>
      <c r="D203" s="57">
        <v>25</v>
      </c>
      <c r="E203" s="57">
        <v>43</v>
      </c>
      <c r="F203" s="10">
        <f>E203*0.666*24/72</f>
      </c>
      <c r="G203" s="54">
        <v>0</v>
      </c>
      <c r="H203" s="54">
        <v>0</v>
      </c>
      <c r="I203" s="54">
        <v>0</v>
      </c>
      <c r="J203" s="54">
        <v>0</v>
      </c>
      <c r="K203" s="54">
        <v>0</v>
      </c>
      <c r="L203" s="55">
        <v>0</v>
      </c>
      <c r="M203" s="54">
        <v>0</v>
      </c>
      <c r="N203" s="55">
        <v>0</v>
      </c>
      <c r="O203" s="10">
        <v>0</v>
      </c>
      <c r="P203" s="54"/>
      <c r="Q203" s="56">
        <f>+P203</f>
      </c>
    </row>
    <row r="204">
      <c r="A204" s="1">
        <v>64102</v>
      </c>
      <c r="B204" s="52">
        <v>21</v>
      </c>
      <c r="C204" s="53" t="inlineStr">
        <is>
          <t>SAN JUAN LACHIXILA</t>
        </is>
      </c>
      <c r="D204" s="57">
        <v>16</v>
      </c>
      <c r="E204" s="57">
        <v>21</v>
      </c>
      <c r="F204" s="10">
        <f>E204*0.666*24/72</f>
      </c>
      <c r="G204" s="54">
        <v>0</v>
      </c>
      <c r="H204" s="54">
        <v>0</v>
      </c>
      <c r="I204" s="54">
        <v>0</v>
      </c>
      <c r="J204" s="54">
        <v>0</v>
      </c>
      <c r="K204" s="54">
        <v>0</v>
      </c>
      <c r="L204" s="55">
        <v>0</v>
      </c>
      <c r="M204" s="54">
        <v>0</v>
      </c>
      <c r="N204" s="55">
        <v>0</v>
      </c>
      <c r="O204" s="10">
        <v>0</v>
      </c>
      <c r="P204" s="54"/>
      <c r="Q204" s="56">
        <f>+P204</f>
      </c>
    </row>
    <row r="205">
      <c r="A205" s="1">
        <v>124103</v>
      </c>
      <c r="B205" s="52">
        <v>103</v>
      </c>
      <c r="C205" s="53" t="inlineStr">
        <is>
          <t>SAN BLAS ATEMPA</t>
        </is>
      </c>
      <c r="D205" s="57">
        <v>54</v>
      </c>
      <c r="E205" s="57">
        <v>90</v>
      </c>
      <c r="F205" s="10">
        <f>E205*0.666*24/72</f>
      </c>
      <c r="G205" s="54">
        <v>0</v>
      </c>
      <c r="H205" s="54">
        <v>0</v>
      </c>
      <c r="I205" s="54">
        <v>0</v>
      </c>
      <c r="J205" s="54">
        <v>0</v>
      </c>
      <c r="K205" s="54">
        <v>0</v>
      </c>
      <c r="L205" s="55">
        <v>0</v>
      </c>
      <c r="M205" s="54">
        <v>0</v>
      </c>
      <c r="N205" s="55">
        <v>0</v>
      </c>
      <c r="O205" s="10">
        <v>0</v>
      </c>
      <c r="P205" s="54"/>
      <c r="Q205" s="56">
        <f>+P205</f>
      </c>
    </row>
    <row r="206">
      <c r="A206" s="1">
        <v>305102</v>
      </c>
      <c r="B206" s="52">
        <v>115</v>
      </c>
      <c r="C206" s="53" t="inlineStr">
        <is>
          <t>SAN PEDRO COMITANCILLO</t>
        </is>
      </c>
      <c r="D206" s="57">
        <v>87</v>
      </c>
      <c r="E206" s="57">
        <v>140</v>
      </c>
      <c r="F206" s="10">
        <f>E206*0.666*24/72</f>
      </c>
      <c r="G206" s="54">
        <v>0</v>
      </c>
      <c r="H206" s="54">
        <v>0</v>
      </c>
      <c r="I206" s="54">
        <v>0</v>
      </c>
      <c r="J206" s="54">
        <v>0</v>
      </c>
      <c r="K206" s="54">
        <v>0</v>
      </c>
      <c r="L206" s="55">
        <v>0</v>
      </c>
      <c r="M206" s="54">
        <v>0</v>
      </c>
      <c r="N206" s="55">
        <v>0</v>
      </c>
      <c r="O206" s="10">
        <v>0</v>
      </c>
      <c r="P206" s="54"/>
      <c r="Q206" s="56">
        <f>+P206</f>
      </c>
    </row>
    <row r="207">
      <c r="A207" s="1">
        <v>472103</v>
      </c>
      <c r="B207" s="52">
        <v>96</v>
      </c>
      <c r="C207" s="53" t="inlineStr">
        <is>
          <t>SANTIAGO LAOLLAGA</t>
        </is>
      </c>
      <c r="D207" s="57">
        <v>88</v>
      </c>
      <c r="E207" s="57">
        <v>140</v>
      </c>
      <c r="F207" s="10">
        <f>E207*0.666*24/72</f>
      </c>
      <c r="G207" s="54">
        <v>0</v>
      </c>
      <c r="H207" s="54">
        <v>0</v>
      </c>
      <c r="I207" s="54">
        <v>0</v>
      </c>
      <c r="J207" s="54">
        <v>0</v>
      </c>
      <c r="K207" s="54">
        <v>0</v>
      </c>
      <c r="L207" s="55">
        <v>0</v>
      </c>
      <c r="M207" s="54">
        <v>0</v>
      </c>
      <c r="N207" s="55">
        <v>0</v>
      </c>
      <c r="O207" s="10">
        <v>0</v>
      </c>
      <c r="P207" s="54"/>
      <c r="Q207" s="56">
        <f>+P207</f>
      </c>
    </row>
    <row r="208">
      <c r="A208" s="1">
        <v>508102</v>
      </c>
      <c r="B208" s="52">
        <v>99</v>
      </c>
      <c r="C208" s="53" t="inlineStr">
        <is>
          <t>SANTO DOMINGO CHIHUIT N</t>
        </is>
      </c>
      <c r="D208" s="57">
        <v>63</v>
      </c>
      <c r="E208" s="57">
        <v>96</v>
      </c>
      <c r="F208" s="10">
        <f>E208*0.666*24/72</f>
      </c>
      <c r="G208" s="54">
        <v>0</v>
      </c>
      <c r="H208" s="54">
        <v>0</v>
      </c>
      <c r="I208" s="54">
        <v>0</v>
      </c>
      <c r="J208" s="54">
        <v>0</v>
      </c>
      <c r="K208" s="54">
        <v>0</v>
      </c>
      <c r="L208" s="55">
        <v>0</v>
      </c>
      <c r="M208" s="54">
        <v>0</v>
      </c>
      <c r="N208" s="55">
        <v>0</v>
      </c>
      <c r="O208" s="10">
        <v>0</v>
      </c>
      <c r="P208" s="54"/>
      <c r="Q208" s="56">
        <f>+P208</f>
      </c>
    </row>
    <row r="210">
      <c r="A210" s="43" t="inlineStr">
        <is>
          <t>T O T A L</t>
        </is>
      </c>
      <c r="B210" s="44"/>
      <c r="C210" s="45">
        <f>COUNTA(A202:A208)</f>
      </c>
      <c r="D210" s="65">
        <f>SUM(D202:D208)</f>
      </c>
      <c r="E210" s="65">
        <f>SUM(E202:E208)</f>
      </c>
      <c r="F210" s="65">
        <f>SUM(F202:F208)</f>
      </c>
      <c r="G210" s="65">
        <f>SUM(G202:G208)</f>
      </c>
      <c r="H210" s="65">
        <f>SUM(H202:H208)</f>
      </c>
      <c r="I210" s="65">
        <f>SUM(I202:I208)</f>
      </c>
      <c r="J210" s="65">
        <f>SUM(J202:J208)</f>
      </c>
      <c r="K210" s="65">
        <f>SUM(K202:K208)</f>
      </c>
      <c r="L210" s="65">
        <f>SUM(L202:L208)</f>
      </c>
      <c r="M210" s="65">
        <f>SUM(M202:M208)</f>
      </c>
      <c r="N210" s="65">
        <f>SUM(N202:N208)</f>
      </c>
      <c r="O210" s="65">
        <f>SUM(O202:O208)</f>
      </c>
      <c r="P210" s="65">
        <f>SUM(P202:P208)</f>
      </c>
      <c r="Q210" s="65">
        <f>SUM(Q202:Q208)</f>
      </c>
    </row>
    <row r="211">
      <c r="A211" s="66" t="inlineStr">
        <is>
          <t>OBSERVACIONES: </t>
        </is>
      </c>
      <c r="B211" s="67"/>
      <c r="C211" s="68"/>
      <c r="D211" s="69"/>
      <c r="E211" s="69"/>
      <c r="F211" s="70"/>
      <c r="G211" s="69"/>
      <c r="H211" s="69"/>
      <c r="I211" s="69"/>
      <c r="J211" s="69"/>
      <c r="K211" s="69"/>
      <c r="L211" s="70"/>
      <c r="M211" s="71"/>
      <c r="N211" s="72"/>
      <c r="O211" s="72"/>
      <c r="P211" s="73"/>
      <c r="Q211" s="74"/>
    </row>
    <row r="212">
      <c r="P212" s="65" t="inlineStr">
        <is>
          <t>TOTAL A RECIBIR EN ALMACEN:</t>
        </is>
      </c>
      <c r="Q212" s="65">
        <f>Q210</f>
      </c>
    </row>
    <row r="215">
      <c r="B215" s="40" t="inlineStr">
        <is>
          <t>ALMACEN RURAL : SANTIAGO NILTEPEC</t>
        </is>
      </c>
      <c r="C215" s="41"/>
    </row>
    <row r="218">
      <c r="A218" s="1">
        <v>5101</v>
      </c>
      <c r="B218" s="52">
        <v>28077</v>
      </c>
      <c r="C218" s="53" t="inlineStr">
        <is>
          <t>SANTIAGO IXTALTEPEC</t>
        </is>
      </c>
      <c r="D218" s="57">
        <v>101</v>
      </c>
      <c r="E218" s="57">
        <v>183</v>
      </c>
      <c r="F218" s="10">
        <f>E218*0.666*24/72</f>
      </c>
      <c r="G218" s="54">
        <v>0</v>
      </c>
      <c r="H218" s="54">
        <v>0</v>
      </c>
      <c r="I218" s="54">
        <v>0</v>
      </c>
      <c r="J218" s="54">
        <v>0</v>
      </c>
      <c r="K218" s="54">
        <v>0</v>
      </c>
      <c r="L218" s="55">
        <v>0</v>
      </c>
      <c r="M218" s="54">
        <v>0</v>
      </c>
      <c r="N218" s="55">
        <v>0</v>
      </c>
      <c r="O218" s="10">
        <v>0</v>
      </c>
      <c r="P218" s="54"/>
      <c r="Q218" s="56">
        <f>+P218</f>
      </c>
    </row>
    <row r="219">
      <c r="A219" s="1">
        <v>5102</v>
      </c>
      <c r="B219" s="52">
        <v>44</v>
      </c>
      <c r="C219" s="53" t="inlineStr">
        <is>
          <t>LAZARO CARDENAS</t>
        </is>
      </c>
      <c r="D219" s="57">
        <v>82</v>
      </c>
      <c r="E219" s="57">
        <v>130</v>
      </c>
      <c r="F219" s="10">
        <f>E219*0.666*24/72</f>
      </c>
      <c r="G219" s="54">
        <v>0</v>
      </c>
      <c r="H219" s="54">
        <v>0</v>
      </c>
      <c r="I219" s="54">
        <v>0</v>
      </c>
      <c r="J219" s="54">
        <v>0</v>
      </c>
      <c r="K219" s="54">
        <v>0</v>
      </c>
      <c r="L219" s="55">
        <v>0</v>
      </c>
      <c r="M219" s="54">
        <v>0</v>
      </c>
      <c r="N219" s="55">
        <v>0</v>
      </c>
      <c r="O219" s="10">
        <v>0</v>
      </c>
      <c r="P219" s="54"/>
      <c r="Q219" s="56">
        <f>+P219</f>
      </c>
    </row>
    <row r="220">
      <c r="A220" s="1">
        <v>43111</v>
      </c>
      <c r="B220" s="52">
        <v>96</v>
      </c>
      <c r="C220" s="53" t="inlineStr">
        <is>
          <t>LA VENTA</t>
        </is>
      </c>
      <c r="D220" s="57">
        <v>40</v>
      </c>
      <c r="E220" s="57">
        <v>54</v>
      </c>
      <c r="F220" s="10">
        <f>E220*0.666*24/72</f>
      </c>
      <c r="G220" s="54">
        <v>0</v>
      </c>
      <c r="H220" s="54">
        <v>0</v>
      </c>
      <c r="I220" s="54">
        <v>0</v>
      </c>
      <c r="J220" s="54">
        <v>0</v>
      </c>
      <c r="K220" s="54">
        <v>0</v>
      </c>
      <c r="L220" s="55">
        <v>0</v>
      </c>
      <c r="M220" s="54">
        <v>0</v>
      </c>
      <c r="N220" s="55">
        <v>0</v>
      </c>
      <c r="O220" s="10">
        <v>0</v>
      </c>
      <c r="P220" s="54"/>
      <c r="Q220" s="56">
        <f>+P220</f>
      </c>
    </row>
    <row r="221">
      <c r="A221" s="1">
        <v>66101</v>
      </c>
      <c r="B221" s="52">
        <v>35</v>
      </c>
      <c r="C221" s="53" t="inlineStr">
        <is>
          <t>EL HUAMUL</t>
        </is>
      </c>
      <c r="D221" s="57">
        <v>53</v>
      </c>
      <c r="E221" s="57">
        <v>90</v>
      </c>
      <c r="F221" s="10">
        <f>E221*0.666*24/72</f>
      </c>
      <c r="G221" s="54">
        <v>0</v>
      </c>
      <c r="H221" s="54">
        <v>0</v>
      </c>
      <c r="I221" s="54">
        <v>0</v>
      </c>
      <c r="J221" s="54">
        <v>0</v>
      </c>
      <c r="K221" s="54">
        <v>0</v>
      </c>
      <c r="L221" s="55">
        <v>0</v>
      </c>
      <c r="M221" s="54">
        <v>0</v>
      </c>
      <c r="N221" s="55">
        <v>0</v>
      </c>
      <c r="O221" s="10">
        <v>0</v>
      </c>
      <c r="P221" s="54"/>
      <c r="Q221" s="56">
        <f>+P221</f>
      </c>
    </row>
    <row r="222">
      <c r="A222" s="1">
        <v>120212</v>
      </c>
      <c r="B222" s="52">
        <v>61</v>
      </c>
      <c r="C222" s="53" t="inlineStr">
        <is>
          <t>SANTIAGO NILTEPEC</t>
        </is>
      </c>
      <c r="D222" s="57">
        <v>219</v>
      </c>
      <c r="E222" s="57">
        <v>340</v>
      </c>
      <c r="F222" s="10">
        <f>E222*0.666*24/72</f>
      </c>
      <c r="G222" s="54">
        <v>0</v>
      </c>
      <c r="H222" s="54">
        <v>0</v>
      </c>
      <c r="I222" s="54">
        <v>0</v>
      </c>
      <c r="J222" s="54">
        <v>0</v>
      </c>
      <c r="K222" s="54">
        <v>0</v>
      </c>
      <c r="L222" s="55">
        <v>0</v>
      </c>
      <c r="M222" s="54">
        <v>0</v>
      </c>
      <c r="N222" s="55">
        <v>0</v>
      </c>
      <c r="O222" s="10">
        <v>0</v>
      </c>
      <c r="P222" s="54"/>
      <c r="Q222" s="56">
        <f>+P222</f>
      </c>
    </row>
    <row r="223">
      <c r="A223" s="1">
        <v>130103</v>
      </c>
      <c r="B223" s="52">
        <v>32</v>
      </c>
      <c r="C223" s="53" t="inlineStr">
        <is>
          <t>SAN DIONISIO DEL MAR</t>
        </is>
      </c>
      <c r="D223" s="57">
        <v>110</v>
      </c>
      <c r="E223" s="57">
        <v>164</v>
      </c>
      <c r="F223" s="10">
        <f>E223*0.666*24/72</f>
      </c>
      <c r="G223" s="54">
        <v>0</v>
      </c>
      <c r="H223" s="54">
        <v>0</v>
      </c>
      <c r="I223" s="54">
        <v>0</v>
      </c>
      <c r="J223" s="54">
        <v>0</v>
      </c>
      <c r="K223" s="54">
        <v>0</v>
      </c>
      <c r="L223" s="55">
        <v>0</v>
      </c>
      <c r="M223" s="54">
        <v>0</v>
      </c>
      <c r="N223" s="55">
        <v>0</v>
      </c>
      <c r="O223" s="10">
        <v>0</v>
      </c>
      <c r="P223" s="54"/>
      <c r="Q223" s="56">
        <f>+P223</f>
      </c>
    </row>
    <row r="224">
      <c r="A224" s="1">
        <v>141102</v>
      </c>
      <c r="B224" s="52">
        <v>120</v>
      </c>
      <c r="C224" s="53" t="inlineStr">
        <is>
          <t>SAN FRANCISCO DEL MAR</t>
        </is>
      </c>
      <c r="D224" s="57">
        <v>86</v>
      </c>
      <c r="E224" s="57">
        <v>139</v>
      </c>
      <c r="F224" s="10">
        <f>E224*0.666*24/72</f>
      </c>
      <c r="G224" s="54">
        <v>0</v>
      </c>
      <c r="H224" s="54">
        <v>0</v>
      </c>
      <c r="I224" s="54">
        <v>0</v>
      </c>
      <c r="J224" s="54">
        <v>0</v>
      </c>
      <c r="K224" s="54">
        <v>0</v>
      </c>
      <c r="L224" s="55">
        <v>0</v>
      </c>
      <c r="M224" s="54">
        <v>0</v>
      </c>
      <c r="N224" s="55">
        <v>0</v>
      </c>
      <c r="O224" s="10">
        <v>0</v>
      </c>
      <c r="P224" s="54"/>
      <c r="Q224" s="56">
        <f>+P224</f>
      </c>
    </row>
    <row r="225">
      <c r="A225" s="1">
        <v>143104</v>
      </c>
      <c r="B225" s="52">
        <v>12</v>
      </c>
      <c r="C225" s="53" t="inlineStr">
        <is>
          <t>20 DE NOVIEMBRE</t>
        </is>
      </c>
      <c r="D225" s="57">
        <v>32</v>
      </c>
      <c r="E225" s="57">
        <v>43</v>
      </c>
      <c r="F225" s="10">
        <f>E225*0.666*24/72</f>
      </c>
      <c r="G225" s="54">
        <v>0</v>
      </c>
      <c r="H225" s="54">
        <v>0</v>
      </c>
      <c r="I225" s="54">
        <v>0</v>
      </c>
      <c r="J225" s="54">
        <v>0</v>
      </c>
      <c r="K225" s="54">
        <v>0</v>
      </c>
      <c r="L225" s="55">
        <v>0</v>
      </c>
      <c r="M225" s="54">
        <v>0</v>
      </c>
      <c r="N225" s="55">
        <v>0</v>
      </c>
      <c r="O225" s="10">
        <v>0</v>
      </c>
      <c r="P225" s="54"/>
      <c r="Q225" s="56">
        <f>+P225</f>
      </c>
    </row>
    <row r="226">
      <c r="A226" s="1">
        <v>143105</v>
      </c>
      <c r="B226" s="52">
        <v>71</v>
      </c>
      <c r="C226" s="53" t="inlineStr">
        <is>
          <t>SAN FRANCISCO IXHUATAN</t>
        </is>
      </c>
      <c r="D226" s="57">
        <v>106</v>
      </c>
      <c r="E226" s="57">
        <v>160</v>
      </c>
      <c r="F226" s="10">
        <f>E226*0.666*24/72</f>
      </c>
      <c r="G226" s="54">
        <v>0</v>
      </c>
      <c r="H226" s="54">
        <v>0</v>
      </c>
      <c r="I226" s="54">
        <v>0</v>
      </c>
      <c r="J226" s="54">
        <v>0</v>
      </c>
      <c r="K226" s="54">
        <v>0</v>
      </c>
      <c r="L226" s="55">
        <v>0</v>
      </c>
      <c r="M226" s="54">
        <v>0</v>
      </c>
      <c r="N226" s="55">
        <v>0</v>
      </c>
      <c r="O226" s="10">
        <v>0</v>
      </c>
      <c r="P226" s="54"/>
      <c r="Q226" s="56">
        <f>+P226</f>
      </c>
    </row>
    <row r="227">
      <c r="A227" s="1">
        <v>143106</v>
      </c>
      <c r="B227" s="52">
        <v>14</v>
      </c>
      <c r="C227" s="53" t="inlineStr">
        <is>
          <t>LAS PALMAS</t>
        </is>
      </c>
      <c r="D227" s="57">
        <v>43</v>
      </c>
      <c r="E227" s="57">
        <v>61</v>
      </c>
      <c r="F227" s="10">
        <f>E227*0.666*24/72</f>
      </c>
      <c r="G227" s="54">
        <v>0</v>
      </c>
      <c r="H227" s="54">
        <v>0</v>
      </c>
      <c r="I227" s="54">
        <v>0</v>
      </c>
      <c r="J227" s="54">
        <v>0</v>
      </c>
      <c r="K227" s="54">
        <v>0</v>
      </c>
      <c r="L227" s="55">
        <v>0</v>
      </c>
      <c r="M227" s="54">
        <v>0</v>
      </c>
      <c r="N227" s="55">
        <v>0</v>
      </c>
      <c r="O227" s="10">
        <v>0</v>
      </c>
      <c r="P227" s="54"/>
      <c r="Q227" s="56">
        <f>+P227</f>
      </c>
    </row>
    <row r="228">
      <c r="A228" s="1">
        <v>265102</v>
      </c>
      <c r="B228" s="52">
        <v>40</v>
      </c>
      <c r="C228" s="53" t="inlineStr">
        <is>
          <t>SAN MIGUEL CHIMALAPA</t>
        </is>
      </c>
      <c r="D228" s="57">
        <v>49</v>
      </c>
      <c r="E228" s="57">
        <v>58</v>
      </c>
      <c r="F228" s="10">
        <f>E228*0.666*24/72</f>
      </c>
      <c r="G228" s="54">
        <v>0</v>
      </c>
      <c r="H228" s="54">
        <v>0</v>
      </c>
      <c r="I228" s="54">
        <v>0</v>
      </c>
      <c r="J228" s="54">
        <v>0</v>
      </c>
      <c r="K228" s="54">
        <v>0</v>
      </c>
      <c r="L228" s="55">
        <v>0</v>
      </c>
      <c r="M228" s="54">
        <v>0</v>
      </c>
      <c r="N228" s="55">
        <v>0</v>
      </c>
      <c r="O228" s="10">
        <v>0</v>
      </c>
      <c r="P228" s="54"/>
      <c r="Q228" s="56">
        <f>+P228</f>
      </c>
    </row>
    <row r="229">
      <c r="A229" s="1">
        <v>265103</v>
      </c>
      <c r="B229" s="52">
        <v>56</v>
      </c>
      <c r="C229" s="53" t="inlineStr">
        <is>
          <t>LAS ANONAS</t>
        </is>
      </c>
      <c r="D229" s="57">
        <v>32</v>
      </c>
      <c r="E229" s="57">
        <v>43</v>
      </c>
      <c r="F229" s="10">
        <f>E229*0.666*24/72</f>
      </c>
      <c r="G229" s="54">
        <v>0</v>
      </c>
      <c r="H229" s="54">
        <v>0</v>
      </c>
      <c r="I229" s="54">
        <v>0</v>
      </c>
      <c r="J229" s="54">
        <v>0</v>
      </c>
      <c r="K229" s="54">
        <v>0</v>
      </c>
      <c r="L229" s="55">
        <v>0</v>
      </c>
      <c r="M229" s="54">
        <v>0</v>
      </c>
      <c r="N229" s="55">
        <v>0</v>
      </c>
      <c r="O229" s="10">
        <v>0</v>
      </c>
      <c r="P229" s="54"/>
      <c r="Q229" s="56">
        <f>+P229</f>
      </c>
    </row>
    <row r="230">
      <c r="A230" s="1">
        <v>265104</v>
      </c>
      <c r="B230" s="52">
        <v>39</v>
      </c>
      <c r="C230" s="53" t="inlineStr">
        <is>
          <t>EL PORVENIR</t>
        </is>
      </c>
      <c r="D230" s="57">
        <v>42</v>
      </c>
      <c r="E230" s="57">
        <v>57</v>
      </c>
      <c r="F230" s="10">
        <f>E230*0.666*24/72</f>
      </c>
      <c r="G230" s="54">
        <v>0</v>
      </c>
      <c r="H230" s="54">
        <v>0</v>
      </c>
      <c r="I230" s="54">
        <v>0</v>
      </c>
      <c r="J230" s="54">
        <v>0</v>
      </c>
      <c r="K230" s="54">
        <v>0</v>
      </c>
      <c r="L230" s="55">
        <v>0</v>
      </c>
      <c r="M230" s="54">
        <v>0</v>
      </c>
      <c r="N230" s="55">
        <v>0</v>
      </c>
      <c r="O230" s="10">
        <v>0</v>
      </c>
      <c r="P230" s="54"/>
      <c r="Q230" s="56">
        <f>+P230</f>
      </c>
    </row>
    <row r="231">
      <c r="A231" s="1">
        <v>265105</v>
      </c>
      <c r="B231" s="52">
        <v>38</v>
      </c>
      <c r="C231" s="53" t="inlineStr">
        <is>
          <t>LOS LIMONES</t>
        </is>
      </c>
      <c r="D231" s="57">
        <v>41</v>
      </c>
      <c r="E231" s="57">
        <v>57</v>
      </c>
      <c r="F231" s="10">
        <f>E231*0.666*24/72</f>
      </c>
      <c r="G231" s="54">
        <v>0</v>
      </c>
      <c r="H231" s="54">
        <v>0</v>
      </c>
      <c r="I231" s="54">
        <v>0</v>
      </c>
      <c r="J231" s="54">
        <v>0</v>
      </c>
      <c r="K231" s="54">
        <v>0</v>
      </c>
      <c r="L231" s="55">
        <v>0</v>
      </c>
      <c r="M231" s="54">
        <v>0</v>
      </c>
      <c r="N231" s="55">
        <v>0</v>
      </c>
      <c r="O231" s="10">
        <v>0</v>
      </c>
      <c r="P231" s="54"/>
      <c r="Q231" s="56">
        <f>+P231</f>
      </c>
    </row>
    <row r="232">
      <c r="A232" s="1">
        <v>265106</v>
      </c>
      <c r="B232" s="52">
        <v>63</v>
      </c>
      <c r="C232" s="53" t="inlineStr">
        <is>
          <t>LAS CONCHAS</t>
        </is>
      </c>
      <c r="D232" s="57">
        <v>27</v>
      </c>
      <c r="E232" s="57">
        <v>44</v>
      </c>
      <c r="F232" s="10">
        <f>E232*0.666*24/72</f>
      </c>
      <c r="G232" s="54">
        <v>0</v>
      </c>
      <c r="H232" s="54">
        <v>0</v>
      </c>
      <c r="I232" s="54">
        <v>0</v>
      </c>
      <c r="J232" s="54">
        <v>0</v>
      </c>
      <c r="K232" s="54">
        <v>0</v>
      </c>
      <c r="L232" s="55">
        <v>0</v>
      </c>
      <c r="M232" s="54">
        <v>0</v>
      </c>
      <c r="N232" s="55">
        <v>0</v>
      </c>
      <c r="O232" s="10">
        <v>0</v>
      </c>
      <c r="P232" s="54"/>
      <c r="Q232" s="56">
        <f>+P232</f>
      </c>
    </row>
    <row r="233">
      <c r="A233" s="1">
        <v>265107</v>
      </c>
      <c r="B233" s="52">
        <v>45</v>
      </c>
      <c r="C233" s="53" t="inlineStr">
        <is>
          <t>SAN ANTONIO</t>
        </is>
      </c>
      <c r="D233" s="57">
        <v>40</v>
      </c>
      <c r="E233" s="57">
        <v>68</v>
      </c>
      <c r="F233" s="10">
        <f>E233*0.666*24/72</f>
      </c>
      <c r="G233" s="54">
        <v>0</v>
      </c>
      <c r="H233" s="54">
        <v>0</v>
      </c>
      <c r="I233" s="54">
        <v>0</v>
      </c>
      <c r="J233" s="54">
        <v>0</v>
      </c>
      <c r="K233" s="54">
        <v>0</v>
      </c>
      <c r="L233" s="55">
        <v>0</v>
      </c>
      <c r="M233" s="54">
        <v>0</v>
      </c>
      <c r="N233" s="55">
        <v>0</v>
      </c>
      <c r="O233" s="10">
        <v>0</v>
      </c>
      <c r="P233" s="54"/>
      <c r="Q233" s="56">
        <f>+P233</f>
      </c>
    </row>
    <row r="234">
      <c r="A234" s="1">
        <v>265108</v>
      </c>
      <c r="B234" s="52">
        <v>82</v>
      </c>
      <c r="C234" s="53" t="inlineStr">
        <is>
          <t>BENITO JU REZ (EL TREBOL)</t>
        </is>
      </c>
      <c r="D234" s="57">
        <v>57</v>
      </c>
      <c r="E234" s="57">
        <v>102</v>
      </c>
      <c r="F234" s="10">
        <f>E234*0.666*24/72</f>
      </c>
      <c r="G234" s="54">
        <v>0</v>
      </c>
      <c r="H234" s="54">
        <v>0</v>
      </c>
      <c r="I234" s="54">
        <v>0</v>
      </c>
      <c r="J234" s="54">
        <v>0</v>
      </c>
      <c r="K234" s="54">
        <v>0</v>
      </c>
      <c r="L234" s="55">
        <v>0</v>
      </c>
      <c r="M234" s="54">
        <v>0</v>
      </c>
      <c r="N234" s="55">
        <v>0</v>
      </c>
      <c r="O234" s="10">
        <v>0</v>
      </c>
      <c r="P234" s="54"/>
      <c r="Q234" s="56">
        <f>+P234</f>
      </c>
    </row>
    <row r="235">
      <c r="A235" s="1">
        <v>327103</v>
      </c>
      <c r="B235" s="52">
        <v>101</v>
      </c>
      <c r="C235" s="53" t="inlineStr">
        <is>
          <t>PESQUERIA RANCHO SALINAS</t>
        </is>
      </c>
      <c r="D235" s="57">
        <v>82</v>
      </c>
      <c r="E235" s="57">
        <v>100</v>
      </c>
      <c r="F235" s="10">
        <f>E235*0.666*24/72</f>
      </c>
      <c r="G235" s="54">
        <v>0</v>
      </c>
      <c r="H235" s="54">
        <v>0</v>
      </c>
      <c r="I235" s="54">
        <v>0</v>
      </c>
      <c r="J235" s="54">
        <v>0</v>
      </c>
      <c r="K235" s="54">
        <v>0</v>
      </c>
      <c r="L235" s="55">
        <v>0</v>
      </c>
      <c r="M235" s="54">
        <v>0</v>
      </c>
      <c r="N235" s="55">
        <v>0</v>
      </c>
      <c r="O235" s="10">
        <v>0</v>
      </c>
      <c r="P235" s="54"/>
      <c r="Q235" s="56">
        <f>+P235</f>
      </c>
    </row>
    <row r="236">
      <c r="A236" s="1">
        <v>407105</v>
      </c>
      <c r="B236" s="52">
        <v>43</v>
      </c>
      <c r="C236" s="53" t="inlineStr">
        <is>
          <t>SANTA INES</t>
        </is>
      </c>
      <c r="D236" s="57">
        <v>79</v>
      </c>
      <c r="E236" s="57">
        <v>116</v>
      </c>
      <c r="F236" s="10">
        <f>E236*0.666*24/72</f>
      </c>
      <c r="G236" s="54">
        <v>0</v>
      </c>
      <c r="H236" s="54">
        <v>0</v>
      </c>
      <c r="I236" s="54">
        <v>0</v>
      </c>
      <c r="J236" s="54">
        <v>0</v>
      </c>
      <c r="K236" s="54">
        <v>0</v>
      </c>
      <c r="L236" s="55">
        <v>0</v>
      </c>
      <c r="M236" s="54">
        <v>0</v>
      </c>
      <c r="N236" s="55">
        <v>0</v>
      </c>
      <c r="O236" s="10">
        <v>0</v>
      </c>
      <c r="P236" s="54"/>
      <c r="Q236" s="56">
        <f>+P236</f>
      </c>
    </row>
    <row r="237">
      <c r="A237" s="1">
        <v>505101</v>
      </c>
      <c r="B237" s="52">
        <v>21</v>
      </c>
      <c r="C237" s="53" t="inlineStr">
        <is>
          <t>LA BLANCA</t>
        </is>
      </c>
      <c r="D237" s="57">
        <v>80</v>
      </c>
      <c r="E237" s="57">
        <v>117</v>
      </c>
      <c r="F237" s="10">
        <f>E237*0.666*24/72</f>
      </c>
      <c r="G237" s="54">
        <v>0</v>
      </c>
      <c r="H237" s="54">
        <v>0</v>
      </c>
      <c r="I237" s="54">
        <v>0</v>
      </c>
      <c r="J237" s="54">
        <v>0</v>
      </c>
      <c r="K237" s="54">
        <v>0</v>
      </c>
      <c r="L237" s="55">
        <v>0</v>
      </c>
      <c r="M237" s="54">
        <v>0</v>
      </c>
      <c r="N237" s="55">
        <v>0</v>
      </c>
      <c r="O237" s="10">
        <v>0</v>
      </c>
      <c r="P237" s="54"/>
      <c r="Q237" s="56">
        <f>+P237</f>
      </c>
    </row>
    <row r="238">
      <c r="A238" s="1">
        <v>525102</v>
      </c>
      <c r="B238" s="52">
        <v>180</v>
      </c>
      <c r="C238" s="53" t="inlineStr">
        <is>
          <t>SANTO DOMINGO ZANATEPEC</t>
        </is>
      </c>
      <c r="D238" s="57">
        <v>242</v>
      </c>
      <c r="E238" s="57">
        <v>363</v>
      </c>
      <c r="F238" s="10">
        <f>E238*0.666*24/72</f>
      </c>
      <c r="G238" s="54">
        <v>0</v>
      </c>
      <c r="H238" s="54">
        <v>0</v>
      </c>
      <c r="I238" s="54">
        <v>0</v>
      </c>
      <c r="J238" s="54">
        <v>0</v>
      </c>
      <c r="K238" s="54">
        <v>0</v>
      </c>
      <c r="L238" s="55">
        <v>0</v>
      </c>
      <c r="M238" s="54">
        <v>0</v>
      </c>
      <c r="N238" s="55">
        <v>0</v>
      </c>
      <c r="O238" s="10">
        <v>0</v>
      </c>
      <c r="P238" s="54"/>
      <c r="Q238" s="56">
        <f>+P238</f>
      </c>
    </row>
    <row r="239">
      <c r="A239" s="1">
        <v>525105</v>
      </c>
      <c r="B239" s="52">
        <v>65</v>
      </c>
      <c r="C239" s="53" t="inlineStr">
        <is>
          <t>YERBA SANTA</t>
        </is>
      </c>
      <c r="D239" s="57">
        <v>91</v>
      </c>
      <c r="E239" s="57">
        <v>111</v>
      </c>
      <c r="F239" s="10">
        <f>E239*0.666*24/72</f>
      </c>
      <c r="G239" s="54">
        <v>0</v>
      </c>
      <c r="H239" s="54">
        <v>0</v>
      </c>
      <c r="I239" s="54">
        <v>0</v>
      </c>
      <c r="J239" s="54">
        <v>0</v>
      </c>
      <c r="K239" s="54">
        <v>0</v>
      </c>
      <c r="L239" s="55">
        <v>0</v>
      </c>
      <c r="M239" s="54">
        <v>0</v>
      </c>
      <c r="N239" s="55">
        <v>0</v>
      </c>
      <c r="O239" s="10">
        <v>0</v>
      </c>
      <c r="P239" s="54"/>
      <c r="Q239" s="56">
        <f>+P239</f>
      </c>
    </row>
    <row r="240">
      <c r="A240" s="1">
        <v>557103</v>
      </c>
      <c r="B240" s="52">
        <v>114</v>
      </c>
      <c r="C240" s="53" t="inlineStr">
        <is>
          <t>UNION HIDALGO</t>
        </is>
      </c>
      <c r="D240" s="57">
        <v>176</v>
      </c>
      <c r="E240" s="57">
        <v>246</v>
      </c>
      <c r="F240" s="10">
        <f>E240*0.666*24/72</f>
      </c>
      <c r="G240" s="54">
        <v>0</v>
      </c>
      <c r="H240" s="54">
        <v>0</v>
      </c>
      <c r="I240" s="54">
        <v>0</v>
      </c>
      <c r="J240" s="54">
        <v>0</v>
      </c>
      <c r="K240" s="54">
        <v>0</v>
      </c>
      <c r="L240" s="55">
        <v>0</v>
      </c>
      <c r="M240" s="54">
        <v>0</v>
      </c>
      <c r="N240" s="55">
        <v>0</v>
      </c>
      <c r="O240" s="10">
        <v>0</v>
      </c>
      <c r="P240" s="54"/>
      <c r="Q240" s="56">
        <f>+P240</f>
      </c>
    </row>
    <row r="242">
      <c r="A242" s="43" t="inlineStr">
        <is>
          <t>T O T A L</t>
        </is>
      </c>
      <c r="B242" s="44"/>
      <c r="C242" s="45">
        <f>COUNTA(A218:A240)</f>
      </c>
      <c r="D242" s="65">
        <f>SUM(D218:D240)</f>
      </c>
      <c r="E242" s="65">
        <f>SUM(E218:E240)</f>
      </c>
      <c r="F242" s="65">
        <f>SUM(F218:F240)</f>
      </c>
      <c r="G242" s="65">
        <f>SUM(G218:G240)</f>
      </c>
      <c r="H242" s="65">
        <f>SUM(H218:H240)</f>
      </c>
      <c r="I242" s="65">
        <f>SUM(I218:I240)</f>
      </c>
      <c r="J242" s="65">
        <f>SUM(J218:J240)</f>
      </c>
      <c r="K242" s="65">
        <f>SUM(K218:K240)</f>
      </c>
      <c r="L242" s="65">
        <f>SUM(L218:L240)</f>
      </c>
      <c r="M242" s="65">
        <f>SUM(M218:M240)</f>
      </c>
      <c r="N242" s="65">
        <f>SUM(N218:N240)</f>
      </c>
      <c r="O242" s="65">
        <f>SUM(O218:O240)</f>
      </c>
      <c r="P242" s="65">
        <f>SUM(P218:P240)</f>
      </c>
      <c r="Q242" s="65">
        <f>SUM(Q218:Q240)</f>
      </c>
    </row>
    <row r="243">
      <c r="A243" s="66" t="inlineStr">
        <is>
          <t>OBSERVACIONES: </t>
        </is>
      </c>
      <c r="B243" s="67"/>
      <c r="C243" s="68"/>
      <c r="D243" s="69"/>
      <c r="E243" s="69"/>
      <c r="F243" s="70"/>
      <c r="G243" s="69"/>
      <c r="H243" s="69"/>
      <c r="I243" s="69"/>
      <c r="J243" s="69"/>
      <c r="K243" s="69"/>
      <c r="L243" s="70"/>
      <c r="M243" s="71"/>
      <c r="N243" s="72"/>
      <c r="O243" s="72"/>
      <c r="P243" s="73"/>
      <c r="Q243" s="74"/>
    </row>
    <row r="244">
      <c r="P244" s="65" t="inlineStr">
        <is>
          <t>TOTAL A RECIBIR EN ALMACEN:</t>
        </is>
      </c>
      <c r="Q244" s="65">
        <f>Q242</f>
      </c>
    </row>
    <row r="247">
      <c r="B247" s="40" t="inlineStr">
        <is>
          <t>ALMACEN RURAL : EL TOMATAL</t>
        </is>
      </c>
      <c r="C247" s="41"/>
    </row>
    <row r="250">
      <c r="A250" s="1">
        <v>120272</v>
      </c>
      <c r="B250" s="52">
        <v>57</v>
      </c>
      <c r="C250" s="53" t="inlineStr">
        <is>
          <t>COLONIA LAZARO CARDENAS</t>
        </is>
      </c>
      <c r="D250" s="57">
        <v>159</v>
      </c>
      <c r="E250" s="57">
        <v>269</v>
      </c>
      <c r="F250" s="10">
        <f>E250*0.666*24/72</f>
      </c>
      <c r="G250" s="54">
        <v>0</v>
      </c>
      <c r="H250" s="54">
        <v>0</v>
      </c>
      <c r="I250" s="54">
        <v>0</v>
      </c>
      <c r="J250" s="54">
        <v>0</v>
      </c>
      <c r="K250" s="54">
        <v>0</v>
      </c>
      <c r="L250" s="55">
        <v>0</v>
      </c>
      <c r="M250" s="54">
        <v>0</v>
      </c>
      <c r="N250" s="55">
        <v>0</v>
      </c>
      <c r="O250" s="10">
        <v>0</v>
      </c>
      <c r="P250" s="54"/>
      <c r="Q250" s="56">
        <f>+P250</f>
      </c>
    </row>
    <row r="251">
      <c r="A251" s="1">
        <v>120523</v>
      </c>
      <c r="B251" s="52">
        <v>76</v>
      </c>
      <c r="C251" s="53" t="inlineStr">
        <is>
          <t>BAJOS DE CHILA MIXTEPEC</t>
        </is>
      </c>
      <c r="D251" s="57">
        <v>271</v>
      </c>
      <c r="E251" s="57">
        <v>361</v>
      </c>
      <c r="F251" s="10">
        <f>E251*0.666*24/72</f>
      </c>
      <c r="G251" s="54">
        <v>0</v>
      </c>
      <c r="H251" s="54">
        <v>0</v>
      </c>
      <c r="I251" s="54">
        <v>0</v>
      </c>
      <c r="J251" s="54">
        <v>0</v>
      </c>
      <c r="K251" s="54">
        <v>0</v>
      </c>
      <c r="L251" s="55">
        <v>0</v>
      </c>
      <c r="M251" s="54">
        <v>0</v>
      </c>
      <c r="N251" s="55">
        <v>0</v>
      </c>
      <c r="O251" s="10">
        <v>0</v>
      </c>
      <c r="P251" s="54"/>
      <c r="Q251" s="56">
        <f>+P251</f>
      </c>
    </row>
    <row r="252">
      <c r="A252" s="1">
        <v>120524</v>
      </c>
      <c r="B252" s="52">
        <v>62</v>
      </c>
      <c r="C252" s="53" t="inlineStr">
        <is>
          <t>SAN PEDRO MIXTEPEC</t>
        </is>
      </c>
      <c r="D252" s="57">
        <v>266</v>
      </c>
      <c r="E252" s="57">
        <v>409</v>
      </c>
      <c r="F252" s="10">
        <f>E252*0.666*24/72</f>
      </c>
      <c r="G252" s="54">
        <v>0</v>
      </c>
      <c r="H252" s="54">
        <v>0</v>
      </c>
      <c r="I252" s="54">
        <v>0</v>
      </c>
      <c r="J252" s="54">
        <v>0</v>
      </c>
      <c r="K252" s="54">
        <v>0</v>
      </c>
      <c r="L252" s="55">
        <v>0</v>
      </c>
      <c r="M252" s="54">
        <v>0</v>
      </c>
      <c r="N252" s="55">
        <v>0</v>
      </c>
      <c r="O252" s="10">
        <v>0</v>
      </c>
      <c r="P252" s="54"/>
      <c r="Q252" s="56">
        <f>+P252</f>
      </c>
    </row>
    <row r="253">
      <c r="A253" s="1">
        <v>318106</v>
      </c>
      <c r="B253" s="52">
        <v>106</v>
      </c>
      <c r="C253" s="53" t="inlineStr">
        <is>
          <t>COLONIA AEROPUERTO</t>
        </is>
      </c>
      <c r="D253" s="57">
        <v>127</v>
      </c>
      <c r="E253" s="57">
        <v>213</v>
      </c>
      <c r="F253" s="10">
        <f>E253*0.666*24/72</f>
      </c>
      <c r="G253" s="54">
        <v>0</v>
      </c>
      <c r="H253" s="54">
        <v>0</v>
      </c>
      <c r="I253" s="54">
        <v>0</v>
      </c>
      <c r="J253" s="54">
        <v>0</v>
      </c>
      <c r="K253" s="54">
        <v>0</v>
      </c>
      <c r="L253" s="55">
        <v>0</v>
      </c>
      <c r="M253" s="54">
        <v>0</v>
      </c>
      <c r="N253" s="55">
        <v>0</v>
      </c>
      <c r="O253" s="10">
        <v>0</v>
      </c>
      <c r="P253" s="54"/>
      <c r="Q253" s="56">
        <f>+P253</f>
      </c>
    </row>
    <row r="254">
      <c r="A254" s="1">
        <v>318108</v>
      </c>
      <c r="B254" s="52">
        <v>150</v>
      </c>
      <c r="C254" s="53" t="inlineStr">
        <is>
          <t>COLONIA SAN MIGUEL</t>
        </is>
      </c>
      <c r="D254" s="57">
        <v>71</v>
      </c>
      <c r="E254" s="57">
        <v>113</v>
      </c>
      <c r="F254" s="10">
        <f>E254*0.666*24/72</f>
      </c>
      <c r="G254" s="54">
        <v>0</v>
      </c>
      <c r="H254" s="54">
        <v>0</v>
      </c>
      <c r="I254" s="54">
        <v>0</v>
      </c>
      <c r="J254" s="54">
        <v>0</v>
      </c>
      <c r="K254" s="54">
        <v>0</v>
      </c>
      <c r="L254" s="55">
        <v>0</v>
      </c>
      <c r="M254" s="54">
        <v>0</v>
      </c>
      <c r="N254" s="55">
        <v>0</v>
      </c>
      <c r="O254" s="10">
        <v>0</v>
      </c>
      <c r="P254" s="54"/>
      <c r="Q254" s="56">
        <f>+P254</f>
      </c>
    </row>
    <row r="255">
      <c r="A255" s="1">
        <v>324103</v>
      </c>
      <c r="B255" s="52">
        <v>83</v>
      </c>
      <c r="C255" s="53" t="inlineStr">
        <is>
          <t>SAN PEDRO POCHUTLA</t>
        </is>
      </c>
      <c r="D255" s="57">
        <v>602</v>
      </c>
      <c r="E255" s="57">
        <v>933</v>
      </c>
      <c r="F255" s="10">
        <f>E255*0.666*24/72</f>
      </c>
      <c r="G255" s="54">
        <v>0</v>
      </c>
      <c r="H255" s="54">
        <v>0</v>
      </c>
      <c r="I255" s="54">
        <v>0</v>
      </c>
      <c r="J255" s="54">
        <v>0</v>
      </c>
      <c r="K255" s="54">
        <v>0</v>
      </c>
      <c r="L255" s="55">
        <v>0</v>
      </c>
      <c r="M255" s="54">
        <v>0</v>
      </c>
      <c r="N255" s="55">
        <v>0</v>
      </c>
      <c r="O255" s="10">
        <v>0</v>
      </c>
      <c r="P255" s="54"/>
      <c r="Q255" s="56">
        <f>+P255</f>
      </c>
    </row>
    <row r="256">
      <c r="A256" s="1">
        <v>334127</v>
      </c>
      <c r="B256" s="52">
        <v>134</v>
      </c>
      <c r="C256" s="53" t="inlineStr">
        <is>
          <t>RIO GRANDE PIEDRA PARADA</t>
        </is>
      </c>
      <c r="D256" s="57">
        <v>262</v>
      </c>
      <c r="E256" s="57">
        <v>419</v>
      </c>
      <c r="F256" s="10">
        <f>E256*0.666*24/72</f>
      </c>
      <c r="G256" s="54">
        <v>0</v>
      </c>
      <c r="H256" s="54">
        <v>0</v>
      </c>
      <c r="I256" s="54">
        <v>0</v>
      </c>
      <c r="J256" s="54">
        <v>0</v>
      </c>
      <c r="K256" s="54">
        <v>0</v>
      </c>
      <c r="L256" s="55">
        <v>0</v>
      </c>
      <c r="M256" s="54">
        <v>0</v>
      </c>
      <c r="N256" s="55">
        <v>0</v>
      </c>
      <c r="O256" s="10">
        <v>0</v>
      </c>
      <c r="P256" s="54"/>
      <c r="Q256" s="56">
        <f>+P256</f>
      </c>
    </row>
    <row r="257">
      <c r="A257" s="1">
        <v>334130</v>
      </c>
      <c r="B257" s="52">
        <v>97</v>
      </c>
      <c r="C257" s="53" t="inlineStr">
        <is>
          <t>RIO GRANDE</t>
        </is>
      </c>
      <c r="D257" s="57">
        <v>247</v>
      </c>
      <c r="E257" s="57">
        <v>418</v>
      </c>
      <c r="F257" s="10">
        <f>E257*0.666*24/72</f>
      </c>
      <c r="G257" s="54">
        <v>0</v>
      </c>
      <c r="H257" s="54">
        <v>0</v>
      </c>
      <c r="I257" s="54">
        <v>0</v>
      </c>
      <c r="J257" s="54">
        <v>0</v>
      </c>
      <c r="K257" s="54">
        <v>0</v>
      </c>
      <c r="L257" s="55">
        <v>0</v>
      </c>
      <c r="M257" s="54">
        <v>0</v>
      </c>
      <c r="N257" s="55">
        <v>0</v>
      </c>
      <c r="O257" s="10">
        <v>0</v>
      </c>
      <c r="P257" s="54"/>
      <c r="Q257" s="56">
        <f>+P257</f>
      </c>
    </row>
    <row r="258">
      <c r="A258" s="1">
        <v>334134</v>
      </c>
      <c r="B258" s="52">
        <v>135</v>
      </c>
      <c r="C258" s="53" t="inlineStr">
        <is>
          <t>SANTIAGO JOCOTEPEC</t>
        </is>
      </c>
      <c r="D258" s="57">
        <v>102</v>
      </c>
      <c r="E258" s="57">
        <v>133</v>
      </c>
      <c r="F258" s="10">
        <f>E258*0.666*24/72</f>
      </c>
      <c r="G258" s="54">
        <v>0</v>
      </c>
      <c r="H258" s="54">
        <v>0</v>
      </c>
      <c r="I258" s="54">
        <v>0</v>
      </c>
      <c r="J258" s="54">
        <v>0</v>
      </c>
      <c r="K258" s="54">
        <v>0</v>
      </c>
      <c r="L258" s="55">
        <v>0</v>
      </c>
      <c r="M258" s="54">
        <v>0</v>
      </c>
      <c r="N258" s="55">
        <v>0</v>
      </c>
      <c r="O258" s="10">
        <v>0</v>
      </c>
      <c r="P258" s="54"/>
      <c r="Q258" s="56">
        <f>+P258</f>
      </c>
    </row>
    <row r="259">
      <c r="A259" s="1">
        <v>364108</v>
      </c>
      <c r="B259" s="52">
        <v>54</v>
      </c>
      <c r="C259" s="53" t="inlineStr">
        <is>
          <t>SAN MARCOS ZACATEPEC</t>
        </is>
      </c>
      <c r="D259" s="57">
        <v>48</v>
      </c>
      <c r="E259" s="57">
        <v>59</v>
      </c>
      <c r="F259" s="10">
        <f>E259*0.666*24/72</f>
      </c>
      <c r="G259" s="54">
        <v>0</v>
      </c>
      <c r="H259" s="54">
        <v>0</v>
      </c>
      <c r="I259" s="54">
        <v>0</v>
      </c>
      <c r="J259" s="54">
        <v>0</v>
      </c>
      <c r="K259" s="54">
        <v>0</v>
      </c>
      <c r="L259" s="55">
        <v>0</v>
      </c>
      <c r="M259" s="54">
        <v>0</v>
      </c>
      <c r="N259" s="55">
        <v>0</v>
      </c>
      <c r="O259" s="10">
        <v>0</v>
      </c>
      <c r="P259" s="54"/>
      <c r="Q259" s="56">
        <f>+P259</f>
      </c>
    </row>
    <row r="260">
      <c r="A260" s="1">
        <v>401101</v>
      </c>
      <c r="B260" s="52">
        <v>65</v>
      </c>
      <c r="C260" s="53" t="inlineStr">
        <is>
          <t>EL MARINERO</t>
        </is>
      </c>
      <c r="D260" s="57">
        <v>142</v>
      </c>
      <c r="E260" s="57">
        <v>266</v>
      </c>
      <c r="F260" s="10">
        <f>E260*0.666*24/72</f>
      </c>
      <c r="G260" s="54">
        <v>0</v>
      </c>
      <c r="H260" s="54">
        <v>0</v>
      </c>
      <c r="I260" s="54">
        <v>0</v>
      </c>
      <c r="J260" s="54">
        <v>0</v>
      </c>
      <c r="K260" s="54">
        <v>0</v>
      </c>
      <c r="L260" s="55">
        <v>0</v>
      </c>
      <c r="M260" s="54">
        <v>0</v>
      </c>
      <c r="N260" s="55">
        <v>0</v>
      </c>
      <c r="O260" s="10">
        <v>0</v>
      </c>
      <c r="P260" s="54"/>
      <c r="Q260" s="56">
        <f>+P260</f>
      </c>
    </row>
    <row r="261">
      <c r="A261" s="1">
        <v>401105</v>
      </c>
      <c r="B261" s="52">
        <v>89</v>
      </c>
      <c r="C261" s="53" t="inlineStr">
        <is>
          <t>EL TOMATAL</t>
        </is>
      </c>
      <c r="D261" s="57">
        <v>26</v>
      </c>
      <c r="E261" s="57">
        <v>43</v>
      </c>
      <c r="F261" s="10">
        <f>E261*0.666*24/72</f>
      </c>
      <c r="G261" s="54">
        <v>0</v>
      </c>
      <c r="H261" s="54">
        <v>0</v>
      </c>
      <c r="I261" s="54">
        <v>0</v>
      </c>
      <c r="J261" s="54">
        <v>0</v>
      </c>
      <c r="K261" s="54">
        <v>0</v>
      </c>
      <c r="L261" s="55">
        <v>0</v>
      </c>
      <c r="M261" s="54">
        <v>0</v>
      </c>
      <c r="N261" s="55">
        <v>0</v>
      </c>
      <c r="O261" s="10">
        <v>0</v>
      </c>
      <c r="P261" s="54"/>
      <c r="Q261" s="56">
        <f>+P261</f>
      </c>
    </row>
    <row r="262">
      <c r="A262" s="1">
        <v>401107</v>
      </c>
      <c r="B262" s="52">
        <v>60</v>
      </c>
      <c r="C262" s="53" t="inlineStr">
        <is>
          <t>VENTANILLA</t>
        </is>
      </c>
      <c r="D262" s="57">
        <v>55</v>
      </c>
      <c r="E262" s="57">
        <v>82</v>
      </c>
      <c r="F262" s="10">
        <f>E262*0.666*24/72</f>
      </c>
      <c r="G262" s="54">
        <v>0</v>
      </c>
      <c r="H262" s="54">
        <v>0</v>
      </c>
      <c r="I262" s="54">
        <v>0</v>
      </c>
      <c r="J262" s="54">
        <v>0</v>
      </c>
      <c r="K262" s="54">
        <v>0</v>
      </c>
      <c r="L262" s="55">
        <v>0</v>
      </c>
      <c r="M262" s="54">
        <v>0</v>
      </c>
      <c r="N262" s="55">
        <v>0</v>
      </c>
      <c r="O262" s="10">
        <v>0</v>
      </c>
      <c r="P262" s="54"/>
      <c r="Q262" s="56">
        <f>+P262</f>
      </c>
    </row>
    <row r="263">
      <c r="A263" s="1">
        <v>401109</v>
      </c>
      <c r="B263" s="52">
        <v>116</v>
      </c>
      <c r="C263" s="53" t="inlineStr">
        <is>
          <t>2A SECCION VALDEFLORES</t>
        </is>
      </c>
      <c r="D263" s="57">
        <v>26</v>
      </c>
      <c r="E263" s="57">
        <v>41</v>
      </c>
      <c r="F263" s="10">
        <f>E263*0.666*24/72</f>
      </c>
      <c r="G263" s="54">
        <v>0</v>
      </c>
      <c r="H263" s="54">
        <v>0</v>
      </c>
      <c r="I263" s="54">
        <v>0</v>
      </c>
      <c r="J263" s="54">
        <v>0</v>
      </c>
      <c r="K263" s="54">
        <v>0</v>
      </c>
      <c r="L263" s="55">
        <v>0</v>
      </c>
      <c r="M263" s="54">
        <v>0</v>
      </c>
      <c r="N263" s="55">
        <v>0</v>
      </c>
      <c r="O263" s="10">
        <v>0</v>
      </c>
      <c r="P263" s="54"/>
      <c r="Q263" s="56">
        <f>+P263</f>
      </c>
    </row>
    <row r="264">
      <c r="A264" s="1">
        <v>401110</v>
      </c>
      <c r="B264" s="52">
        <v>44</v>
      </c>
      <c r="C264" s="53" t="inlineStr">
        <is>
          <t>SANTA MARIA COLOTEPEC</t>
        </is>
      </c>
      <c r="D264" s="57">
        <v>168</v>
      </c>
      <c r="E264" s="57">
        <v>241</v>
      </c>
      <c r="F264" s="10">
        <f>E264*0.666*24/72</f>
      </c>
      <c r="G264" s="54">
        <v>0</v>
      </c>
      <c r="H264" s="54">
        <v>0</v>
      </c>
      <c r="I264" s="54">
        <v>0</v>
      </c>
      <c r="J264" s="54">
        <v>0</v>
      </c>
      <c r="K264" s="54">
        <v>0</v>
      </c>
      <c r="L264" s="55">
        <v>0</v>
      </c>
      <c r="M264" s="54">
        <v>0</v>
      </c>
      <c r="N264" s="55">
        <v>0</v>
      </c>
      <c r="O264" s="10">
        <v>0</v>
      </c>
      <c r="P264" s="54"/>
      <c r="Q264" s="56">
        <f>+P264</f>
      </c>
    </row>
    <row r="266">
      <c r="A266" s="43" t="inlineStr">
        <is>
          <t>T O T A L</t>
        </is>
      </c>
      <c r="B266" s="44"/>
      <c r="C266" s="45">
        <f>COUNTA(A250:A264)</f>
      </c>
      <c r="D266" s="65">
        <f>SUM(D250:D264)</f>
      </c>
      <c r="E266" s="65">
        <f>SUM(E250:E264)</f>
      </c>
      <c r="F266" s="65">
        <f>SUM(F250:F264)</f>
      </c>
      <c r="G266" s="65">
        <f>SUM(G250:G264)</f>
      </c>
      <c r="H266" s="65">
        <f>SUM(H250:H264)</f>
      </c>
      <c r="I266" s="65">
        <f>SUM(I250:I264)</f>
      </c>
      <c r="J266" s="65">
        <f>SUM(J250:J264)</f>
      </c>
      <c r="K266" s="65">
        <f>SUM(K250:K264)</f>
      </c>
      <c r="L266" s="65">
        <f>SUM(L250:L264)</f>
      </c>
      <c r="M266" s="65">
        <f>SUM(M250:M264)</f>
      </c>
      <c r="N266" s="65">
        <f>SUM(N250:N264)</f>
      </c>
      <c r="O266" s="65">
        <f>SUM(O250:O264)</f>
      </c>
      <c r="P266" s="65">
        <f>SUM(P250:P264)</f>
      </c>
      <c r="Q266" s="65">
        <f>SUM(Q250:Q264)</f>
      </c>
    </row>
    <row r="267">
      <c r="A267" s="66" t="inlineStr">
        <is>
          <t>OBSERVACIONES: </t>
        </is>
      </c>
      <c r="B267" s="67"/>
      <c r="C267" s="68"/>
      <c r="D267" s="69"/>
      <c r="E267" s="69"/>
      <c r="F267" s="70"/>
      <c r="G267" s="69"/>
      <c r="H267" s="69"/>
      <c r="I267" s="69"/>
      <c r="J267" s="69"/>
      <c r="K267" s="69"/>
      <c r="L267" s="70"/>
      <c r="M267" s="71"/>
      <c r="N267" s="72"/>
      <c r="O267" s="72"/>
      <c r="P267" s="73"/>
      <c r="Q267" s="74"/>
    </row>
    <row r="268">
      <c r="P268" s="65" t="inlineStr">
        <is>
          <t>TOTAL A RECIBIR EN ALMACEN:</t>
        </is>
      </c>
      <c r="Q268" s="65">
        <f>Q266</f>
      </c>
    </row>
    <row r="271">
      <c r="B271" s="40" t="inlineStr">
        <is>
          <t>ALMACEN RURAL : SAN ANDRES HUAXPALTEPEC</t>
        </is>
      </c>
      <c r="C271" s="41"/>
    </row>
    <row r="274">
      <c r="A274" s="1">
        <v>82102</v>
      </c>
      <c r="B274" s="52">
        <v>14</v>
      </c>
      <c r="C274" s="53" t="inlineStr">
        <is>
          <t>SAN AGUST N CHAYUCO</t>
        </is>
      </c>
      <c r="D274" s="57">
        <v>31</v>
      </c>
      <c r="E274" s="57">
        <v>48</v>
      </c>
      <c r="F274" s="10">
        <f>E274*0.666*24/72</f>
      </c>
      <c r="G274" s="54">
        <v>0</v>
      </c>
      <c r="H274" s="54">
        <v>0</v>
      </c>
      <c r="I274" s="54">
        <v>0</v>
      </c>
      <c r="J274" s="54">
        <v>0</v>
      </c>
      <c r="K274" s="54">
        <v>0</v>
      </c>
      <c r="L274" s="55">
        <v>0</v>
      </c>
      <c r="M274" s="54">
        <v>0</v>
      </c>
      <c r="N274" s="55">
        <v>0</v>
      </c>
      <c r="O274" s="10">
        <v>0</v>
      </c>
      <c r="P274" s="54"/>
      <c r="Q274" s="56">
        <f>+P274</f>
      </c>
    </row>
    <row r="275">
      <c r="A275" s="1">
        <v>82103</v>
      </c>
      <c r="B275" s="52">
        <v>66</v>
      </c>
      <c r="C275" s="53" t="inlineStr">
        <is>
          <t>YUCUTACO</t>
        </is>
      </c>
      <c r="D275" s="57">
        <v>25</v>
      </c>
      <c r="E275" s="57">
        <v>48</v>
      </c>
      <c r="F275" s="10">
        <f>E275*0.666*24/72</f>
      </c>
      <c r="G275" s="54">
        <v>0</v>
      </c>
      <c r="H275" s="54">
        <v>0</v>
      </c>
      <c r="I275" s="54">
        <v>0</v>
      </c>
      <c r="J275" s="54">
        <v>0</v>
      </c>
      <c r="K275" s="54">
        <v>0</v>
      </c>
      <c r="L275" s="55">
        <v>0</v>
      </c>
      <c r="M275" s="54">
        <v>0</v>
      </c>
      <c r="N275" s="55">
        <v>0</v>
      </c>
      <c r="O275" s="10">
        <v>0</v>
      </c>
      <c r="P275" s="54"/>
      <c r="Q275" s="56">
        <f>+P275</f>
      </c>
    </row>
    <row r="276">
      <c r="A276" s="1">
        <v>90101</v>
      </c>
      <c r="B276" s="52">
        <v>3</v>
      </c>
      <c r="C276" s="53" t="inlineStr">
        <is>
          <t>SAN ANDRES HUAXPALTEPEC</t>
        </is>
      </c>
      <c r="D276" s="57">
        <v>167</v>
      </c>
      <c r="E276" s="57">
        <v>227</v>
      </c>
      <c r="F276" s="10">
        <f>E276*0.666*24/72</f>
      </c>
      <c r="G276" s="54">
        <v>0</v>
      </c>
      <c r="H276" s="54">
        <v>0</v>
      </c>
      <c r="I276" s="54">
        <v>0</v>
      </c>
      <c r="J276" s="54">
        <v>0</v>
      </c>
      <c r="K276" s="54">
        <v>0</v>
      </c>
      <c r="L276" s="55">
        <v>0</v>
      </c>
      <c r="M276" s="54">
        <v>0</v>
      </c>
      <c r="N276" s="55">
        <v>0</v>
      </c>
      <c r="O276" s="10">
        <v>0</v>
      </c>
      <c r="P276" s="54"/>
      <c r="Q276" s="56">
        <f>+P276</f>
      </c>
    </row>
    <row r="277">
      <c r="A277" s="1">
        <v>120326</v>
      </c>
      <c r="B277" s="52">
        <v>54</v>
      </c>
      <c r="C277" s="53" t="inlineStr">
        <is>
          <t>SAN JOSE DEL PROGRESO</t>
        </is>
      </c>
      <c r="D277" s="57">
        <v>241</v>
      </c>
      <c r="E277" s="57">
        <v>363</v>
      </c>
      <c r="F277" s="10">
        <f>E277*0.666*24/72</f>
      </c>
      <c r="G277" s="54">
        <v>0</v>
      </c>
      <c r="H277" s="54">
        <v>0</v>
      </c>
      <c r="I277" s="54">
        <v>0</v>
      </c>
      <c r="J277" s="54">
        <v>0</v>
      </c>
      <c r="K277" s="54">
        <v>0</v>
      </c>
      <c r="L277" s="55">
        <v>0</v>
      </c>
      <c r="M277" s="54">
        <v>0</v>
      </c>
      <c r="N277" s="55">
        <v>0</v>
      </c>
      <c r="O277" s="10">
        <v>0</v>
      </c>
      <c r="P277" s="54"/>
      <c r="Q277" s="56">
        <f>+P277</f>
      </c>
    </row>
    <row r="278">
      <c r="A278" s="1">
        <v>120339</v>
      </c>
      <c r="B278" s="52">
        <v>17</v>
      </c>
      <c r="C278" s="53" t="inlineStr">
        <is>
          <t>SANTA MARIA HUAZOLOTITLAN</t>
        </is>
      </c>
      <c r="D278" s="57">
        <v>240</v>
      </c>
      <c r="E278" s="57">
        <v>295</v>
      </c>
      <c r="F278" s="10">
        <f>E278*0.666*24/72</f>
      </c>
      <c r="G278" s="54">
        <v>0</v>
      </c>
      <c r="H278" s="54">
        <v>0</v>
      </c>
      <c r="I278" s="54">
        <v>0</v>
      </c>
      <c r="J278" s="54">
        <v>0</v>
      </c>
      <c r="K278" s="54">
        <v>0</v>
      </c>
      <c r="L278" s="55">
        <v>0</v>
      </c>
      <c r="M278" s="54">
        <v>0</v>
      </c>
      <c r="N278" s="55">
        <v>0</v>
      </c>
      <c r="O278" s="10">
        <v>0</v>
      </c>
      <c r="P278" s="54"/>
      <c r="Q278" s="56">
        <f>+P278</f>
      </c>
    </row>
    <row r="279">
      <c r="A279" s="1">
        <v>120343</v>
      </c>
      <c r="B279" s="52">
        <v>42</v>
      </c>
      <c r="C279" s="53" t="inlineStr">
        <is>
          <t>SANTA ROSA DE LIMA TUTUTPEC</t>
        </is>
      </c>
      <c r="D279" s="57">
        <v>98</v>
      </c>
      <c r="E279" s="57">
        <v>148</v>
      </c>
      <c r="F279" s="10">
        <f>E279*0.666*24/72</f>
      </c>
      <c r="G279" s="54">
        <v>0</v>
      </c>
      <c r="H279" s="54">
        <v>0</v>
      </c>
      <c r="I279" s="54">
        <v>0</v>
      </c>
      <c r="J279" s="54">
        <v>0</v>
      </c>
      <c r="K279" s="54">
        <v>0</v>
      </c>
      <c r="L279" s="55">
        <v>0</v>
      </c>
      <c r="M279" s="54">
        <v>0</v>
      </c>
      <c r="N279" s="55">
        <v>0</v>
      </c>
      <c r="O279" s="10">
        <v>0</v>
      </c>
      <c r="P279" s="54"/>
      <c r="Q279" s="56">
        <f>+P279</f>
      </c>
    </row>
    <row r="280">
      <c r="A280" s="1">
        <v>120344</v>
      </c>
      <c r="B280" s="52">
        <v>136</v>
      </c>
      <c r="C280" s="53" t="inlineStr">
        <is>
          <t>SANTIAGO JAMILTEPEC</t>
        </is>
      </c>
      <c r="D280" s="57">
        <v>205</v>
      </c>
      <c r="E280" s="57">
        <v>340</v>
      </c>
      <c r="F280" s="10">
        <f>E280*0.666*24/72</f>
      </c>
      <c r="G280" s="54">
        <v>0</v>
      </c>
      <c r="H280" s="54">
        <v>0</v>
      </c>
      <c r="I280" s="54">
        <v>0</v>
      </c>
      <c r="J280" s="54">
        <v>0</v>
      </c>
      <c r="K280" s="54">
        <v>0</v>
      </c>
      <c r="L280" s="55">
        <v>0</v>
      </c>
      <c r="M280" s="54">
        <v>0</v>
      </c>
      <c r="N280" s="55">
        <v>0</v>
      </c>
      <c r="O280" s="10">
        <v>0</v>
      </c>
      <c r="P280" s="54"/>
      <c r="Q280" s="56">
        <f>+P280</f>
      </c>
    </row>
    <row r="281">
      <c r="A281" s="1">
        <v>120534</v>
      </c>
      <c r="B281" s="52">
        <v>1</v>
      </c>
      <c r="C281" s="53" t="inlineStr">
        <is>
          <t>SAN PEDRO AMUZGOS</t>
        </is>
      </c>
      <c r="D281" s="57">
        <v>458</v>
      </c>
      <c r="E281" s="57">
        <v>680</v>
      </c>
      <c r="F281" s="10">
        <f>E281*0.666*24/72</f>
      </c>
      <c r="G281" s="54">
        <v>0</v>
      </c>
      <c r="H281" s="54">
        <v>0</v>
      </c>
      <c r="I281" s="54">
        <v>0</v>
      </c>
      <c r="J281" s="54">
        <v>0</v>
      </c>
      <c r="K281" s="54">
        <v>0</v>
      </c>
      <c r="L281" s="55">
        <v>0</v>
      </c>
      <c r="M281" s="54">
        <v>0</v>
      </c>
      <c r="N281" s="55">
        <v>0</v>
      </c>
      <c r="O281" s="10">
        <v>0</v>
      </c>
      <c r="P281" s="54"/>
      <c r="Q281" s="56">
        <f>+P281</f>
      </c>
    </row>
    <row r="282">
      <c r="A282" s="1">
        <v>120604</v>
      </c>
      <c r="B282" s="52">
        <v>98</v>
      </c>
      <c r="C282" s="53" t="inlineStr">
        <is>
          <t>SAN JUAN CACAHUATEPEC</t>
        </is>
      </c>
      <c r="D282" s="57">
        <v>342</v>
      </c>
      <c r="E282" s="57">
        <v>647</v>
      </c>
      <c r="F282" s="10">
        <f>E282*0.666*24/72</f>
      </c>
      <c r="G282" s="54">
        <v>0</v>
      </c>
      <c r="H282" s="54">
        <v>0</v>
      </c>
      <c r="I282" s="54">
        <v>0</v>
      </c>
      <c r="J282" s="54">
        <v>0</v>
      </c>
      <c r="K282" s="54">
        <v>0</v>
      </c>
      <c r="L282" s="55">
        <v>0</v>
      </c>
      <c r="M282" s="54">
        <v>0</v>
      </c>
      <c r="N282" s="55">
        <v>0</v>
      </c>
      <c r="O282" s="10">
        <v>0</v>
      </c>
      <c r="P282" s="54"/>
      <c r="Q282" s="56">
        <f>+P282</f>
      </c>
    </row>
    <row r="283">
      <c r="A283" s="1">
        <v>168101</v>
      </c>
      <c r="B283" s="52">
        <v>240</v>
      </c>
      <c r="C283" s="53" t="inlineStr">
        <is>
          <t>SAN JOSE ESTANCIA GRANDE</t>
        </is>
      </c>
      <c r="D283" s="57">
        <v>115</v>
      </c>
      <c r="E283" s="57">
        <v>167</v>
      </c>
      <c r="F283" s="10">
        <f>E283*0.666*24/72</f>
      </c>
      <c r="G283" s="54">
        <v>0</v>
      </c>
      <c r="H283" s="54">
        <v>0</v>
      </c>
      <c r="I283" s="54">
        <v>0</v>
      </c>
      <c r="J283" s="54">
        <v>0</v>
      </c>
      <c r="K283" s="54">
        <v>0</v>
      </c>
      <c r="L283" s="55">
        <v>0</v>
      </c>
      <c r="M283" s="54">
        <v>0</v>
      </c>
      <c r="N283" s="55">
        <v>0</v>
      </c>
      <c r="O283" s="10">
        <v>0</v>
      </c>
      <c r="P283" s="54"/>
      <c r="Q283" s="56">
        <f>+P283</f>
      </c>
    </row>
    <row r="284">
      <c r="A284" s="1">
        <v>185101</v>
      </c>
      <c r="B284" s="52">
        <v>32</v>
      </c>
      <c r="C284" s="53" t="inlineStr">
        <is>
          <t>SAN ANTONIO OCOTLAN</t>
        </is>
      </c>
      <c r="D284" s="57">
        <v>53</v>
      </c>
      <c r="E284" s="57">
        <v>60</v>
      </c>
      <c r="F284" s="10">
        <f>E284*0.666*24/72</f>
      </c>
      <c r="G284" s="54">
        <v>0</v>
      </c>
      <c r="H284" s="54">
        <v>0</v>
      </c>
      <c r="I284" s="54">
        <v>0</v>
      </c>
      <c r="J284" s="54">
        <v>0</v>
      </c>
      <c r="K284" s="54">
        <v>0</v>
      </c>
      <c r="L284" s="55">
        <v>0</v>
      </c>
      <c r="M284" s="54">
        <v>0</v>
      </c>
      <c r="N284" s="55">
        <v>0</v>
      </c>
      <c r="O284" s="10">
        <v>0</v>
      </c>
      <c r="P284" s="54"/>
      <c r="Q284" s="56">
        <f>+P284</f>
      </c>
    </row>
    <row r="285">
      <c r="A285" s="1">
        <v>334108</v>
      </c>
      <c r="B285" s="52">
        <v>216</v>
      </c>
      <c r="C285" s="53" t="inlineStr">
        <is>
          <t>VILLA DE TUTUTEPEC DE MELCHOR OCAMPO</t>
        </is>
      </c>
      <c r="D285" s="57">
        <v>112</v>
      </c>
      <c r="E285" s="57">
        <v>162</v>
      </c>
      <c r="F285" s="10">
        <f>E285*0.666*24/72</f>
      </c>
      <c r="G285" s="54">
        <v>0</v>
      </c>
      <c r="H285" s="54">
        <v>0</v>
      </c>
      <c r="I285" s="54">
        <v>0</v>
      </c>
      <c r="J285" s="54">
        <v>0</v>
      </c>
      <c r="K285" s="54">
        <v>0</v>
      </c>
      <c r="L285" s="55">
        <v>0</v>
      </c>
      <c r="M285" s="54">
        <v>0</v>
      </c>
      <c r="N285" s="55">
        <v>0</v>
      </c>
      <c r="O285" s="10">
        <v>0</v>
      </c>
      <c r="P285" s="54"/>
      <c r="Q285" s="56">
        <f>+P285</f>
      </c>
    </row>
    <row r="286">
      <c r="A286" s="1">
        <v>334128</v>
      </c>
      <c r="B286" s="52">
        <v>231</v>
      </c>
      <c r="C286" s="53" t="inlineStr">
        <is>
          <t>SANTA MAR A ACATEPEC</t>
        </is>
      </c>
      <c r="D286" s="57">
        <v>96</v>
      </c>
      <c r="E286" s="57">
        <v>118</v>
      </c>
      <c r="F286" s="10">
        <f>E286*0.666*24/72</f>
      </c>
      <c r="G286" s="54">
        <v>0</v>
      </c>
      <c r="H286" s="54">
        <v>0</v>
      </c>
      <c r="I286" s="54">
        <v>0</v>
      </c>
      <c r="J286" s="54">
        <v>0</v>
      </c>
      <c r="K286" s="54">
        <v>0</v>
      </c>
      <c r="L286" s="55">
        <v>0</v>
      </c>
      <c r="M286" s="54">
        <v>0</v>
      </c>
      <c r="N286" s="55">
        <v>0</v>
      </c>
      <c r="O286" s="10">
        <v>0</v>
      </c>
      <c r="P286" s="54"/>
      <c r="Q286" s="56">
        <f>+P286</f>
      </c>
    </row>
    <row r="287">
      <c r="A287" s="1">
        <v>334129</v>
      </c>
      <c r="B287" s="52">
        <v>44</v>
      </c>
      <c r="C287" s="53" t="inlineStr">
        <is>
          <t>VILLA DE TUTUTEPEC</t>
        </is>
      </c>
      <c r="D287" s="57">
        <v>63</v>
      </c>
      <c r="E287" s="57">
        <v>84</v>
      </c>
      <c r="F287" s="10">
        <f>E287*0.666*24/72</f>
      </c>
      <c r="G287" s="54">
        <v>0</v>
      </c>
      <c r="H287" s="54">
        <v>0</v>
      </c>
      <c r="I287" s="54">
        <v>0</v>
      </c>
      <c r="J287" s="54">
        <v>0</v>
      </c>
      <c r="K287" s="54">
        <v>0</v>
      </c>
      <c r="L287" s="55">
        <v>0</v>
      </c>
      <c r="M287" s="54">
        <v>0</v>
      </c>
      <c r="N287" s="55">
        <v>0</v>
      </c>
      <c r="O287" s="10">
        <v>0</v>
      </c>
      <c r="P287" s="54"/>
      <c r="Q287" s="56">
        <f>+P287</f>
      </c>
    </row>
    <row r="288">
      <c r="A288" s="1">
        <v>334131</v>
      </c>
      <c r="B288" s="52">
        <v>194</v>
      </c>
      <c r="C288" s="53" t="inlineStr">
        <is>
          <t>SAN FRANCISCO DE ARRIBA</t>
        </is>
      </c>
      <c r="D288" s="57">
        <v>14</v>
      </c>
      <c r="E288" s="57">
        <v>21</v>
      </c>
      <c r="F288" s="10">
        <f>E288*0.666*24/72</f>
      </c>
      <c r="G288" s="54">
        <v>0</v>
      </c>
      <c r="H288" s="54">
        <v>0</v>
      </c>
      <c r="I288" s="54">
        <v>0</v>
      </c>
      <c r="J288" s="54">
        <v>0</v>
      </c>
      <c r="K288" s="54">
        <v>0</v>
      </c>
      <c r="L288" s="55">
        <v>0</v>
      </c>
      <c r="M288" s="54">
        <v>0</v>
      </c>
      <c r="N288" s="55">
        <v>0</v>
      </c>
      <c r="O288" s="10">
        <v>0</v>
      </c>
      <c r="P288" s="54"/>
      <c r="Q288" s="56">
        <f>+P288</f>
      </c>
    </row>
    <row r="289">
      <c r="A289" s="1">
        <v>334132</v>
      </c>
      <c r="B289" s="52">
        <v>190</v>
      </c>
      <c r="C289" s="53" t="inlineStr">
        <is>
          <t>LA LUZ VILLA DE TUTUTEPEC</t>
        </is>
      </c>
      <c r="D289" s="57">
        <v>114</v>
      </c>
      <c r="E289" s="57">
        <v>157</v>
      </c>
      <c r="F289" s="10">
        <f>E289*0.666*24/72</f>
      </c>
      <c r="G289" s="54">
        <v>0</v>
      </c>
      <c r="H289" s="54">
        <v>0</v>
      </c>
      <c r="I289" s="54">
        <v>0</v>
      </c>
      <c r="J289" s="54">
        <v>0</v>
      </c>
      <c r="K289" s="54">
        <v>0</v>
      </c>
      <c r="L289" s="55">
        <v>0</v>
      </c>
      <c r="M289" s="54">
        <v>0</v>
      </c>
      <c r="N289" s="55">
        <v>0</v>
      </c>
      <c r="O289" s="10">
        <v>0</v>
      </c>
      <c r="P289" s="54"/>
      <c r="Q289" s="56">
        <f>+P289</f>
      </c>
    </row>
    <row r="290">
      <c r="A290" s="1">
        <v>334133</v>
      </c>
      <c r="B290" s="52">
        <v>51</v>
      </c>
      <c r="C290" s="53" t="inlineStr">
        <is>
          <t>SANTA ANA TUTUTEPEC</t>
        </is>
      </c>
      <c r="D290" s="57">
        <v>71</v>
      </c>
      <c r="E290" s="57">
        <v>102</v>
      </c>
      <c r="F290" s="10">
        <f>E290*0.666*24/72</f>
      </c>
      <c r="G290" s="54">
        <v>0</v>
      </c>
      <c r="H290" s="54">
        <v>0</v>
      </c>
      <c r="I290" s="54">
        <v>0</v>
      </c>
      <c r="J290" s="54">
        <v>0</v>
      </c>
      <c r="K290" s="54">
        <v>0</v>
      </c>
      <c r="L290" s="55">
        <v>0</v>
      </c>
      <c r="M290" s="54">
        <v>0</v>
      </c>
      <c r="N290" s="55">
        <v>0</v>
      </c>
      <c r="O290" s="10">
        <v>0</v>
      </c>
      <c r="P290" s="54"/>
      <c r="Q290" s="56">
        <f>+P290</f>
      </c>
    </row>
    <row r="291">
      <c r="A291" s="1">
        <v>334137</v>
      </c>
      <c r="B291" s="52">
        <v>226</v>
      </c>
      <c r="C291" s="53" t="inlineStr">
        <is>
          <t>CERRO HERMOSO</t>
        </is>
      </c>
      <c r="D291" s="57">
        <v>24</v>
      </c>
      <c r="E291" s="57">
        <v>49</v>
      </c>
      <c r="F291" s="10">
        <f>E291*0.666*24/72</f>
      </c>
      <c r="G291" s="54">
        <v>0</v>
      </c>
      <c r="H291" s="54">
        <v>0</v>
      </c>
      <c r="I291" s="54">
        <v>0</v>
      </c>
      <c r="J291" s="54">
        <v>0</v>
      </c>
      <c r="K291" s="54">
        <v>0</v>
      </c>
      <c r="L291" s="55">
        <v>0</v>
      </c>
      <c r="M291" s="54">
        <v>0</v>
      </c>
      <c r="N291" s="55">
        <v>0</v>
      </c>
      <c r="O291" s="10">
        <v>0</v>
      </c>
      <c r="P291" s="54"/>
      <c r="Q291" s="56">
        <f>+P291</f>
      </c>
    </row>
    <row r="292">
      <c r="A292" s="1">
        <v>334138</v>
      </c>
      <c r="B292" s="52">
        <v>219</v>
      </c>
      <c r="C292" s="53" t="inlineStr">
        <is>
          <t>CHACALAPA</t>
        </is>
      </c>
      <c r="D292" s="57">
        <v>34</v>
      </c>
      <c r="E292" s="57">
        <v>52</v>
      </c>
      <c r="F292" s="10">
        <f>E292*0.666*24/72</f>
      </c>
      <c r="G292" s="54">
        <v>0</v>
      </c>
      <c r="H292" s="54">
        <v>0</v>
      </c>
      <c r="I292" s="54">
        <v>0</v>
      </c>
      <c r="J292" s="54">
        <v>0</v>
      </c>
      <c r="K292" s="54">
        <v>0</v>
      </c>
      <c r="L292" s="55">
        <v>0</v>
      </c>
      <c r="M292" s="54">
        <v>0</v>
      </c>
      <c r="N292" s="55">
        <v>0</v>
      </c>
      <c r="O292" s="10">
        <v>0</v>
      </c>
      <c r="P292" s="54"/>
      <c r="Q292" s="56">
        <f>+P292</f>
      </c>
    </row>
    <row r="293">
      <c r="A293" s="1">
        <v>345103</v>
      </c>
      <c r="B293" s="52">
        <v>61</v>
      </c>
      <c r="C293" s="53" t="inlineStr">
        <is>
          <t>COSTATITLAN</t>
        </is>
      </c>
      <c r="D293" s="57">
        <v>44</v>
      </c>
      <c r="E293" s="57">
        <v>100</v>
      </c>
      <c r="F293" s="10">
        <f>E293*0.666*24/72</f>
      </c>
      <c r="G293" s="54">
        <v>0</v>
      </c>
      <c r="H293" s="54">
        <v>0</v>
      </c>
      <c r="I293" s="54">
        <v>0</v>
      </c>
      <c r="J293" s="54">
        <v>0</v>
      </c>
      <c r="K293" s="54">
        <v>0</v>
      </c>
      <c r="L293" s="55">
        <v>0</v>
      </c>
      <c r="M293" s="54">
        <v>0</v>
      </c>
      <c r="N293" s="55">
        <v>0</v>
      </c>
      <c r="O293" s="10">
        <v>0</v>
      </c>
      <c r="P293" s="54"/>
      <c r="Q293" s="56">
        <f>+P293</f>
      </c>
    </row>
    <row r="294">
      <c r="A294" s="1">
        <v>402101</v>
      </c>
      <c r="B294" s="52">
        <v>202</v>
      </c>
      <c r="C294" s="53" t="inlineStr">
        <is>
          <t>SANTA MAR A CORTIJO</t>
        </is>
      </c>
      <c r="D294" s="57">
        <v>39</v>
      </c>
      <c r="E294" s="57">
        <v>55</v>
      </c>
      <c r="F294" s="10">
        <f>E294*0.666*24/72</f>
      </c>
      <c r="G294" s="54">
        <v>0</v>
      </c>
      <c r="H294" s="54">
        <v>0</v>
      </c>
      <c r="I294" s="54">
        <v>0</v>
      </c>
      <c r="J294" s="54">
        <v>0</v>
      </c>
      <c r="K294" s="54">
        <v>0</v>
      </c>
      <c r="L294" s="55">
        <v>0</v>
      </c>
      <c r="M294" s="54">
        <v>0</v>
      </c>
      <c r="N294" s="55">
        <v>0</v>
      </c>
      <c r="O294" s="10">
        <v>0</v>
      </c>
      <c r="P294" s="54"/>
      <c r="Q294" s="56">
        <f>+P294</f>
      </c>
    </row>
    <row r="295">
      <c r="A295" s="1">
        <v>414102</v>
      </c>
      <c r="B295" s="52">
        <v>89</v>
      </c>
      <c r="C295" s="53" t="inlineStr">
        <is>
          <t>PASO DEL JIOTE</t>
        </is>
      </c>
      <c r="D295" s="57">
        <v>78</v>
      </c>
      <c r="E295" s="57">
        <v>107</v>
      </c>
      <c r="F295" s="10">
        <f>E295*0.666*24/72</f>
      </c>
      <c r="G295" s="54">
        <v>0</v>
      </c>
      <c r="H295" s="54">
        <v>0</v>
      </c>
      <c r="I295" s="54">
        <v>0</v>
      </c>
      <c r="J295" s="54">
        <v>0</v>
      </c>
      <c r="K295" s="54">
        <v>0</v>
      </c>
      <c r="L295" s="55">
        <v>0</v>
      </c>
      <c r="M295" s="54">
        <v>0</v>
      </c>
      <c r="N295" s="55">
        <v>0</v>
      </c>
      <c r="O295" s="10">
        <v>0</v>
      </c>
      <c r="P295" s="54"/>
      <c r="Q295" s="56">
        <f>+P295</f>
      </c>
    </row>
    <row r="296">
      <c r="A296" s="1">
        <v>414103</v>
      </c>
      <c r="B296" s="52">
        <v>12</v>
      </c>
      <c r="C296" s="53" t="inlineStr">
        <is>
          <t>JOSE MA MORELOS</t>
        </is>
      </c>
      <c r="D296" s="57">
        <v>94</v>
      </c>
      <c r="E296" s="57">
        <v>125</v>
      </c>
      <c r="F296" s="10">
        <f>E296*0.666*24/72</f>
      </c>
      <c r="G296" s="54">
        <v>0</v>
      </c>
      <c r="H296" s="54">
        <v>0</v>
      </c>
      <c r="I296" s="54">
        <v>0</v>
      </c>
      <c r="J296" s="54">
        <v>0</v>
      </c>
      <c r="K296" s="54">
        <v>0</v>
      </c>
      <c r="L296" s="55">
        <v>0</v>
      </c>
      <c r="M296" s="54">
        <v>0</v>
      </c>
      <c r="N296" s="55">
        <v>0</v>
      </c>
      <c r="O296" s="10">
        <v>0</v>
      </c>
      <c r="P296" s="54"/>
      <c r="Q296" s="56">
        <f>+P296</f>
      </c>
    </row>
    <row r="297">
      <c r="A297" s="1">
        <v>474101</v>
      </c>
      <c r="B297" s="52">
        <v>117</v>
      </c>
      <c r="C297" s="53" t="inlineStr">
        <is>
          <t>SANTIAGO LLANO GRANDE</t>
        </is>
      </c>
      <c r="D297" s="57">
        <v>138</v>
      </c>
      <c r="E297" s="57">
        <v>278</v>
      </c>
      <c r="F297" s="10">
        <f>E297*0.666*24/72</f>
      </c>
      <c r="G297" s="54">
        <v>0</v>
      </c>
      <c r="H297" s="54">
        <v>0</v>
      </c>
      <c r="I297" s="54">
        <v>0</v>
      </c>
      <c r="J297" s="54">
        <v>0</v>
      </c>
      <c r="K297" s="54">
        <v>0</v>
      </c>
      <c r="L297" s="55">
        <v>0</v>
      </c>
      <c r="M297" s="54">
        <v>0</v>
      </c>
      <c r="N297" s="55">
        <v>0</v>
      </c>
      <c r="O297" s="10">
        <v>0</v>
      </c>
      <c r="P297" s="54"/>
      <c r="Q297" s="56">
        <f>+P297</f>
      </c>
    </row>
    <row r="298">
      <c r="A298" s="1">
        <v>474102</v>
      </c>
      <c r="B298" s="52">
        <v>215</v>
      </c>
      <c r="C298" s="53" t="inlineStr">
        <is>
          <t>RANCHO NUEVO</t>
        </is>
      </c>
      <c r="D298" s="57">
        <v>39</v>
      </c>
      <c r="E298" s="57">
        <v>50</v>
      </c>
      <c r="F298" s="10">
        <f>E298*0.666*24/72</f>
      </c>
      <c r="G298" s="54">
        <v>0</v>
      </c>
      <c r="H298" s="54">
        <v>0</v>
      </c>
      <c r="I298" s="54">
        <v>0</v>
      </c>
      <c r="J298" s="54">
        <v>0</v>
      </c>
      <c r="K298" s="54">
        <v>0</v>
      </c>
      <c r="L298" s="55">
        <v>0</v>
      </c>
      <c r="M298" s="54">
        <v>0</v>
      </c>
      <c r="N298" s="55">
        <v>0</v>
      </c>
      <c r="O298" s="10">
        <v>0</v>
      </c>
      <c r="P298" s="54"/>
      <c r="Q298" s="56">
        <f>+P298</f>
      </c>
    </row>
    <row r="299">
      <c r="A299" s="1">
        <v>482105</v>
      </c>
      <c r="B299" s="52">
        <v>107</v>
      </c>
      <c r="C299" s="53" t="inlineStr">
        <is>
          <t>SANTIAGO PINOTEPA NACIONAL</t>
        </is>
      </c>
      <c r="D299" s="57">
        <v>281</v>
      </c>
      <c r="E299" s="57">
        <v>466</v>
      </c>
      <c r="F299" s="10">
        <f>E299*0.666*24/72</f>
      </c>
      <c r="G299" s="54">
        <v>0</v>
      </c>
      <c r="H299" s="54">
        <v>0</v>
      </c>
      <c r="I299" s="54">
        <v>0</v>
      </c>
      <c r="J299" s="54">
        <v>0</v>
      </c>
      <c r="K299" s="54">
        <v>0</v>
      </c>
      <c r="L299" s="55">
        <v>0</v>
      </c>
      <c r="M299" s="54">
        <v>0</v>
      </c>
      <c r="N299" s="55">
        <v>0</v>
      </c>
      <c r="O299" s="10">
        <v>0</v>
      </c>
      <c r="P299" s="54"/>
      <c r="Q299" s="56">
        <f>+P299</f>
      </c>
    </row>
    <row r="300">
      <c r="A300" s="1">
        <v>482106</v>
      </c>
      <c r="B300" s="52">
        <v>92</v>
      </c>
      <c r="C300" s="53" t="inlineStr">
        <is>
          <t>CERRO LA ESPERANZA</t>
        </is>
      </c>
      <c r="D300" s="57">
        <v>76</v>
      </c>
      <c r="E300" s="57">
        <v>105</v>
      </c>
      <c r="F300" s="10">
        <f>E300*0.666*24/72</f>
      </c>
      <c r="G300" s="54">
        <v>0</v>
      </c>
      <c r="H300" s="54">
        <v>0</v>
      </c>
      <c r="I300" s="54">
        <v>0</v>
      </c>
      <c r="J300" s="54">
        <v>0</v>
      </c>
      <c r="K300" s="54">
        <v>0</v>
      </c>
      <c r="L300" s="55">
        <v>0</v>
      </c>
      <c r="M300" s="54">
        <v>0</v>
      </c>
      <c r="N300" s="55">
        <v>0</v>
      </c>
      <c r="O300" s="10">
        <v>0</v>
      </c>
      <c r="P300" s="54"/>
      <c r="Q300" s="56">
        <f>+P300</f>
      </c>
    </row>
    <row r="301">
      <c r="A301" s="1">
        <v>482107</v>
      </c>
      <c r="B301" s="52">
        <v>104</v>
      </c>
      <c r="C301" s="53" t="inlineStr">
        <is>
          <t>COLLANTES</t>
        </is>
      </c>
      <c r="D301" s="57">
        <v>84</v>
      </c>
      <c r="E301" s="57">
        <v>106</v>
      </c>
      <c r="F301" s="10">
        <f>E301*0.666*24/72</f>
      </c>
      <c r="G301" s="54">
        <v>0</v>
      </c>
      <c r="H301" s="54">
        <v>0</v>
      </c>
      <c r="I301" s="54">
        <v>0</v>
      </c>
      <c r="J301" s="54">
        <v>0</v>
      </c>
      <c r="K301" s="54">
        <v>0</v>
      </c>
      <c r="L301" s="55">
        <v>0</v>
      </c>
      <c r="M301" s="54">
        <v>0</v>
      </c>
      <c r="N301" s="55">
        <v>0</v>
      </c>
      <c r="O301" s="10">
        <v>0</v>
      </c>
      <c r="P301" s="54"/>
      <c r="Q301" s="56">
        <f>+P301</f>
      </c>
    </row>
    <row r="302">
      <c r="A302" s="1">
        <v>482109</v>
      </c>
      <c r="B302" s="52">
        <v>236</v>
      </c>
      <c r="C302" s="53" t="inlineStr">
        <is>
          <t>MANCUERNAS</t>
        </is>
      </c>
      <c r="D302" s="57">
        <v>34</v>
      </c>
      <c r="E302" s="57">
        <v>53</v>
      </c>
      <c r="F302" s="10">
        <f>E302*0.666*24/72</f>
      </c>
      <c r="G302" s="54">
        <v>0</v>
      </c>
      <c r="H302" s="54">
        <v>0</v>
      </c>
      <c r="I302" s="54">
        <v>0</v>
      </c>
      <c r="J302" s="54">
        <v>0</v>
      </c>
      <c r="K302" s="54">
        <v>0</v>
      </c>
      <c r="L302" s="55">
        <v>0</v>
      </c>
      <c r="M302" s="54">
        <v>0</v>
      </c>
      <c r="N302" s="55">
        <v>0</v>
      </c>
      <c r="O302" s="10">
        <v>0</v>
      </c>
      <c r="P302" s="54"/>
      <c r="Q302" s="56">
        <f>+P302</f>
      </c>
    </row>
    <row r="304">
      <c r="A304" s="43" t="inlineStr">
        <is>
          <t>T O T A L</t>
        </is>
      </c>
      <c r="B304" s="44"/>
      <c r="C304" s="45">
        <f>COUNTA(A274:A302)</f>
      </c>
      <c r="D304" s="65">
        <f>SUM(D274:D302)</f>
      </c>
      <c r="E304" s="65">
        <f>SUM(E274:E302)</f>
      </c>
      <c r="F304" s="65">
        <f>SUM(F274:F302)</f>
      </c>
      <c r="G304" s="65">
        <f>SUM(G274:G302)</f>
      </c>
      <c r="H304" s="65">
        <f>SUM(H274:H302)</f>
      </c>
      <c r="I304" s="65">
        <f>SUM(I274:I302)</f>
      </c>
      <c r="J304" s="65">
        <f>SUM(J274:J302)</f>
      </c>
      <c r="K304" s="65">
        <f>SUM(K274:K302)</f>
      </c>
      <c r="L304" s="65">
        <f>SUM(L274:L302)</f>
      </c>
      <c r="M304" s="65">
        <f>SUM(M274:M302)</f>
      </c>
      <c r="N304" s="65">
        <f>SUM(N274:N302)</f>
      </c>
      <c r="O304" s="65">
        <f>SUM(O274:O302)</f>
      </c>
      <c r="P304" s="65">
        <f>SUM(P274:P302)</f>
      </c>
      <c r="Q304" s="65">
        <f>SUM(Q274:Q302)</f>
      </c>
    </row>
    <row r="305">
      <c r="A305" s="66" t="inlineStr">
        <is>
          <t>OBSERVACIONES: </t>
        </is>
      </c>
      <c r="B305" s="67"/>
      <c r="C305" s="68"/>
      <c r="D305" s="69"/>
      <c r="E305" s="69"/>
      <c r="F305" s="70"/>
      <c r="G305" s="69"/>
      <c r="H305" s="69"/>
      <c r="I305" s="69"/>
      <c r="J305" s="69"/>
      <c r="K305" s="69"/>
      <c r="L305" s="70"/>
      <c r="M305" s="71"/>
      <c r="N305" s="72"/>
      <c r="O305" s="72"/>
      <c r="P305" s="73"/>
      <c r="Q305" s="74"/>
    </row>
    <row r="306">
      <c r="P306" s="65" t="inlineStr">
        <is>
          <t>TOTAL A RECIBIR EN ALMACEN:</t>
        </is>
      </c>
      <c r="Q306" s="65">
        <f>Q304</f>
      </c>
    </row>
    <row r="309">
      <c r="B309" s="40" t="inlineStr">
        <is>
          <t>ALMACEN RURAL : SANTA MARIA HUATULCO</t>
        </is>
      </c>
      <c r="C309" s="41"/>
    </row>
    <row r="312">
      <c r="A312" s="1">
        <v>120180</v>
      </c>
      <c r="B312" s="52">
        <v>181</v>
      </c>
      <c r="C312" s="53" t="inlineStr">
        <is>
          <t>SANTA MARIA HUATULCO</t>
        </is>
      </c>
      <c r="D312" s="57">
        <v>340</v>
      </c>
      <c r="E312" s="57">
        <v>478</v>
      </c>
      <c r="F312" s="10">
        <f>E312*0.666*24/72</f>
      </c>
      <c r="G312" s="54">
        <v>0</v>
      </c>
      <c r="H312" s="54">
        <v>0</v>
      </c>
      <c r="I312" s="54">
        <v>0</v>
      </c>
      <c r="J312" s="54">
        <v>0</v>
      </c>
      <c r="K312" s="54">
        <v>0</v>
      </c>
      <c r="L312" s="55">
        <v>0</v>
      </c>
      <c r="M312" s="54">
        <v>0</v>
      </c>
      <c r="N312" s="55">
        <v>0</v>
      </c>
      <c r="O312" s="10">
        <v>0</v>
      </c>
      <c r="P312" s="54"/>
      <c r="Q312" s="56">
        <f>+P312</f>
      </c>
    </row>
    <row r="313">
      <c r="A313" s="1">
        <v>120182</v>
      </c>
      <c r="B313" s="52">
        <v>6</v>
      </c>
      <c r="C313" s="53" t="inlineStr">
        <is>
          <t>SAN JOSE CHACALAPA</t>
        </is>
      </c>
      <c r="D313" s="57">
        <v>198</v>
      </c>
      <c r="E313" s="57">
        <v>278</v>
      </c>
      <c r="F313" s="10">
        <f>E313*0.666*24/72</f>
      </c>
      <c r="G313" s="54">
        <v>0</v>
      </c>
      <c r="H313" s="54">
        <v>0</v>
      </c>
      <c r="I313" s="54">
        <v>0</v>
      </c>
      <c r="J313" s="54">
        <v>0</v>
      </c>
      <c r="K313" s="54">
        <v>0</v>
      </c>
      <c r="L313" s="55">
        <v>0</v>
      </c>
      <c r="M313" s="54">
        <v>0</v>
      </c>
      <c r="N313" s="55">
        <v>0</v>
      </c>
      <c r="O313" s="10">
        <v>0</v>
      </c>
      <c r="P313" s="54"/>
      <c r="Q313" s="56">
        <f>+P313</f>
      </c>
    </row>
    <row r="314">
      <c r="A314" s="1">
        <v>324104</v>
      </c>
      <c r="B314" s="52">
        <v>9</v>
      </c>
      <c r="C314" s="53" t="inlineStr">
        <is>
          <t>SAN PEDRO CAFETITLAN</t>
        </is>
      </c>
      <c r="D314" s="57">
        <v>74</v>
      </c>
      <c r="E314" s="57">
        <v>83</v>
      </c>
      <c r="F314" s="10">
        <f>E314*0.666*24/72</f>
      </c>
      <c r="G314" s="54">
        <v>0</v>
      </c>
      <c r="H314" s="54">
        <v>0</v>
      </c>
      <c r="I314" s="54">
        <v>0</v>
      </c>
      <c r="J314" s="54">
        <v>0</v>
      </c>
      <c r="K314" s="54">
        <v>0</v>
      </c>
      <c r="L314" s="55">
        <v>0</v>
      </c>
      <c r="M314" s="54">
        <v>0</v>
      </c>
      <c r="N314" s="55">
        <v>0</v>
      </c>
      <c r="O314" s="10">
        <v>0</v>
      </c>
      <c r="P314" s="54"/>
      <c r="Q314" s="56">
        <f>+P314</f>
      </c>
    </row>
    <row r="315">
      <c r="A315" s="1">
        <v>324114</v>
      </c>
      <c r="B315" s="52">
        <v>8</v>
      </c>
      <c r="C315" s="53" t="inlineStr">
        <is>
          <t>SAN ISIDRO APANGO</t>
        </is>
      </c>
      <c r="D315" s="57">
        <v>38</v>
      </c>
      <c r="E315" s="57">
        <v>56</v>
      </c>
      <c r="F315" s="10">
        <f>E315*0.666*24/72</f>
      </c>
      <c r="G315" s="54">
        <v>0</v>
      </c>
      <c r="H315" s="54">
        <v>0</v>
      </c>
      <c r="I315" s="54">
        <v>0</v>
      </c>
      <c r="J315" s="54">
        <v>0</v>
      </c>
      <c r="K315" s="54">
        <v>0</v>
      </c>
      <c r="L315" s="55">
        <v>0</v>
      </c>
      <c r="M315" s="54">
        <v>0</v>
      </c>
      <c r="N315" s="55">
        <v>0</v>
      </c>
      <c r="O315" s="10">
        <v>0</v>
      </c>
      <c r="P315" s="54"/>
      <c r="Q315" s="56">
        <f>+P315</f>
      </c>
    </row>
    <row r="316">
      <c r="A316" s="1">
        <v>324115</v>
      </c>
      <c r="B316" s="52">
        <v>34</v>
      </c>
      <c r="C316" s="53" t="inlineStr">
        <is>
          <t>NUCLEO RURAL ROQUE</t>
        </is>
      </c>
      <c r="D316" s="57">
        <v>136</v>
      </c>
      <c r="E316" s="57">
        <v>204</v>
      </c>
      <c r="F316" s="10">
        <f>E316*0.666*24/72</f>
      </c>
      <c r="G316" s="54">
        <v>0</v>
      </c>
      <c r="H316" s="54">
        <v>0</v>
      </c>
      <c r="I316" s="54">
        <v>0</v>
      </c>
      <c r="J316" s="54">
        <v>0</v>
      </c>
      <c r="K316" s="54">
        <v>0</v>
      </c>
      <c r="L316" s="55">
        <v>0</v>
      </c>
      <c r="M316" s="54">
        <v>0</v>
      </c>
      <c r="N316" s="55">
        <v>0</v>
      </c>
      <c r="O316" s="10">
        <v>0</v>
      </c>
      <c r="P316" s="54"/>
      <c r="Q316" s="56">
        <f>+P316</f>
      </c>
    </row>
    <row r="317">
      <c r="A317" s="1">
        <v>324116</v>
      </c>
      <c r="B317" s="52">
        <v>154</v>
      </c>
      <c r="C317" s="53" t="inlineStr">
        <is>
          <t>BARRIO NUEVO TOLTEPEC</t>
        </is>
      </c>
      <c r="D317" s="57">
        <v>67</v>
      </c>
      <c r="E317" s="57">
        <v>95</v>
      </c>
      <c r="F317" s="10">
        <f>E317*0.666*24/72</f>
      </c>
      <c r="G317" s="54">
        <v>0</v>
      </c>
      <c r="H317" s="54">
        <v>0</v>
      </c>
      <c r="I317" s="54">
        <v>0</v>
      </c>
      <c r="J317" s="54">
        <v>0</v>
      </c>
      <c r="K317" s="54">
        <v>0</v>
      </c>
      <c r="L317" s="55">
        <v>0</v>
      </c>
      <c r="M317" s="54">
        <v>0</v>
      </c>
      <c r="N317" s="55">
        <v>0</v>
      </c>
      <c r="O317" s="10">
        <v>0</v>
      </c>
      <c r="P317" s="54"/>
      <c r="Q317" s="56">
        <f>+P317</f>
      </c>
    </row>
    <row r="318">
      <c r="A318" s="1">
        <v>324117</v>
      </c>
      <c r="B318" s="52">
        <v>82</v>
      </c>
      <c r="C318" s="53" t="inlineStr">
        <is>
          <t>LOS NARANJOS ESQUIPULAS</t>
        </is>
      </c>
      <c r="D318" s="57">
        <v>133</v>
      </c>
      <c r="E318" s="57">
        <v>196</v>
      </c>
      <c r="F318" s="10">
        <f>E318*0.666*24/72</f>
      </c>
      <c r="G318" s="54">
        <v>0</v>
      </c>
      <c r="H318" s="54">
        <v>0</v>
      </c>
      <c r="I318" s="54">
        <v>0</v>
      </c>
      <c r="J318" s="54">
        <v>0</v>
      </c>
      <c r="K318" s="54">
        <v>0</v>
      </c>
      <c r="L318" s="55">
        <v>0</v>
      </c>
      <c r="M318" s="54">
        <v>0</v>
      </c>
      <c r="N318" s="55">
        <v>0</v>
      </c>
      <c r="O318" s="10">
        <v>0</v>
      </c>
      <c r="P318" s="54"/>
      <c r="Q318" s="56">
        <f>+P318</f>
      </c>
    </row>
    <row r="319">
      <c r="A319" s="1">
        <v>413110</v>
      </c>
      <c r="B319" s="52">
        <v>90</v>
      </c>
      <c r="C319" s="53" t="inlineStr">
        <is>
          <t>PUEBLO VIEJO</t>
        </is>
      </c>
      <c r="D319" s="57">
        <v>41</v>
      </c>
      <c r="E319" s="57">
        <v>53</v>
      </c>
      <c r="F319" s="10">
        <f>E319*0.666*24/72</f>
      </c>
      <c r="G319" s="54">
        <v>0</v>
      </c>
      <c r="H319" s="54">
        <v>0</v>
      </c>
      <c r="I319" s="54">
        <v>0</v>
      </c>
      <c r="J319" s="54">
        <v>0</v>
      </c>
      <c r="K319" s="54">
        <v>0</v>
      </c>
      <c r="L319" s="55">
        <v>0</v>
      </c>
      <c r="M319" s="54">
        <v>0</v>
      </c>
      <c r="N319" s="55">
        <v>0</v>
      </c>
      <c r="O319" s="10">
        <v>0</v>
      </c>
      <c r="P319" s="54"/>
      <c r="Q319" s="56">
        <f>+P319</f>
      </c>
    </row>
    <row r="320">
      <c r="A320" s="1">
        <v>413113</v>
      </c>
      <c r="B320" s="52">
        <v>191</v>
      </c>
      <c r="C320" s="53" t="inlineStr">
        <is>
          <t>CUAJINICUIL</t>
        </is>
      </c>
      <c r="D320" s="57">
        <v>32</v>
      </c>
      <c r="E320" s="57">
        <v>51</v>
      </c>
      <c r="F320" s="10">
        <f>E320*0.666*24/72</f>
      </c>
      <c r="G320" s="54">
        <v>0</v>
      </c>
      <c r="H320" s="54">
        <v>0</v>
      </c>
      <c r="I320" s="54">
        <v>0</v>
      </c>
      <c r="J320" s="54">
        <v>0</v>
      </c>
      <c r="K320" s="54">
        <v>0</v>
      </c>
      <c r="L320" s="55">
        <v>0</v>
      </c>
      <c r="M320" s="54">
        <v>0</v>
      </c>
      <c r="N320" s="55">
        <v>0</v>
      </c>
      <c r="O320" s="10">
        <v>0</v>
      </c>
      <c r="P320" s="54"/>
      <c r="Q320" s="56">
        <f>+P320</f>
      </c>
    </row>
    <row r="321">
      <c r="A321" s="1">
        <v>413114</v>
      </c>
      <c r="B321" s="52">
        <v>133</v>
      </c>
      <c r="C321" s="53" t="inlineStr">
        <is>
          <t>EL CRUCERO (FRACCIONAMIENTO)</t>
        </is>
      </c>
      <c r="D321" s="57">
        <v>69</v>
      </c>
      <c r="E321" s="57">
        <v>104</v>
      </c>
      <c r="F321" s="10">
        <f>E321*0.666*24/72</f>
      </c>
      <c r="G321" s="54">
        <v>0</v>
      </c>
      <c r="H321" s="54">
        <v>0</v>
      </c>
      <c r="I321" s="54">
        <v>0</v>
      </c>
      <c r="J321" s="54">
        <v>0</v>
      </c>
      <c r="K321" s="54">
        <v>0</v>
      </c>
      <c r="L321" s="55">
        <v>0</v>
      </c>
      <c r="M321" s="54">
        <v>0</v>
      </c>
      <c r="N321" s="55">
        <v>0</v>
      </c>
      <c r="O321" s="10">
        <v>0</v>
      </c>
      <c r="P321" s="54"/>
      <c r="Q321" s="56">
        <f>+P321</f>
      </c>
    </row>
    <row r="323">
      <c r="A323" s="43" t="inlineStr">
        <is>
          <t>T O T A L</t>
        </is>
      </c>
      <c r="B323" s="44"/>
      <c r="C323" s="45">
        <f>COUNTA(A312:A321)</f>
      </c>
      <c r="D323" s="65">
        <f>SUM(D312:D321)</f>
      </c>
      <c r="E323" s="65">
        <f>SUM(E312:E321)</f>
      </c>
      <c r="F323" s="65">
        <f>SUM(F312:F321)</f>
      </c>
      <c r="G323" s="65">
        <f>SUM(G312:G321)</f>
      </c>
      <c r="H323" s="65">
        <f>SUM(H312:H321)</f>
      </c>
      <c r="I323" s="65">
        <f>SUM(I312:I321)</f>
      </c>
      <c r="J323" s="65">
        <f>SUM(J312:J321)</f>
      </c>
      <c r="K323" s="65">
        <f>SUM(K312:K321)</f>
      </c>
      <c r="L323" s="65">
        <f>SUM(L312:L321)</f>
      </c>
      <c r="M323" s="65">
        <f>SUM(M312:M321)</f>
      </c>
      <c r="N323" s="65">
        <f>SUM(N312:N321)</f>
      </c>
      <c r="O323" s="65">
        <f>SUM(O312:O321)</f>
      </c>
      <c r="P323" s="65">
        <f>SUM(P312:P321)</f>
      </c>
      <c r="Q323" s="65">
        <f>SUM(Q312:Q321)</f>
      </c>
    </row>
    <row r="324">
      <c r="A324" s="66" t="inlineStr">
        <is>
          <t>OBSERVACIONES: </t>
        </is>
      </c>
      <c r="B324" s="67"/>
      <c r="C324" s="68"/>
      <c r="D324" s="69"/>
      <c r="E324" s="69"/>
      <c r="F324" s="70"/>
      <c r="G324" s="69"/>
      <c r="H324" s="69"/>
      <c r="I324" s="69"/>
      <c r="J324" s="69"/>
      <c r="K324" s="69"/>
      <c r="L324" s="70"/>
      <c r="M324" s="71"/>
      <c r="N324" s="72"/>
      <c r="O324" s="72"/>
      <c r="P324" s="73"/>
      <c r="Q324" s="74"/>
    </row>
    <row r="325">
      <c r="P325" s="65" t="inlineStr">
        <is>
          <t>TOTAL A RECIBIR EN ALMACEN:</t>
        </is>
      </c>
      <c r="Q325" s="65">
        <f>Q323</f>
      </c>
    </row>
    <row r="328">
      <c r="B328" s="40" t="inlineStr">
        <is>
          <t>ALMACEN RURAL : LA REFORMA YAUTEPEC</t>
        </is>
      </c>
      <c r="C328" s="41"/>
    </row>
    <row r="331">
      <c r="A331" s="1">
        <v>52101</v>
      </c>
      <c r="B331" s="52">
        <v>9056</v>
      </c>
      <c r="C331" s="53" t="inlineStr">
        <is>
          <t>MAGDALENA TEQUISISTLAN</t>
        </is>
      </c>
      <c r="D331" s="57">
        <v>223</v>
      </c>
      <c r="E331" s="57">
        <v>299</v>
      </c>
      <c r="F331" s="10">
        <f>E331*0.666*24/72</f>
      </c>
      <c r="G331" s="54">
        <v>0</v>
      </c>
      <c r="H331" s="54">
        <v>0</v>
      </c>
      <c r="I331" s="54">
        <v>0</v>
      </c>
      <c r="J331" s="54">
        <v>0</v>
      </c>
      <c r="K331" s="54">
        <v>0</v>
      </c>
      <c r="L331" s="55">
        <v>0</v>
      </c>
      <c r="M331" s="54">
        <v>0</v>
      </c>
      <c r="N331" s="55">
        <v>0</v>
      </c>
      <c r="O331" s="10">
        <v>0</v>
      </c>
      <c r="P331" s="54"/>
      <c r="Q331" s="56">
        <f>+P331</f>
      </c>
    </row>
    <row r="332">
      <c r="A332" s="1">
        <v>52104</v>
      </c>
      <c r="B332" s="52">
        <v>9077</v>
      </c>
      <c r="C332" s="53" t="inlineStr">
        <is>
          <t>SAN JOSE</t>
        </is>
      </c>
      <c r="D332" s="57">
        <v>31</v>
      </c>
      <c r="E332" s="57">
        <v>45</v>
      </c>
      <c r="F332" s="10">
        <f>E332*0.666*24/72</f>
      </c>
      <c r="G332" s="54">
        <v>0</v>
      </c>
      <c r="H332" s="54">
        <v>0</v>
      </c>
      <c r="I332" s="54">
        <v>0</v>
      </c>
      <c r="J332" s="54">
        <v>0</v>
      </c>
      <c r="K332" s="54">
        <v>0</v>
      </c>
      <c r="L332" s="55">
        <v>0</v>
      </c>
      <c r="M332" s="54">
        <v>0</v>
      </c>
      <c r="N332" s="55">
        <v>0</v>
      </c>
      <c r="O332" s="10">
        <v>0</v>
      </c>
      <c r="P332" s="54"/>
      <c r="Q332" s="56">
        <f>+P332</f>
      </c>
    </row>
    <row r="333">
      <c r="A333" s="1">
        <v>64101</v>
      </c>
      <c r="B333" s="52">
        <v>9020</v>
      </c>
      <c r="C333" s="53" t="inlineStr">
        <is>
          <t>NEJAPA DE MADERO</t>
        </is>
      </c>
      <c r="D333" s="57">
        <v>53</v>
      </c>
      <c r="E333" s="57">
        <v>77</v>
      </c>
      <c r="F333" s="10">
        <f>E333*0.666*24/72</f>
      </c>
      <c r="G333" s="54">
        <v>0</v>
      </c>
      <c r="H333" s="54">
        <v>0</v>
      </c>
      <c r="I333" s="54">
        <v>0</v>
      </c>
      <c r="J333" s="54">
        <v>0</v>
      </c>
      <c r="K333" s="54">
        <v>0</v>
      </c>
      <c r="L333" s="55">
        <v>0</v>
      </c>
      <c r="M333" s="54">
        <v>0</v>
      </c>
      <c r="N333" s="55">
        <v>0</v>
      </c>
      <c r="O333" s="10">
        <v>0</v>
      </c>
      <c r="P333" s="54"/>
      <c r="Q333" s="56">
        <f>+P333</f>
      </c>
    </row>
    <row r="334">
      <c r="A334" s="1">
        <v>204101</v>
      </c>
      <c r="B334" s="52">
        <v>1</v>
      </c>
      <c r="C334" s="53" t="inlineStr">
        <is>
          <t>SAN JUAN LAJARCIA</t>
        </is>
      </c>
      <c r="D334" s="57">
        <v>17</v>
      </c>
      <c r="E334" s="57">
        <v>28</v>
      </c>
      <c r="F334" s="10">
        <f>E334*0.666*24/72</f>
      </c>
      <c r="G334" s="54">
        <v>0</v>
      </c>
      <c r="H334" s="54">
        <v>0</v>
      </c>
      <c r="I334" s="54">
        <v>0</v>
      </c>
      <c r="J334" s="54">
        <v>0</v>
      </c>
      <c r="K334" s="54">
        <v>0</v>
      </c>
      <c r="L334" s="55">
        <v>0</v>
      </c>
      <c r="M334" s="54">
        <v>0</v>
      </c>
      <c r="N334" s="55">
        <v>0</v>
      </c>
      <c r="O334" s="10">
        <v>0</v>
      </c>
      <c r="P334" s="54"/>
      <c r="Q334" s="56">
        <f>+P334</f>
      </c>
    </row>
    <row r="335">
      <c r="A335" s="1">
        <v>410103</v>
      </c>
      <c r="B335" s="52">
        <v>9003</v>
      </c>
      <c r="C335" s="53" t="inlineStr">
        <is>
          <t>SANTA MARIA ECATEPEC</t>
        </is>
      </c>
      <c r="D335" s="57">
        <v>29</v>
      </c>
      <c r="E335" s="57">
        <v>41</v>
      </c>
      <c r="F335" s="10">
        <f>E335*0.666*24/72</f>
      </c>
      <c r="G335" s="54">
        <v>0</v>
      </c>
      <c r="H335" s="54">
        <v>0</v>
      </c>
      <c r="I335" s="54">
        <v>0</v>
      </c>
      <c r="J335" s="54">
        <v>0</v>
      </c>
      <c r="K335" s="54">
        <v>0</v>
      </c>
      <c r="L335" s="55">
        <v>0</v>
      </c>
      <c r="M335" s="54">
        <v>0</v>
      </c>
      <c r="N335" s="55">
        <v>0</v>
      </c>
      <c r="O335" s="10">
        <v>0</v>
      </c>
      <c r="P335" s="54"/>
      <c r="Q335" s="56">
        <f>+P335</f>
      </c>
    </row>
    <row r="336">
      <c r="A336" s="1">
        <v>418101</v>
      </c>
      <c r="B336" s="52">
        <v>9361</v>
      </c>
      <c r="C336" s="53" t="inlineStr">
        <is>
          <t>COL  AGUASCALIENTES J  DEL MARQUES</t>
        </is>
      </c>
      <c r="D336" s="57">
        <v>206</v>
      </c>
      <c r="E336" s="57">
        <v>317</v>
      </c>
      <c r="F336" s="10">
        <f>E336*0.666*24/72</f>
      </c>
      <c r="G336" s="54">
        <v>0</v>
      </c>
      <c r="H336" s="54">
        <v>0</v>
      </c>
      <c r="I336" s="54">
        <v>0</v>
      </c>
      <c r="J336" s="54">
        <v>0</v>
      </c>
      <c r="K336" s="54">
        <v>0</v>
      </c>
      <c r="L336" s="55">
        <v>0</v>
      </c>
      <c r="M336" s="54">
        <v>0</v>
      </c>
      <c r="N336" s="55">
        <v>0</v>
      </c>
      <c r="O336" s="10">
        <v>0</v>
      </c>
      <c r="P336" s="54"/>
      <c r="Q336" s="56">
        <f>+P336</f>
      </c>
    </row>
    <row r="337">
      <c r="A337" s="1">
        <v>418102</v>
      </c>
      <c r="B337" s="52">
        <v>33</v>
      </c>
      <c r="C337" s="53" t="inlineStr">
        <is>
          <t>LLANO GRANDE</t>
        </is>
      </c>
      <c r="D337" s="57">
        <v>50</v>
      </c>
      <c r="E337" s="57">
        <v>60</v>
      </c>
      <c r="F337" s="10">
        <f>E337*0.666*24/72</f>
      </c>
      <c r="G337" s="54">
        <v>0</v>
      </c>
      <c r="H337" s="54">
        <v>0</v>
      </c>
      <c r="I337" s="54">
        <v>0</v>
      </c>
      <c r="J337" s="54">
        <v>0</v>
      </c>
      <c r="K337" s="54">
        <v>0</v>
      </c>
      <c r="L337" s="55">
        <v>0</v>
      </c>
      <c r="M337" s="54">
        <v>0</v>
      </c>
      <c r="N337" s="55">
        <v>0</v>
      </c>
      <c r="O337" s="10">
        <v>0</v>
      </c>
      <c r="P337" s="54"/>
      <c r="Q337" s="56">
        <f>+P337</f>
      </c>
    </row>
    <row r="339">
      <c r="A339" s="43" t="inlineStr">
        <is>
          <t>T O T A L</t>
        </is>
      </c>
      <c r="B339" s="44"/>
      <c r="C339" s="45">
        <f>COUNTA(A331:A337)</f>
      </c>
      <c r="D339" s="65">
        <f>SUM(D331:D337)</f>
      </c>
      <c r="E339" s="65">
        <f>SUM(E331:E337)</f>
      </c>
      <c r="F339" s="65">
        <f>SUM(F331:F337)</f>
      </c>
      <c r="G339" s="65">
        <f>SUM(G331:G337)</f>
      </c>
      <c r="H339" s="65">
        <f>SUM(H331:H337)</f>
      </c>
      <c r="I339" s="65">
        <f>SUM(I331:I337)</f>
      </c>
      <c r="J339" s="65">
        <f>SUM(J331:J337)</f>
      </c>
      <c r="K339" s="65">
        <f>SUM(K331:K337)</f>
      </c>
      <c r="L339" s="65">
        <f>SUM(L331:L337)</f>
      </c>
      <c r="M339" s="65">
        <f>SUM(M331:M337)</f>
      </c>
      <c r="N339" s="65">
        <f>SUM(N331:N337)</f>
      </c>
      <c r="O339" s="65">
        <f>SUM(O331:O337)</f>
      </c>
      <c r="P339" s="65">
        <f>SUM(P331:P337)</f>
      </c>
      <c r="Q339" s="65">
        <f>SUM(Q331:Q337)</f>
      </c>
    </row>
    <row r="340">
      <c r="A340" s="66" t="inlineStr">
        <is>
          <t>OBSERVACIONES: </t>
        </is>
      </c>
      <c r="B340" s="67"/>
      <c r="C340" s="68"/>
      <c r="D340" s="69"/>
      <c r="E340" s="69"/>
      <c r="F340" s="70"/>
      <c r="G340" s="69"/>
      <c r="H340" s="69"/>
      <c r="I340" s="69"/>
      <c r="J340" s="69"/>
      <c r="K340" s="69"/>
      <c r="L340" s="70"/>
      <c r="M340" s="71"/>
      <c r="N340" s="72"/>
      <c r="O340" s="72"/>
      <c r="P340" s="73"/>
      <c r="Q340" s="74"/>
    </row>
    <row r="341">
      <c r="P341" s="65" t="inlineStr">
        <is>
          <t>TOTAL A RECIBIR EN ALMACEN:</t>
        </is>
      </c>
      <c r="Q341" s="65">
        <f>Q339</f>
      </c>
    </row>
    <row r="344">
      <c r="B344" s="40" t="inlineStr">
        <is>
          <t>ALMACEN RURAL : LOS IDEALES</t>
        </is>
      </c>
      <c r="C344" s="41"/>
    </row>
    <row r="348">
      <c r="A348" s="43" t="inlineStr">
        <is>
          <t>T O T A L</t>
        </is>
      </c>
      <c r="B348" s="44"/>
      <c r="C348" s="45">
        <f>COUNTA(A347:A346)</f>
      </c>
      <c r="D348" s="65">
        <f>SUM(D347:D346)</f>
      </c>
      <c r="E348" s="65">
        <f>SUM(E347:E346)</f>
      </c>
      <c r="F348" s="65">
        <f>SUM(F347:F346)</f>
      </c>
      <c r="G348" s="65">
        <f>SUM(G347:G346)</f>
      </c>
      <c r="H348" s="65">
        <f>SUM(H347:H346)</f>
      </c>
      <c r="I348" s="65">
        <f>SUM(I347:I346)</f>
      </c>
      <c r="J348" s="65">
        <f>SUM(J347:J346)</f>
      </c>
      <c r="K348" s="65">
        <f>SUM(K347:K346)</f>
      </c>
      <c r="L348" s="65">
        <f>SUM(L347:L346)</f>
      </c>
      <c r="M348" s="65">
        <f>SUM(M347:M346)</f>
      </c>
      <c r="N348" s="65">
        <f>SUM(N347:N346)</f>
      </c>
      <c r="O348" s="65">
        <f>SUM(O347:O346)</f>
      </c>
      <c r="P348" s="65">
        <f>SUM(P347:P346)</f>
      </c>
      <c r="Q348" s="65">
        <f>SUM(Q347:Q346)</f>
      </c>
    </row>
    <row r="349">
      <c r="A349" s="66" t="inlineStr">
        <is>
          <t>OBSERVACIONES: </t>
        </is>
      </c>
      <c r="B349" s="67"/>
      <c r="C349" s="68"/>
      <c r="D349" s="69"/>
      <c r="E349" s="69"/>
      <c r="F349" s="70"/>
      <c r="G349" s="69"/>
      <c r="H349" s="69"/>
      <c r="I349" s="69"/>
      <c r="J349" s="69"/>
      <c r="K349" s="69"/>
      <c r="L349" s="70"/>
      <c r="M349" s="71"/>
      <c r="N349" s="72"/>
      <c r="O349" s="72"/>
      <c r="P349" s="73"/>
      <c r="Q349" s="74"/>
    </row>
    <row r="350">
      <c r="P350" s="65" t="inlineStr">
        <is>
          <t>TOTAL A RECIBIR EN ALMACEN:</t>
        </is>
      </c>
      <c r="Q350" s="65">
        <f>Q348</f>
      </c>
    </row>
    <row r="353">
      <c r="B353" s="40" t="inlineStr">
        <is>
          <t>ALMACEN RURAL : PUEBLO NUEVO, TUX.</t>
        </is>
      </c>
      <c r="C353" s="41"/>
    </row>
    <row r="356">
      <c r="A356" s="1">
        <v>2102</v>
      </c>
      <c r="B356" s="52">
        <v>101</v>
      </c>
      <c r="C356" s="53" t="inlineStr">
        <is>
          <t>JOLIETTE</t>
        </is>
      </c>
      <c r="D356" s="57">
        <v>111</v>
      </c>
      <c r="E356" s="57">
        <v>168</v>
      </c>
      <c r="F356" s="10">
        <f>E356*0.666*24/72</f>
      </c>
      <c r="G356" s="54">
        <v>0</v>
      </c>
      <c r="H356" s="54">
        <v>0</v>
      </c>
      <c r="I356" s="54">
        <v>0</v>
      </c>
      <c r="J356" s="54">
        <v>0</v>
      </c>
      <c r="K356" s="54">
        <v>0</v>
      </c>
      <c r="L356" s="55">
        <v>0</v>
      </c>
      <c r="M356" s="54">
        <v>0</v>
      </c>
      <c r="N356" s="55">
        <v>0</v>
      </c>
      <c r="O356" s="10">
        <v>0</v>
      </c>
      <c r="P356" s="54"/>
      <c r="Q356" s="56">
        <f>+P356</f>
      </c>
    </row>
    <row r="357">
      <c r="A357" s="1">
        <v>9102</v>
      </c>
      <c r="B357" s="52">
        <v>39</v>
      </c>
      <c r="C357" s="53" t="inlineStr">
        <is>
          <t>AYOTZINTEPEC</t>
        </is>
      </c>
      <c r="D357" s="57">
        <v>90</v>
      </c>
      <c r="E357" s="57">
        <v>173</v>
      </c>
      <c r="F357" s="10">
        <f>E357*0.666*24/72</f>
      </c>
      <c r="G357" s="54">
        <v>0</v>
      </c>
      <c r="H357" s="54">
        <v>0</v>
      </c>
      <c r="I357" s="54">
        <v>0</v>
      </c>
      <c r="J357" s="54">
        <v>0</v>
      </c>
      <c r="K357" s="54">
        <v>0</v>
      </c>
      <c r="L357" s="55">
        <v>0</v>
      </c>
      <c r="M357" s="54">
        <v>0</v>
      </c>
      <c r="N357" s="55">
        <v>0</v>
      </c>
      <c r="O357" s="10">
        <v>0</v>
      </c>
      <c r="P357" s="54"/>
      <c r="Q357" s="56">
        <f>+P357</f>
      </c>
    </row>
    <row r="358">
      <c r="A358" s="1">
        <v>9103</v>
      </c>
      <c r="B358" s="52">
        <v>59</v>
      </c>
      <c r="C358" s="53" t="inlineStr">
        <is>
          <t>SAN JOSE MANO MARQUES</t>
        </is>
      </c>
      <c r="D358" s="57">
        <v>51</v>
      </c>
      <c r="E358" s="57">
        <v>86</v>
      </c>
      <c r="F358" s="10">
        <f>E358*0.666*24/72</f>
      </c>
      <c r="G358" s="54">
        <v>0</v>
      </c>
      <c r="H358" s="54">
        <v>0</v>
      </c>
      <c r="I358" s="54">
        <v>0</v>
      </c>
      <c r="J358" s="54">
        <v>0</v>
      </c>
      <c r="K358" s="54">
        <v>0</v>
      </c>
      <c r="L358" s="55">
        <v>0</v>
      </c>
      <c r="M358" s="54">
        <v>0</v>
      </c>
      <c r="N358" s="55">
        <v>0</v>
      </c>
      <c r="O358" s="10">
        <v>0</v>
      </c>
      <c r="P358" s="54"/>
      <c r="Q358" s="56">
        <f>+P358</f>
      </c>
    </row>
    <row r="359">
      <c r="A359" s="1">
        <v>120432</v>
      </c>
      <c r="B359" s="52">
        <v>217</v>
      </c>
      <c r="C359" s="53" t="inlineStr">
        <is>
          <t>SAN JUAN BAUTISTA VALLE NACIONAL</t>
        </is>
      </c>
      <c r="D359" s="57">
        <v>258</v>
      </c>
      <c r="E359" s="57">
        <v>439</v>
      </c>
      <c r="F359" s="10">
        <f>E359*0.666*24/72</f>
      </c>
      <c r="G359" s="54">
        <v>0</v>
      </c>
      <c r="H359" s="54">
        <v>0</v>
      </c>
      <c r="I359" s="54">
        <v>0</v>
      </c>
      <c r="J359" s="54">
        <v>0</v>
      </c>
      <c r="K359" s="54">
        <v>0</v>
      </c>
      <c r="L359" s="55">
        <v>0</v>
      </c>
      <c r="M359" s="54">
        <v>0</v>
      </c>
      <c r="N359" s="55">
        <v>0</v>
      </c>
      <c r="O359" s="10">
        <v>0</v>
      </c>
      <c r="P359" s="54"/>
      <c r="Q359" s="56">
        <f>+P359</f>
      </c>
    </row>
    <row r="360">
      <c r="A360" s="1">
        <v>120562</v>
      </c>
      <c r="B360" s="52">
        <v>223</v>
      </c>
      <c r="C360" s="53" t="inlineStr">
        <is>
          <t>SANTA URSULA</t>
        </is>
      </c>
      <c r="D360" s="57">
        <v>68</v>
      </c>
      <c r="E360" s="57">
        <v>116</v>
      </c>
      <c r="F360" s="10">
        <f>E360*0.666*24/72</f>
      </c>
      <c r="G360" s="54">
        <v>0</v>
      </c>
      <c r="H360" s="54">
        <v>0</v>
      </c>
      <c r="I360" s="54">
        <v>0</v>
      </c>
      <c r="J360" s="54">
        <v>0</v>
      </c>
      <c r="K360" s="54">
        <v>0</v>
      </c>
      <c r="L360" s="55">
        <v>0</v>
      </c>
      <c r="M360" s="54">
        <v>0</v>
      </c>
      <c r="N360" s="55">
        <v>0</v>
      </c>
      <c r="O360" s="10">
        <v>0</v>
      </c>
      <c r="P360" s="54"/>
      <c r="Q360" s="56">
        <f>+P360</f>
      </c>
    </row>
    <row r="361">
      <c r="A361" s="1">
        <v>166103</v>
      </c>
      <c r="B361" s="52">
        <v>276</v>
      </c>
      <c r="C361" s="53" t="inlineStr">
        <is>
          <t>LEYES DE REFORMA</t>
        </is>
      </c>
      <c r="D361" s="57">
        <v>21</v>
      </c>
      <c r="E361" s="57">
        <v>28</v>
      </c>
      <c r="F361" s="10">
        <f>E361*0.666*24/72</f>
      </c>
      <c r="G361" s="54">
        <v>0</v>
      </c>
      <c r="H361" s="54">
        <v>0</v>
      </c>
      <c r="I361" s="54">
        <v>0</v>
      </c>
      <c r="J361" s="54">
        <v>0</v>
      </c>
      <c r="K361" s="54">
        <v>0</v>
      </c>
      <c r="L361" s="55">
        <v>0</v>
      </c>
      <c r="M361" s="54">
        <v>0</v>
      </c>
      <c r="N361" s="55">
        <v>0</v>
      </c>
      <c r="O361" s="10">
        <v>0</v>
      </c>
      <c r="P361" s="54"/>
      <c r="Q361" s="56">
        <f>+P361</f>
      </c>
    </row>
    <row r="362">
      <c r="A362" s="1">
        <v>184163</v>
      </c>
      <c r="B362" s="52">
        <v>251</v>
      </c>
      <c r="C362" s="53" t="inlineStr">
        <is>
          <t>LA MINA</t>
        </is>
      </c>
      <c r="D362" s="57">
        <v>48</v>
      </c>
      <c r="E362" s="57">
        <v>73</v>
      </c>
      <c r="F362" s="10">
        <f>E362*0.666*24/72</f>
      </c>
      <c r="G362" s="54">
        <v>0</v>
      </c>
      <c r="H362" s="54">
        <v>0</v>
      </c>
      <c r="I362" s="54">
        <v>0</v>
      </c>
      <c r="J362" s="54">
        <v>0</v>
      </c>
      <c r="K362" s="54">
        <v>0</v>
      </c>
      <c r="L362" s="55">
        <v>0</v>
      </c>
      <c r="M362" s="54">
        <v>0</v>
      </c>
      <c r="N362" s="55">
        <v>0</v>
      </c>
      <c r="O362" s="10">
        <v>0</v>
      </c>
      <c r="P362" s="54"/>
      <c r="Q362" s="56">
        <f>+P362</f>
      </c>
    </row>
    <row r="363">
      <c r="A363" s="1">
        <v>184164</v>
      </c>
      <c r="B363" s="52">
        <v>253</v>
      </c>
      <c r="C363" s="53" t="inlineStr">
        <is>
          <t>ZACATE COLORADO</t>
        </is>
      </c>
      <c r="D363" s="57">
        <v>72</v>
      </c>
      <c r="E363" s="57">
        <v>102</v>
      </c>
      <c r="F363" s="10">
        <f>E363*0.666*24/72</f>
      </c>
      <c r="G363" s="54">
        <v>0</v>
      </c>
      <c r="H363" s="54">
        <v>0</v>
      </c>
      <c r="I363" s="54">
        <v>0</v>
      </c>
      <c r="J363" s="54">
        <v>0</v>
      </c>
      <c r="K363" s="54">
        <v>0</v>
      </c>
      <c r="L363" s="55">
        <v>0</v>
      </c>
      <c r="M363" s="54">
        <v>0</v>
      </c>
      <c r="N363" s="55">
        <v>0</v>
      </c>
      <c r="O363" s="10">
        <v>0</v>
      </c>
      <c r="P363" s="54"/>
      <c r="Q363" s="56">
        <f>+P363</f>
      </c>
    </row>
    <row r="364">
      <c r="A364" s="1">
        <v>184165</v>
      </c>
      <c r="B364" s="52">
        <v>273</v>
      </c>
      <c r="C364" s="53" t="inlineStr">
        <is>
          <t>EL CEDRAL</t>
        </is>
      </c>
      <c r="D364" s="57">
        <v>59</v>
      </c>
      <c r="E364" s="57">
        <v>73</v>
      </c>
      <c r="F364" s="10">
        <f>E364*0.666*24/72</f>
      </c>
      <c r="G364" s="54">
        <v>0</v>
      </c>
      <c r="H364" s="54">
        <v>0</v>
      </c>
      <c r="I364" s="54">
        <v>0</v>
      </c>
      <c r="J364" s="54">
        <v>0</v>
      </c>
      <c r="K364" s="54">
        <v>0</v>
      </c>
      <c r="L364" s="55">
        <v>0</v>
      </c>
      <c r="M364" s="54">
        <v>0</v>
      </c>
      <c r="N364" s="55">
        <v>0</v>
      </c>
      <c r="O364" s="10">
        <v>0</v>
      </c>
      <c r="P364" s="54"/>
      <c r="Q364" s="56">
        <f>+P364</f>
      </c>
    </row>
    <row r="365">
      <c r="A365" s="1">
        <v>278102</v>
      </c>
      <c r="B365" s="52">
        <v>169</v>
      </c>
      <c r="C365" s="53" t="inlineStr">
        <is>
          <t>EL CARMEN</t>
        </is>
      </c>
      <c r="D365" s="57">
        <v>58</v>
      </c>
      <c r="E365" s="57">
        <v>70</v>
      </c>
      <c r="F365" s="10">
        <f>E365*0.666*24/72</f>
      </c>
      <c r="G365" s="54">
        <v>0</v>
      </c>
      <c r="H365" s="54">
        <v>0</v>
      </c>
      <c r="I365" s="54">
        <v>0</v>
      </c>
      <c r="J365" s="54">
        <v>0</v>
      </c>
      <c r="K365" s="54">
        <v>0</v>
      </c>
      <c r="L365" s="55">
        <v>0</v>
      </c>
      <c r="M365" s="54">
        <v>0</v>
      </c>
      <c r="N365" s="55">
        <v>0</v>
      </c>
      <c r="O365" s="10">
        <v>0</v>
      </c>
      <c r="P365" s="54"/>
      <c r="Q365" s="56">
        <f>+P365</f>
      </c>
    </row>
    <row r="366">
      <c r="A366" s="1">
        <v>810581</v>
      </c>
      <c r="B366" s="52">
        <v>165</v>
      </c>
      <c r="C366" s="53" t="inlineStr">
        <is>
          <t>SANTA MARIA JACATEPEC</t>
        </is>
      </c>
      <c r="D366" s="57">
        <v>100</v>
      </c>
      <c r="E366" s="57">
        <v>181</v>
      </c>
      <c r="F366" s="10">
        <f>E366*0.666*24/72</f>
      </c>
      <c r="G366" s="54">
        <v>0</v>
      </c>
      <c r="H366" s="54">
        <v>0</v>
      </c>
      <c r="I366" s="54">
        <v>0</v>
      </c>
      <c r="J366" s="54">
        <v>0</v>
      </c>
      <c r="K366" s="54">
        <v>0</v>
      </c>
      <c r="L366" s="55">
        <v>0</v>
      </c>
      <c r="M366" s="54">
        <v>0</v>
      </c>
      <c r="N366" s="55">
        <v>0</v>
      </c>
      <c r="O366" s="10">
        <v>0</v>
      </c>
      <c r="P366" s="54"/>
      <c r="Q366" s="56">
        <f>+P366</f>
      </c>
    </row>
    <row r="368">
      <c r="A368" s="43" t="inlineStr">
        <is>
          <t>T O T A L</t>
        </is>
      </c>
      <c r="B368" s="44"/>
      <c r="C368" s="45">
        <f>COUNTA(A356:A366)</f>
      </c>
      <c r="D368" s="65">
        <f>SUM(D356:D366)</f>
      </c>
      <c r="E368" s="65">
        <f>SUM(E356:E366)</f>
      </c>
      <c r="F368" s="65">
        <f>SUM(F356:F366)</f>
      </c>
      <c r="G368" s="65">
        <f>SUM(G356:G366)</f>
      </c>
      <c r="H368" s="65">
        <f>SUM(H356:H366)</f>
      </c>
      <c r="I368" s="65">
        <f>SUM(I356:I366)</f>
      </c>
      <c r="J368" s="65">
        <f>SUM(J356:J366)</f>
      </c>
      <c r="K368" s="65">
        <f>SUM(K356:K366)</f>
      </c>
      <c r="L368" s="65">
        <f>SUM(L356:L366)</f>
      </c>
      <c r="M368" s="65">
        <f>SUM(M356:M366)</f>
      </c>
      <c r="N368" s="65">
        <f>SUM(N356:N366)</f>
      </c>
      <c r="O368" s="65">
        <f>SUM(O356:O366)</f>
      </c>
      <c r="P368" s="65">
        <f>SUM(P356:P366)</f>
      </c>
      <c r="Q368" s="65">
        <f>SUM(Q356:Q366)</f>
      </c>
    </row>
    <row r="369">
      <c r="A369" s="66" t="inlineStr">
        <is>
          <t>OBSERVACIONES: </t>
        </is>
      </c>
      <c r="B369" s="67"/>
      <c r="C369" s="68"/>
      <c r="D369" s="69"/>
      <c r="E369" s="69"/>
      <c r="F369" s="70"/>
      <c r="G369" s="69"/>
      <c r="H369" s="69"/>
      <c r="I369" s="69"/>
      <c r="J369" s="69"/>
      <c r="K369" s="69"/>
      <c r="L369" s="70"/>
      <c r="M369" s="71"/>
      <c r="N369" s="72"/>
      <c r="O369" s="72"/>
      <c r="P369" s="73"/>
      <c r="Q369" s="74"/>
    </row>
    <row r="370">
      <c r="P370" s="65" t="inlineStr">
        <is>
          <t>TOTAL A RECIBIR EN ALMACEN:</t>
        </is>
      </c>
      <c r="Q370" s="65">
        <f>Q368</f>
      </c>
    </row>
    <row r="373">
      <c r="B373" s="40" t="inlineStr">
        <is>
          <t>ALMACEN RURAL : VALLES CENTRALES</t>
        </is>
      </c>
      <c r="C373" s="41"/>
    </row>
    <row r="376">
      <c r="A376" s="1">
        <v>110073</v>
      </c>
      <c r="B376" s="52">
        <v>35</v>
      </c>
      <c r="C376" s="53" t="inlineStr">
        <is>
          <t>AYOQUEZCO DE ALDAMA</t>
        </is>
      </c>
      <c r="D376" s="57">
        <v>90</v>
      </c>
      <c r="E376" s="57">
        <v>126</v>
      </c>
      <c r="F376" s="10">
        <f>E376*0.666*24/72</f>
      </c>
      <c r="G376" s="54">
        <v>0</v>
      </c>
      <c r="H376" s="54">
        <v>0</v>
      </c>
      <c r="I376" s="54">
        <v>0</v>
      </c>
      <c r="J376" s="54">
        <v>0</v>
      </c>
      <c r="K376" s="54">
        <v>0</v>
      </c>
      <c r="L376" s="55">
        <v>0</v>
      </c>
      <c r="M376" s="54">
        <v>0</v>
      </c>
      <c r="N376" s="55">
        <v>0</v>
      </c>
      <c r="O376" s="10">
        <v>0</v>
      </c>
      <c r="P376" s="54"/>
      <c r="Q376" s="56">
        <f>+P376</f>
      </c>
    </row>
    <row r="377">
      <c r="A377" s="1">
        <v>135103</v>
      </c>
      <c r="B377" s="52">
        <v>142</v>
      </c>
      <c r="C377" s="53" t="inlineStr">
        <is>
          <t>SAN FELIPE TEJALAPAM</t>
        </is>
      </c>
      <c r="D377" s="57">
        <v>78</v>
      </c>
      <c r="E377" s="57">
        <v>112</v>
      </c>
      <c r="F377" s="10">
        <f>E377*0.666*24/72</f>
      </c>
      <c r="G377" s="54">
        <v>0</v>
      </c>
      <c r="H377" s="54">
        <v>0</v>
      </c>
      <c r="I377" s="54">
        <v>0</v>
      </c>
      <c r="J377" s="54">
        <v>0</v>
      </c>
      <c r="K377" s="54">
        <v>0</v>
      </c>
      <c r="L377" s="55">
        <v>0</v>
      </c>
      <c r="M377" s="54">
        <v>0</v>
      </c>
      <c r="N377" s="55">
        <v>0</v>
      </c>
      <c r="O377" s="10">
        <v>0</v>
      </c>
      <c r="P377" s="54"/>
      <c r="Q377" s="56">
        <f>+P377</f>
      </c>
    </row>
    <row r="378">
      <c r="A378" s="1">
        <v>358101</v>
      </c>
      <c r="B378" s="52">
        <v>92</v>
      </c>
      <c r="C378" s="53" t="inlineStr">
        <is>
          <t>RINCON DE TLAPACOYAN</t>
        </is>
      </c>
      <c r="D378" s="57">
        <v>84</v>
      </c>
      <c r="E378" s="57">
        <v>125</v>
      </c>
      <c r="F378" s="10">
        <f>E378*0.666*24/72</f>
      </c>
      <c r="G378" s="54">
        <v>0</v>
      </c>
      <c r="H378" s="54">
        <v>0</v>
      </c>
      <c r="I378" s="54">
        <v>0</v>
      </c>
      <c r="J378" s="54">
        <v>0</v>
      </c>
      <c r="K378" s="54">
        <v>0</v>
      </c>
      <c r="L378" s="55">
        <v>0</v>
      </c>
      <c r="M378" s="54">
        <v>0</v>
      </c>
      <c r="N378" s="55">
        <v>0</v>
      </c>
      <c r="O378" s="10">
        <v>0</v>
      </c>
      <c r="P378" s="54"/>
      <c r="Q378" s="56">
        <f>+P378</f>
      </c>
    </row>
    <row r="379">
      <c r="A379" s="1">
        <v>378102</v>
      </c>
      <c r="B379" s="52">
        <v>200</v>
      </c>
      <c r="C379" s="53" t="inlineStr">
        <is>
          <t>SANTA CRUZ MIXTEPEC</t>
        </is>
      </c>
      <c r="D379" s="57">
        <v>55</v>
      </c>
      <c r="E379" s="57">
        <v>78</v>
      </c>
      <c r="F379" s="10">
        <f>E379*0.666*24/72</f>
      </c>
      <c r="G379" s="54">
        <v>0</v>
      </c>
      <c r="H379" s="54">
        <v>0</v>
      </c>
      <c r="I379" s="54">
        <v>0</v>
      </c>
      <c r="J379" s="54">
        <v>0</v>
      </c>
      <c r="K379" s="54">
        <v>0</v>
      </c>
      <c r="L379" s="55">
        <v>0</v>
      </c>
      <c r="M379" s="54">
        <v>0</v>
      </c>
      <c r="N379" s="55">
        <v>0</v>
      </c>
      <c r="O379" s="10">
        <v>0</v>
      </c>
      <c r="P379" s="54"/>
      <c r="Q379" s="56">
        <f>+P379</f>
      </c>
    </row>
    <row r="380">
      <c r="A380" s="1">
        <v>487101</v>
      </c>
      <c r="B380" s="52">
        <v>169</v>
      </c>
      <c r="C380" s="53" t="inlineStr">
        <is>
          <t>SANTIAGO TENANGO</t>
        </is>
      </c>
      <c r="D380" s="57">
        <v>45</v>
      </c>
      <c r="E380" s="57">
        <v>64</v>
      </c>
      <c r="F380" s="10">
        <f>E380*0.666*24/72</f>
      </c>
      <c r="G380" s="54">
        <v>0</v>
      </c>
      <c r="H380" s="54">
        <v>0</v>
      </c>
      <c r="I380" s="54">
        <v>0</v>
      </c>
      <c r="J380" s="54">
        <v>0</v>
      </c>
      <c r="K380" s="54">
        <v>0</v>
      </c>
      <c r="L380" s="55">
        <v>0</v>
      </c>
      <c r="M380" s="54">
        <v>0</v>
      </c>
      <c r="N380" s="55">
        <v>0</v>
      </c>
      <c r="O380" s="10">
        <v>0</v>
      </c>
      <c r="P380" s="54"/>
      <c r="Q380" s="56">
        <f>+P380</f>
      </c>
    </row>
    <row r="382">
      <c r="A382" s="43" t="inlineStr">
        <is>
          <t>T O T A L</t>
        </is>
      </c>
      <c r="B382" s="44"/>
      <c r="C382" s="45">
        <f>COUNTA(A376:A380)</f>
      </c>
      <c r="D382" s="65">
        <f>SUM(D376:D380)</f>
      </c>
      <c r="E382" s="65">
        <f>SUM(E376:E380)</f>
      </c>
      <c r="F382" s="65">
        <f>SUM(F376:F380)</f>
      </c>
      <c r="G382" s="65">
        <f>SUM(G376:G380)</f>
      </c>
      <c r="H382" s="65">
        <f>SUM(H376:H380)</f>
      </c>
      <c r="I382" s="65">
        <f>SUM(I376:I380)</f>
      </c>
      <c r="J382" s="65">
        <f>SUM(J376:J380)</f>
      </c>
      <c r="K382" s="65">
        <f>SUM(K376:K380)</f>
      </c>
      <c r="L382" s="65">
        <f>SUM(L376:L380)</f>
      </c>
      <c r="M382" s="65">
        <f>SUM(M376:M380)</f>
      </c>
      <c r="N382" s="65">
        <f>SUM(N376:N380)</f>
      </c>
      <c r="O382" s="65">
        <f>SUM(O376:O380)</f>
      </c>
      <c r="P382" s="65">
        <f>SUM(P376:P380)</f>
      </c>
      <c r="Q382" s="65">
        <f>SUM(Q376:Q380)</f>
      </c>
    </row>
    <row r="383">
      <c r="A383" s="66" t="inlineStr">
        <is>
          <t>OBSERVACIONES: </t>
        </is>
      </c>
      <c r="B383" s="67"/>
      <c r="C383" s="68"/>
      <c r="D383" s="69"/>
      <c r="E383" s="69"/>
      <c r="F383" s="70"/>
      <c r="G383" s="69"/>
      <c r="H383" s="69"/>
      <c r="I383" s="69"/>
      <c r="J383" s="69"/>
      <c r="K383" s="69"/>
      <c r="L383" s="70"/>
      <c r="M383" s="71"/>
      <c r="N383" s="72"/>
      <c r="O383" s="72"/>
      <c r="P383" s="73"/>
      <c r="Q383" s="74"/>
    </row>
    <row r="384">
      <c r="P384" s="65" t="inlineStr">
        <is>
          <t>TOTAL A RECIBIR EN ALMACEN:</t>
        </is>
      </c>
      <c r="Q384" s="65">
        <f>Q382</f>
      </c>
    </row>
    <row r="387">
      <c r="B387" s="40" t="inlineStr">
        <is>
          <t>ALMACEN RURAL : SAN ANDRES HIDALGO</t>
        </is>
      </c>
      <c r="C387" s="41"/>
    </row>
    <row r="390">
      <c r="A390" s="1">
        <v>41106</v>
      </c>
      <c r="B390" s="52">
        <v>110</v>
      </c>
      <c r="C390" s="53" t="inlineStr">
        <is>
          <t>RIO SANTIAGO HUAUTLA</t>
        </is>
      </c>
      <c r="D390" s="57">
        <v>83</v>
      </c>
      <c r="E390" s="57">
        <v>124</v>
      </c>
      <c r="F390" s="10">
        <f>E390*0.666*24/72</f>
      </c>
      <c r="G390" s="54">
        <v>0</v>
      </c>
      <c r="H390" s="54">
        <v>0</v>
      </c>
      <c r="I390" s="54">
        <v>0</v>
      </c>
      <c r="J390" s="54">
        <v>0</v>
      </c>
      <c r="K390" s="54">
        <v>0</v>
      </c>
      <c r="L390" s="55">
        <v>0</v>
      </c>
      <c r="M390" s="54">
        <v>0</v>
      </c>
      <c r="N390" s="55">
        <v>0</v>
      </c>
      <c r="O390" s="10">
        <v>0</v>
      </c>
      <c r="P390" s="54"/>
      <c r="Q390" s="56">
        <f>+P390</f>
      </c>
    </row>
    <row r="391">
      <c r="A391" s="1">
        <v>41109</v>
      </c>
      <c r="B391" s="52">
        <v>197</v>
      </c>
      <c r="C391" s="53" t="inlineStr">
        <is>
          <t>EL CARRIZAL</t>
        </is>
      </c>
      <c r="D391" s="57">
        <v>38</v>
      </c>
      <c r="E391" s="57">
        <v>40</v>
      </c>
      <c r="F391" s="10">
        <f>E391*0.666*24/72</f>
      </c>
      <c r="G391" s="54">
        <v>0</v>
      </c>
      <c r="H391" s="54">
        <v>0</v>
      </c>
      <c r="I391" s="54">
        <v>0</v>
      </c>
      <c r="J391" s="54">
        <v>0</v>
      </c>
      <c r="K391" s="54">
        <v>0</v>
      </c>
      <c r="L391" s="55">
        <v>0</v>
      </c>
      <c r="M391" s="54">
        <v>0</v>
      </c>
      <c r="N391" s="55">
        <v>0</v>
      </c>
      <c r="O391" s="10">
        <v>0</v>
      </c>
      <c r="P391" s="54"/>
      <c r="Q391" s="56">
        <f>+P391</f>
      </c>
    </row>
    <row r="392">
      <c r="A392" s="1">
        <v>41110</v>
      </c>
      <c r="B392" s="52">
        <v>56</v>
      </c>
      <c r="C392" s="53" t="inlineStr">
        <is>
          <t>PATIO IGLESIA</t>
        </is>
      </c>
      <c r="D392" s="57">
        <v>89</v>
      </c>
      <c r="E392" s="57">
        <v>128</v>
      </c>
      <c r="F392" s="10">
        <f>E392*0.666*24/72</f>
      </c>
      <c r="G392" s="54">
        <v>0</v>
      </c>
      <c r="H392" s="54">
        <v>0</v>
      </c>
      <c r="I392" s="54">
        <v>0</v>
      </c>
      <c r="J392" s="54">
        <v>0</v>
      </c>
      <c r="K392" s="54">
        <v>0</v>
      </c>
      <c r="L392" s="55">
        <v>0</v>
      </c>
      <c r="M392" s="54">
        <v>0</v>
      </c>
      <c r="N392" s="55">
        <v>0</v>
      </c>
      <c r="O392" s="10">
        <v>0</v>
      </c>
      <c r="P392" s="54"/>
      <c r="Q392" s="56">
        <f>+P392</f>
      </c>
    </row>
    <row r="393">
      <c r="A393" s="1">
        <v>41111</v>
      </c>
      <c r="B393" s="52">
        <v>186</v>
      </c>
      <c r="C393" s="53" t="inlineStr">
        <is>
          <t>SAN ANDRES HIDALGO</t>
        </is>
      </c>
      <c r="D393" s="57">
        <v>105</v>
      </c>
      <c r="E393" s="57">
        <v>131</v>
      </c>
      <c r="F393" s="10">
        <f>E393*0.666*24/72</f>
      </c>
      <c r="G393" s="54">
        <v>0</v>
      </c>
      <c r="H393" s="54">
        <v>0</v>
      </c>
      <c r="I393" s="54">
        <v>0</v>
      </c>
      <c r="J393" s="54">
        <v>0</v>
      </c>
      <c r="K393" s="54">
        <v>0</v>
      </c>
      <c r="L393" s="55">
        <v>0</v>
      </c>
      <c r="M393" s="54">
        <v>0</v>
      </c>
      <c r="N393" s="55">
        <v>0</v>
      </c>
      <c r="O393" s="10">
        <v>0</v>
      </c>
      <c r="P393" s="54"/>
      <c r="Q393" s="56">
        <f>+P393</f>
      </c>
    </row>
    <row r="395">
      <c r="A395" s="43" t="inlineStr">
        <is>
          <t>T O T A L</t>
        </is>
      </c>
      <c r="B395" s="44"/>
      <c r="C395" s="45">
        <f>COUNTA(A390:A393)</f>
      </c>
      <c r="D395" s="65">
        <f>SUM(D390:D393)</f>
      </c>
      <c r="E395" s="65">
        <f>SUM(E390:E393)</f>
      </c>
      <c r="F395" s="65">
        <f>SUM(F390:F393)</f>
      </c>
      <c r="G395" s="65">
        <f>SUM(G390:G393)</f>
      </c>
      <c r="H395" s="65">
        <f>SUM(H390:H393)</f>
      </c>
      <c r="I395" s="65">
        <f>SUM(I390:I393)</f>
      </c>
      <c r="J395" s="65">
        <f>SUM(J390:J393)</f>
      </c>
      <c r="K395" s="65">
        <f>SUM(K390:K393)</f>
      </c>
      <c r="L395" s="65">
        <f>SUM(L390:L393)</f>
      </c>
      <c r="M395" s="65">
        <f>SUM(M390:M393)</f>
      </c>
      <c r="N395" s="65">
        <f>SUM(N390:N393)</f>
      </c>
      <c r="O395" s="65">
        <f>SUM(O390:O393)</f>
      </c>
      <c r="P395" s="65">
        <f>SUM(P390:P393)</f>
      </c>
      <c r="Q395" s="65">
        <f>SUM(Q390:Q393)</f>
      </c>
    </row>
    <row r="396">
      <c r="A396" s="66" t="inlineStr">
        <is>
          <t>OBSERVACIONES: </t>
        </is>
      </c>
      <c r="B396" s="67"/>
      <c r="C396" s="68"/>
      <c r="D396" s="69"/>
      <c r="E396" s="69"/>
      <c r="F396" s="70"/>
      <c r="G396" s="69"/>
      <c r="H396" s="69"/>
      <c r="I396" s="69"/>
      <c r="J396" s="69"/>
      <c r="K396" s="69"/>
      <c r="L396" s="70"/>
      <c r="M396" s="71"/>
      <c r="N396" s="72"/>
      <c r="O396" s="72"/>
      <c r="P396" s="73"/>
      <c r="Q396" s="74"/>
    </row>
    <row r="397">
      <c r="P397" s="65" t="inlineStr">
        <is>
          <t>TOTAL A RECIBIR EN ALMACEN:</t>
        </is>
      </c>
      <c r="Q397" s="65">
        <f>Q395</f>
      </c>
    </row>
    <row r="400">
      <c r="B400" s="40" t="inlineStr">
        <is>
          <t>ALMACEN RURAL : SAN JOSE DEL CHILAR</t>
        </is>
      </c>
      <c r="C400" s="41"/>
    </row>
    <row r="403">
      <c r="A403" s="1">
        <v>120275</v>
      </c>
      <c r="B403" s="52">
        <v>24</v>
      </c>
      <c r="C403" s="53" t="inlineStr">
        <is>
          <t>SAN PEDRO CHICOZAPOTES</t>
        </is>
      </c>
      <c r="D403" s="57">
        <v>76</v>
      </c>
      <c r="E403" s="57">
        <v>138</v>
      </c>
      <c r="F403" s="10">
        <f>E403*0.666*24/72</f>
      </c>
      <c r="G403" s="54">
        <v>0</v>
      </c>
      <c r="H403" s="54">
        <v>0</v>
      </c>
      <c r="I403" s="54">
        <v>0</v>
      </c>
      <c r="J403" s="54">
        <v>0</v>
      </c>
      <c r="K403" s="54">
        <v>0</v>
      </c>
      <c r="L403" s="55">
        <v>0</v>
      </c>
      <c r="M403" s="54">
        <v>0</v>
      </c>
      <c r="N403" s="55">
        <v>0</v>
      </c>
      <c r="O403" s="10">
        <v>0</v>
      </c>
      <c r="P403" s="54"/>
      <c r="Q403" s="56">
        <f>+P403</f>
      </c>
    </row>
    <row r="404">
      <c r="A404" s="1">
        <v>177103</v>
      </c>
      <c r="B404" s="52">
        <v>19</v>
      </c>
      <c r="C404" s="53" t="inlineStr">
        <is>
          <t>SAN JUAN COYULA</t>
        </is>
      </c>
      <c r="D404" s="57">
        <v>62</v>
      </c>
      <c r="E404" s="57">
        <v>100</v>
      </c>
      <c r="F404" s="10">
        <f>E404*0.666*24/72</f>
      </c>
      <c r="G404" s="54">
        <v>0</v>
      </c>
      <c r="H404" s="54">
        <v>0</v>
      </c>
      <c r="I404" s="54">
        <v>0</v>
      </c>
      <c r="J404" s="54">
        <v>0</v>
      </c>
      <c r="K404" s="54">
        <v>0</v>
      </c>
      <c r="L404" s="55">
        <v>0</v>
      </c>
      <c r="M404" s="54">
        <v>0</v>
      </c>
      <c r="N404" s="55">
        <v>0</v>
      </c>
      <c r="O404" s="10">
        <v>0</v>
      </c>
      <c r="P404" s="54"/>
      <c r="Q404" s="56">
        <f>+P404</f>
      </c>
    </row>
    <row r="405">
      <c r="A405" s="1">
        <v>177104</v>
      </c>
      <c r="B405" s="52">
        <v>79</v>
      </c>
      <c r="C405" s="53" t="inlineStr">
        <is>
          <t>SAN JUAN BAUTISTA CUICATLAN</t>
        </is>
      </c>
      <c r="D405" s="57">
        <v>185</v>
      </c>
      <c r="E405" s="57">
        <v>299</v>
      </c>
      <c r="F405" s="10">
        <f>E405*0.666*24/72</f>
      </c>
      <c r="G405" s="54">
        <v>0</v>
      </c>
      <c r="H405" s="54">
        <v>0</v>
      </c>
      <c r="I405" s="54">
        <v>0</v>
      </c>
      <c r="J405" s="54">
        <v>0</v>
      </c>
      <c r="K405" s="54">
        <v>0</v>
      </c>
      <c r="L405" s="55">
        <v>0</v>
      </c>
      <c r="M405" s="54">
        <v>0</v>
      </c>
      <c r="N405" s="55">
        <v>0</v>
      </c>
      <c r="O405" s="10">
        <v>0</v>
      </c>
      <c r="P405" s="54"/>
      <c r="Q405" s="56">
        <f>+P405</f>
      </c>
    </row>
    <row r="406">
      <c r="A406" s="1">
        <v>558101</v>
      </c>
      <c r="B406" s="52">
        <v>3</v>
      </c>
      <c r="C406" s="53" t="inlineStr">
        <is>
          <t>TOMELLIN</t>
        </is>
      </c>
      <c r="D406" s="57">
        <v>93</v>
      </c>
      <c r="E406" s="57">
        <v>149</v>
      </c>
      <c r="F406" s="10">
        <f>E406*0.666*24/72</f>
      </c>
      <c r="G406" s="54">
        <v>0</v>
      </c>
      <c r="H406" s="54">
        <v>0</v>
      </c>
      <c r="I406" s="54">
        <v>0</v>
      </c>
      <c r="J406" s="54">
        <v>0</v>
      </c>
      <c r="K406" s="54">
        <v>0</v>
      </c>
      <c r="L406" s="55">
        <v>0</v>
      </c>
      <c r="M406" s="54">
        <v>0</v>
      </c>
      <c r="N406" s="55">
        <v>0</v>
      </c>
      <c r="O406" s="10">
        <v>0</v>
      </c>
      <c r="P406" s="54"/>
      <c r="Q406" s="56">
        <f>+P406</f>
      </c>
    </row>
    <row r="408">
      <c r="A408" s="43" t="inlineStr">
        <is>
          <t>T O T A L</t>
        </is>
      </c>
      <c r="B408" s="44"/>
      <c r="C408" s="45">
        <f>COUNTA(A403:A406)</f>
      </c>
      <c r="D408" s="65">
        <f>SUM(D403:D406)</f>
      </c>
      <c r="E408" s="65">
        <f>SUM(E403:E406)</f>
      </c>
      <c r="F408" s="65">
        <f>SUM(F403:F406)</f>
      </c>
      <c r="G408" s="65">
        <f>SUM(G403:G406)</f>
      </c>
      <c r="H408" s="65">
        <f>SUM(H403:H406)</f>
      </c>
      <c r="I408" s="65">
        <f>SUM(I403:I406)</f>
      </c>
      <c r="J408" s="65">
        <f>SUM(J403:J406)</f>
      </c>
      <c r="K408" s="65">
        <f>SUM(K403:K406)</f>
      </c>
      <c r="L408" s="65">
        <f>SUM(L403:L406)</f>
      </c>
      <c r="M408" s="65">
        <f>SUM(M403:M406)</f>
      </c>
      <c r="N408" s="65">
        <f>SUM(N403:N406)</f>
      </c>
      <c r="O408" s="65">
        <f>SUM(O403:O406)</f>
      </c>
      <c r="P408" s="65">
        <f>SUM(P403:P406)</f>
      </c>
      <c r="Q408" s="65">
        <f>SUM(Q403:Q406)</f>
      </c>
    </row>
    <row r="409">
      <c r="A409" s="66" t="inlineStr">
        <is>
          <t>OBSERVACIONES: </t>
        </is>
      </c>
      <c r="B409" s="67"/>
      <c r="C409" s="68"/>
      <c r="D409" s="69"/>
      <c r="E409" s="69"/>
      <c r="F409" s="70"/>
      <c r="G409" s="69"/>
      <c r="H409" s="69"/>
      <c r="I409" s="69"/>
      <c r="J409" s="69"/>
      <c r="K409" s="69"/>
      <c r="L409" s="70"/>
      <c r="M409" s="71"/>
      <c r="N409" s="72"/>
      <c r="O409" s="72"/>
      <c r="P409" s="73"/>
      <c r="Q409" s="74"/>
    </row>
    <row r="410">
      <c r="P410" s="65" t="inlineStr">
        <is>
          <t>TOTAL A RECIBIR EN ALMACEN:</t>
        </is>
      </c>
      <c r="Q410" s="65">
        <f>Q408</f>
      </c>
    </row>
    <row r="413">
      <c r="B413" s="40" t="inlineStr">
        <is>
          <t>ALMACEN RURAL : TEOTITLAN DE FLORES MAGON</t>
        </is>
      </c>
      <c r="C413" s="41"/>
    </row>
    <row r="416">
      <c r="A416" s="1">
        <v>41105</v>
      </c>
      <c r="B416" s="52">
        <v>23</v>
      </c>
      <c r="C416" s="53" t="inlineStr">
        <is>
          <t>XOCHITONALCO</t>
        </is>
      </c>
      <c r="D416" s="57">
        <v>92</v>
      </c>
      <c r="E416" s="57">
        <v>118</v>
      </c>
      <c r="F416" s="10">
        <f>E416*0.666*24/72</f>
      </c>
      <c r="G416" s="54">
        <v>0</v>
      </c>
      <c r="H416" s="54">
        <v>0</v>
      </c>
      <c r="I416" s="54">
        <v>0</v>
      </c>
      <c r="J416" s="54">
        <v>0</v>
      </c>
      <c r="K416" s="54">
        <v>0</v>
      </c>
      <c r="L416" s="55">
        <v>0</v>
      </c>
      <c r="M416" s="54">
        <v>0</v>
      </c>
      <c r="N416" s="55">
        <v>0</v>
      </c>
      <c r="O416" s="10">
        <v>0</v>
      </c>
      <c r="P416" s="54"/>
      <c r="Q416" s="56">
        <f>+P416</f>
      </c>
    </row>
    <row r="417">
      <c r="A417" s="1">
        <v>120549</v>
      </c>
      <c r="B417" s="52">
        <v>12</v>
      </c>
      <c r="C417" s="53" t="inlineStr">
        <is>
          <t>SAN JUAN LOS CUES</t>
        </is>
      </c>
      <c r="D417" s="57">
        <v>78</v>
      </c>
      <c r="E417" s="57">
        <v>99</v>
      </c>
      <c r="F417" s="10">
        <f>E417*0.666*24/72</f>
      </c>
      <c r="G417" s="54">
        <v>0</v>
      </c>
      <c r="H417" s="54">
        <v>0</v>
      </c>
      <c r="I417" s="54">
        <v>0</v>
      </c>
      <c r="J417" s="54">
        <v>0</v>
      </c>
      <c r="K417" s="54">
        <v>0</v>
      </c>
      <c r="L417" s="55">
        <v>0</v>
      </c>
      <c r="M417" s="54">
        <v>0</v>
      </c>
      <c r="N417" s="55">
        <v>0</v>
      </c>
      <c r="O417" s="10">
        <v>0</v>
      </c>
      <c r="P417" s="54"/>
      <c r="Q417" s="56">
        <f>+P417</f>
      </c>
    </row>
    <row r="418">
      <c r="A418" s="1">
        <v>163101</v>
      </c>
      <c r="B418" s="52">
        <v>5</v>
      </c>
      <c r="C418" s="53" t="inlineStr">
        <is>
          <t>SAN JER NIMO TECOATL</t>
        </is>
      </c>
      <c r="D418" s="57">
        <v>38</v>
      </c>
      <c r="E418" s="57">
        <v>54</v>
      </c>
      <c r="F418" s="10">
        <f>E418*0.666*24/72</f>
      </c>
      <c r="G418" s="54">
        <v>0</v>
      </c>
      <c r="H418" s="54">
        <v>0</v>
      </c>
      <c r="I418" s="54">
        <v>0</v>
      </c>
      <c r="J418" s="54">
        <v>0</v>
      </c>
      <c r="K418" s="54">
        <v>0</v>
      </c>
      <c r="L418" s="55">
        <v>0</v>
      </c>
      <c r="M418" s="54">
        <v>0</v>
      </c>
      <c r="N418" s="55">
        <v>0</v>
      </c>
      <c r="O418" s="10">
        <v>0</v>
      </c>
      <c r="P418" s="54"/>
      <c r="Q418" s="56">
        <f>+P418</f>
      </c>
    </row>
    <row r="419">
      <c r="A419" s="1">
        <v>249101</v>
      </c>
      <c r="B419" s="52">
        <v>29</v>
      </c>
      <c r="C419" s="53" t="inlineStr">
        <is>
          <t>SAN MATEO YOLOXOCHITLAN</t>
        </is>
      </c>
      <c r="D419" s="57">
        <v>105</v>
      </c>
      <c r="E419" s="57">
        <v>124</v>
      </c>
      <c r="F419" s="10">
        <f>E419*0.666*24/72</f>
      </c>
      <c r="G419" s="54">
        <v>0</v>
      </c>
      <c r="H419" s="54">
        <v>0</v>
      </c>
      <c r="I419" s="54">
        <v>0</v>
      </c>
      <c r="J419" s="54">
        <v>0</v>
      </c>
      <c r="K419" s="54">
        <v>0</v>
      </c>
      <c r="L419" s="55">
        <v>0</v>
      </c>
      <c r="M419" s="54">
        <v>0</v>
      </c>
      <c r="N419" s="55">
        <v>0</v>
      </c>
      <c r="O419" s="10">
        <v>0</v>
      </c>
      <c r="P419" s="54"/>
      <c r="Q419" s="56">
        <f>+P419</f>
      </c>
    </row>
    <row r="420">
      <c r="A420" s="1">
        <v>249102</v>
      </c>
      <c r="B420" s="52">
        <v>32</v>
      </c>
      <c r="C420" s="53" t="inlineStr">
        <is>
          <t>LA REFORMA SAN MATEO</t>
        </is>
      </c>
      <c r="D420" s="57">
        <v>61</v>
      </c>
      <c r="E420" s="57">
        <v>82</v>
      </c>
      <c r="F420" s="10">
        <f>E420*0.666*24/72</f>
      </c>
      <c r="G420" s="54">
        <v>0</v>
      </c>
      <c r="H420" s="54">
        <v>0</v>
      </c>
      <c r="I420" s="54">
        <v>0</v>
      </c>
      <c r="J420" s="54">
        <v>0</v>
      </c>
      <c r="K420" s="54">
        <v>0</v>
      </c>
      <c r="L420" s="55">
        <v>0</v>
      </c>
      <c r="M420" s="54">
        <v>0</v>
      </c>
      <c r="N420" s="55">
        <v>0</v>
      </c>
      <c r="O420" s="10">
        <v>0</v>
      </c>
      <c r="P420" s="54"/>
      <c r="Q420" s="56">
        <f>+P420</f>
      </c>
    </row>
    <row r="421">
      <c r="A421" s="1">
        <v>545101</v>
      </c>
      <c r="B421" s="52">
        <v>101</v>
      </c>
      <c r="C421" s="53" t="inlineStr">
        <is>
          <t>TEOTITLAN DE FLORES MAGON</t>
        </is>
      </c>
      <c r="D421" s="57">
        <v>368</v>
      </c>
      <c r="E421" s="57">
        <v>535</v>
      </c>
      <c r="F421" s="10">
        <f>E421*0.666*24/72</f>
      </c>
      <c r="G421" s="54">
        <v>0</v>
      </c>
      <c r="H421" s="54">
        <v>0</v>
      </c>
      <c r="I421" s="54">
        <v>0</v>
      </c>
      <c r="J421" s="54">
        <v>0</v>
      </c>
      <c r="K421" s="54">
        <v>0</v>
      </c>
      <c r="L421" s="55">
        <v>0</v>
      </c>
      <c r="M421" s="54">
        <v>0</v>
      </c>
      <c r="N421" s="55">
        <v>0</v>
      </c>
      <c r="O421" s="10">
        <v>0</v>
      </c>
      <c r="P421" s="54"/>
      <c r="Q421" s="56">
        <f>+P421</f>
      </c>
    </row>
    <row r="423">
      <c r="A423" s="43" t="inlineStr">
        <is>
          <t>T O T A L</t>
        </is>
      </c>
      <c r="B423" s="44"/>
      <c r="C423" s="45">
        <f>COUNTA(A416:A421)</f>
      </c>
      <c r="D423" s="65">
        <f>SUM(D416:D421)</f>
      </c>
      <c r="E423" s="65">
        <f>SUM(E416:E421)</f>
      </c>
      <c r="F423" s="65">
        <f>SUM(F416:F421)</f>
      </c>
      <c r="G423" s="65">
        <f>SUM(G416:G421)</f>
      </c>
      <c r="H423" s="65">
        <f>SUM(H416:H421)</f>
      </c>
      <c r="I423" s="65">
        <f>SUM(I416:I421)</f>
      </c>
      <c r="J423" s="65">
        <f>SUM(J416:J421)</f>
      </c>
      <c r="K423" s="65">
        <f>SUM(K416:K421)</f>
      </c>
      <c r="L423" s="65">
        <f>SUM(L416:L421)</f>
      </c>
      <c r="M423" s="65">
        <f>SUM(M416:M421)</f>
      </c>
      <c r="N423" s="65">
        <f>SUM(N416:N421)</f>
      </c>
      <c r="O423" s="65">
        <f>SUM(O416:O421)</f>
      </c>
      <c r="P423" s="65">
        <f>SUM(P416:P421)</f>
      </c>
      <c r="Q423" s="65">
        <f>SUM(Q416:Q421)</f>
      </c>
    </row>
    <row r="424">
      <c r="A424" s="66" t="inlineStr">
        <is>
          <t>OBSERVACIONES: </t>
        </is>
      </c>
      <c r="B424" s="67"/>
      <c r="C424" s="68"/>
      <c r="D424" s="69"/>
      <c r="E424" s="69"/>
      <c r="F424" s="70"/>
      <c r="G424" s="69"/>
      <c r="H424" s="69"/>
      <c r="I424" s="69"/>
      <c r="J424" s="69"/>
      <c r="K424" s="69"/>
      <c r="L424" s="70"/>
      <c r="M424" s="71"/>
      <c r="N424" s="72"/>
      <c r="O424" s="72"/>
      <c r="P424" s="73"/>
      <c r="Q424" s="74"/>
    </row>
    <row r="425">
      <c r="P425" s="65" t="inlineStr">
        <is>
          <t>TOTAL A RECIBIR EN ALMACEN:</t>
        </is>
      </c>
      <c r="Q425" s="65">
        <f>Q423</f>
      </c>
    </row>
    <row r="428">
      <c r="B428" s="40" t="inlineStr">
        <is>
          <t>ALMACEN RURAL : AYUTLA MIXES</t>
        </is>
      </c>
      <c r="C428" s="41"/>
    </row>
    <row r="431">
      <c r="A431" s="1">
        <v>31104</v>
      </c>
      <c r="B431" s="52">
        <v>4</v>
      </c>
      <c r="C431" s="53" t="inlineStr">
        <is>
          <t>TAMAZUL PAM DEL ESP RITU SANTO</t>
        </is>
      </c>
      <c r="D431" s="57">
        <v>48</v>
      </c>
      <c r="E431" s="57">
        <v>67</v>
      </c>
      <c r="F431" s="10">
        <f>E431*0.666*24/72</f>
      </c>
      <c r="G431" s="54">
        <v>0</v>
      </c>
      <c r="H431" s="54">
        <v>0</v>
      </c>
      <c r="I431" s="54">
        <v>0</v>
      </c>
      <c r="J431" s="54">
        <v>0</v>
      </c>
      <c r="K431" s="54">
        <v>0</v>
      </c>
      <c r="L431" s="55">
        <v>0</v>
      </c>
      <c r="M431" s="54">
        <v>0</v>
      </c>
      <c r="N431" s="55">
        <v>0</v>
      </c>
      <c r="O431" s="10">
        <v>0</v>
      </c>
      <c r="P431" s="54"/>
      <c r="Q431" s="56">
        <f>+P431</f>
      </c>
    </row>
    <row r="432">
      <c r="A432" s="1">
        <v>120281</v>
      </c>
      <c r="B432" s="52">
        <v>9</v>
      </c>
      <c r="C432" s="53" t="inlineStr">
        <is>
          <t>SANTA MARIA TLAHUITOLTEPEC</t>
        </is>
      </c>
      <c r="D432" s="57">
        <v>283</v>
      </c>
      <c r="E432" s="57">
        <v>390</v>
      </c>
      <c r="F432" s="10">
        <f>E432*0.666*24/72</f>
      </c>
      <c r="G432" s="54">
        <v>0</v>
      </c>
      <c r="H432" s="54">
        <v>0</v>
      </c>
      <c r="I432" s="54">
        <v>0</v>
      </c>
      <c r="J432" s="54">
        <v>0</v>
      </c>
      <c r="K432" s="54">
        <v>0</v>
      </c>
      <c r="L432" s="55">
        <v>0</v>
      </c>
      <c r="M432" s="54">
        <v>0</v>
      </c>
      <c r="N432" s="55">
        <v>0</v>
      </c>
      <c r="O432" s="10">
        <v>0</v>
      </c>
      <c r="P432" s="54"/>
      <c r="Q432" s="56">
        <f>+P432</f>
      </c>
    </row>
    <row r="433">
      <c r="A433" s="1">
        <v>437101</v>
      </c>
      <c r="B433" s="52">
        <v>6</v>
      </c>
      <c r="C433" s="53" t="inlineStr">
        <is>
          <t>SANTA MAR A YACOCHI</t>
        </is>
      </c>
      <c r="D433" s="57">
        <v>41</v>
      </c>
      <c r="E433" s="57">
        <v>51</v>
      </c>
      <c r="F433" s="10">
        <f>E433*0.666*24/72</f>
      </c>
      <c r="G433" s="54">
        <v>0</v>
      </c>
      <c r="H433" s="54">
        <v>0</v>
      </c>
      <c r="I433" s="54">
        <v>0</v>
      </c>
      <c r="J433" s="54">
        <v>0</v>
      </c>
      <c r="K433" s="54">
        <v>0</v>
      </c>
      <c r="L433" s="55">
        <v>0</v>
      </c>
      <c r="M433" s="54">
        <v>0</v>
      </c>
      <c r="N433" s="55">
        <v>0</v>
      </c>
      <c r="O433" s="10">
        <v>0</v>
      </c>
      <c r="P433" s="54"/>
      <c r="Q433" s="56">
        <f>+P433</f>
      </c>
    </row>
    <row r="434">
      <c r="A434" s="1">
        <v>437102</v>
      </c>
      <c r="B434" s="52">
        <v>110</v>
      </c>
      <c r="C434" s="53" t="inlineStr">
        <is>
          <t>SANTA CRUZ</t>
        </is>
      </c>
      <c r="D434" s="57">
        <v>63</v>
      </c>
      <c r="E434" s="57">
        <v>75</v>
      </c>
      <c r="F434" s="10">
        <f>E434*0.666*24/72</f>
      </c>
      <c r="G434" s="54">
        <v>0</v>
      </c>
      <c r="H434" s="54">
        <v>0</v>
      </c>
      <c r="I434" s="54">
        <v>0</v>
      </c>
      <c r="J434" s="54">
        <v>0</v>
      </c>
      <c r="K434" s="54">
        <v>0</v>
      </c>
      <c r="L434" s="55">
        <v>0</v>
      </c>
      <c r="M434" s="54">
        <v>0</v>
      </c>
      <c r="N434" s="55">
        <v>0</v>
      </c>
      <c r="O434" s="10">
        <v>0</v>
      </c>
      <c r="P434" s="54"/>
      <c r="Q434" s="56">
        <f>+P434</f>
      </c>
    </row>
    <row r="436">
      <c r="A436" s="43" t="inlineStr">
        <is>
          <t>T O T A L</t>
        </is>
      </c>
      <c r="B436" s="44"/>
      <c r="C436" s="45">
        <f>COUNTA(A431:A434)</f>
      </c>
      <c r="D436" s="65">
        <f>SUM(D431:D434)</f>
      </c>
      <c r="E436" s="65">
        <f>SUM(E431:E434)</f>
      </c>
      <c r="F436" s="65">
        <f>SUM(F431:F434)</f>
      </c>
      <c r="G436" s="65">
        <f>SUM(G431:G434)</f>
      </c>
      <c r="H436" s="65">
        <f>SUM(H431:H434)</f>
      </c>
      <c r="I436" s="65">
        <f>SUM(I431:I434)</f>
      </c>
      <c r="J436" s="65">
        <f>SUM(J431:J434)</f>
      </c>
      <c r="K436" s="65">
        <f>SUM(K431:K434)</f>
      </c>
      <c r="L436" s="65">
        <f>SUM(L431:L434)</f>
      </c>
      <c r="M436" s="65">
        <f>SUM(M431:M434)</f>
      </c>
      <c r="N436" s="65">
        <f>SUM(N431:N434)</f>
      </c>
      <c r="O436" s="65">
        <f>SUM(O431:O434)</f>
      </c>
      <c r="P436" s="65">
        <f>SUM(P431:P434)</f>
      </c>
      <c r="Q436" s="65">
        <f>SUM(Q431:Q434)</f>
      </c>
    </row>
    <row r="437">
      <c r="A437" s="66" t="inlineStr">
        <is>
          <t>OBSERVACIONES: </t>
        </is>
      </c>
      <c r="B437" s="67"/>
      <c r="C437" s="68"/>
      <c r="D437" s="69"/>
      <c r="E437" s="69"/>
      <c r="F437" s="70"/>
      <c r="G437" s="69"/>
      <c r="H437" s="69"/>
      <c r="I437" s="69"/>
      <c r="J437" s="69"/>
      <c r="K437" s="69"/>
      <c r="L437" s="70"/>
      <c r="M437" s="71"/>
      <c r="N437" s="72"/>
      <c r="O437" s="72"/>
      <c r="P437" s="73"/>
      <c r="Q437" s="74"/>
    </row>
    <row r="438">
      <c r="P438" s="65" t="inlineStr">
        <is>
          <t>TOTAL A RECIBIR EN ALMACEN:</t>
        </is>
      </c>
      <c r="Q438" s="65">
        <f>Q436</f>
      </c>
    </row>
    <row r="441">
      <c r="B441" s="40" t="inlineStr">
        <is>
          <t>ALMACEN RURAL : IXTLAN DE JUAREZ</t>
        </is>
      </c>
      <c r="C441" s="41"/>
    </row>
    <row r="444">
      <c r="A444" s="1">
        <v>42101</v>
      </c>
      <c r="B444" s="52">
        <v>14</v>
      </c>
      <c r="C444" s="53" t="inlineStr">
        <is>
          <t>IXTL N DE JU REZ</t>
        </is>
      </c>
      <c r="D444" s="57">
        <v>136</v>
      </c>
      <c r="E444" s="57">
        <v>201</v>
      </c>
      <c r="F444" s="10">
        <f>E444*0.666*24/72</f>
      </c>
      <c r="G444" s="54">
        <v>0</v>
      </c>
      <c r="H444" s="54">
        <v>0</v>
      </c>
      <c r="I444" s="54">
        <v>0</v>
      </c>
      <c r="J444" s="54">
        <v>0</v>
      </c>
      <c r="K444" s="54">
        <v>0</v>
      </c>
      <c r="L444" s="55">
        <v>0</v>
      </c>
      <c r="M444" s="54">
        <v>0</v>
      </c>
      <c r="N444" s="55">
        <v>0</v>
      </c>
      <c r="O444" s="10">
        <v>0</v>
      </c>
      <c r="P444" s="54"/>
      <c r="Q444" s="56">
        <f>+P444</f>
      </c>
    </row>
    <row r="445">
      <c r="A445" s="1">
        <v>42102</v>
      </c>
      <c r="B445" s="52">
        <v>9</v>
      </c>
      <c r="C445" s="53" t="inlineStr">
        <is>
          <t>SANTA CRUZ YAGAVILA</t>
        </is>
      </c>
      <c r="D445" s="57">
        <v>81</v>
      </c>
      <c r="E445" s="57">
        <v>101</v>
      </c>
      <c r="F445" s="10">
        <f>E445*0.666*24/72</f>
      </c>
      <c r="G445" s="54">
        <v>0</v>
      </c>
      <c r="H445" s="54">
        <v>0</v>
      </c>
      <c r="I445" s="54">
        <v>0</v>
      </c>
      <c r="J445" s="54">
        <v>0</v>
      </c>
      <c r="K445" s="54">
        <v>0</v>
      </c>
      <c r="L445" s="55">
        <v>0</v>
      </c>
      <c r="M445" s="54">
        <v>0</v>
      </c>
      <c r="N445" s="55">
        <v>0</v>
      </c>
      <c r="O445" s="10">
        <v>0</v>
      </c>
      <c r="P445" s="54"/>
      <c r="Q445" s="56">
        <f>+P445</f>
      </c>
    </row>
    <row r="446">
      <c r="A446" s="1">
        <v>97101</v>
      </c>
      <c r="B446" s="52">
        <v>98</v>
      </c>
      <c r="C446" s="53" t="inlineStr">
        <is>
          <t>SANTO DOMINGO YOJOVI</t>
        </is>
      </c>
      <c r="D446" s="57">
        <v>51</v>
      </c>
      <c r="E446" s="57">
        <v>64</v>
      </c>
      <c r="F446" s="10">
        <f>E446*0.666*24/72</f>
      </c>
      <c r="G446" s="54">
        <v>0</v>
      </c>
      <c r="H446" s="54">
        <v>0</v>
      </c>
      <c r="I446" s="54">
        <v>0</v>
      </c>
      <c r="J446" s="54">
        <v>0</v>
      </c>
      <c r="K446" s="54">
        <v>0</v>
      </c>
      <c r="L446" s="55">
        <v>0</v>
      </c>
      <c r="M446" s="54">
        <v>0</v>
      </c>
      <c r="N446" s="55">
        <v>0</v>
      </c>
      <c r="O446" s="10">
        <v>0</v>
      </c>
      <c r="P446" s="54"/>
      <c r="Q446" s="56">
        <f>+P446</f>
      </c>
    </row>
    <row r="447">
      <c r="A447" s="1">
        <v>120576</v>
      </c>
      <c r="B447" s="52">
        <v>16</v>
      </c>
      <c r="C447" s="53" t="inlineStr">
        <is>
          <t>SAN MIGUEL TALEA DECASTRO</t>
        </is>
      </c>
      <c r="D447" s="57">
        <v>78</v>
      </c>
      <c r="E447" s="57">
        <v>101</v>
      </c>
      <c r="F447" s="10">
        <f>E447*0.666*24/72</f>
      </c>
      <c r="G447" s="54">
        <v>0</v>
      </c>
      <c r="H447" s="54">
        <v>0</v>
      </c>
      <c r="I447" s="54">
        <v>0</v>
      </c>
      <c r="J447" s="54">
        <v>0</v>
      </c>
      <c r="K447" s="54">
        <v>0</v>
      </c>
      <c r="L447" s="55">
        <v>0</v>
      </c>
      <c r="M447" s="54">
        <v>0</v>
      </c>
      <c r="N447" s="55">
        <v>0</v>
      </c>
      <c r="O447" s="10">
        <v>0</v>
      </c>
      <c r="P447" s="54"/>
      <c r="Q447" s="56">
        <f>+P447</f>
      </c>
    </row>
    <row r="448">
      <c r="A448" s="1">
        <v>173101</v>
      </c>
      <c r="B448" s="52">
        <v>12</v>
      </c>
      <c r="C448" s="53" t="inlineStr">
        <is>
          <t>SAN JUAN ATEPEC</t>
        </is>
      </c>
      <c r="D448" s="57">
        <v>85</v>
      </c>
      <c r="E448" s="57">
        <v>119</v>
      </c>
      <c r="F448" s="10">
        <f>E448*0.666*24/72</f>
      </c>
      <c r="G448" s="54">
        <v>0</v>
      </c>
      <c r="H448" s="54">
        <v>0</v>
      </c>
      <c r="I448" s="54">
        <v>0</v>
      </c>
      <c r="J448" s="54">
        <v>0</v>
      </c>
      <c r="K448" s="54">
        <v>0</v>
      </c>
      <c r="L448" s="55">
        <v>0</v>
      </c>
      <c r="M448" s="54">
        <v>0</v>
      </c>
      <c r="N448" s="55">
        <v>0</v>
      </c>
      <c r="O448" s="10">
        <v>0</v>
      </c>
      <c r="P448" s="54"/>
      <c r="Q448" s="56">
        <f>+P448</f>
      </c>
    </row>
    <row r="449">
      <c r="A449" s="1">
        <v>247101</v>
      </c>
      <c r="B449" s="52">
        <v>1</v>
      </c>
      <c r="C449" s="53" t="inlineStr">
        <is>
          <t>CAPULALPAM DE MENDEZ</t>
        </is>
      </c>
      <c r="D449" s="57">
        <v>57</v>
      </c>
      <c r="E449" s="57">
        <v>78</v>
      </c>
      <c r="F449" s="10">
        <f>E449*0.666*24/72</f>
      </c>
      <c r="G449" s="54">
        <v>0</v>
      </c>
      <c r="H449" s="54">
        <v>0</v>
      </c>
      <c r="I449" s="54">
        <v>0</v>
      </c>
      <c r="J449" s="54">
        <v>0</v>
      </c>
      <c r="K449" s="54">
        <v>0</v>
      </c>
      <c r="L449" s="55">
        <v>0</v>
      </c>
      <c r="M449" s="54">
        <v>0</v>
      </c>
      <c r="N449" s="55">
        <v>0</v>
      </c>
      <c r="O449" s="10">
        <v>0</v>
      </c>
      <c r="P449" s="54"/>
      <c r="Q449" s="56">
        <f>+P449</f>
      </c>
    </row>
    <row r="450">
      <c r="A450" s="1">
        <v>262103</v>
      </c>
      <c r="B450" s="52">
        <v>39</v>
      </c>
      <c r="C450" s="53" t="inlineStr">
        <is>
          <t>SAN MIGUEL AMATLAN</t>
        </is>
      </c>
      <c r="D450" s="57">
        <v>24</v>
      </c>
      <c r="E450" s="57">
        <v>34</v>
      </c>
      <c r="F450" s="10">
        <f>E450*0.666*24/72</f>
      </c>
      <c r="G450" s="54">
        <v>0</v>
      </c>
      <c r="H450" s="54">
        <v>0</v>
      </c>
      <c r="I450" s="54">
        <v>0</v>
      </c>
      <c r="J450" s="54">
        <v>0</v>
      </c>
      <c r="K450" s="54">
        <v>0</v>
      </c>
      <c r="L450" s="55">
        <v>0</v>
      </c>
      <c r="M450" s="54">
        <v>0</v>
      </c>
      <c r="N450" s="55">
        <v>0</v>
      </c>
      <c r="O450" s="10">
        <v>0</v>
      </c>
      <c r="P450" s="54"/>
      <c r="Q450" s="56">
        <f>+P450</f>
      </c>
    </row>
    <row r="451">
      <c r="A451" s="1">
        <v>419101</v>
      </c>
      <c r="B451" s="52">
        <v>4</v>
      </c>
      <c r="C451" s="53" t="inlineStr">
        <is>
          <t>SANTA MARIA JALTIANGUIS</t>
        </is>
      </c>
      <c r="D451" s="57">
        <v>21</v>
      </c>
      <c r="E451" s="57">
        <v>33</v>
      </c>
      <c r="F451" s="10">
        <f>E451*0.666*24/72</f>
      </c>
      <c r="G451" s="54">
        <v>0</v>
      </c>
      <c r="H451" s="54">
        <v>0</v>
      </c>
      <c r="I451" s="54">
        <v>0</v>
      </c>
      <c r="J451" s="54">
        <v>0</v>
      </c>
      <c r="K451" s="54">
        <v>0</v>
      </c>
      <c r="L451" s="55">
        <v>0</v>
      </c>
      <c r="M451" s="54">
        <v>0</v>
      </c>
      <c r="N451" s="55">
        <v>0</v>
      </c>
      <c r="O451" s="10">
        <v>0</v>
      </c>
      <c r="P451" s="54"/>
      <c r="Q451" s="56">
        <f>+P451</f>
      </c>
    </row>
    <row r="452">
      <c r="A452" s="1">
        <v>458101</v>
      </c>
      <c r="B452" s="52">
        <v>21</v>
      </c>
      <c r="C452" s="53" t="inlineStr">
        <is>
          <t>SANTIAGO COMALTEPEC</t>
        </is>
      </c>
      <c r="D452" s="57">
        <v>26</v>
      </c>
      <c r="E452" s="57">
        <v>40</v>
      </c>
      <c r="F452" s="10">
        <f>E452*0.666*24/72</f>
      </c>
      <c r="G452" s="54">
        <v>0</v>
      </c>
      <c r="H452" s="54">
        <v>0</v>
      </c>
      <c r="I452" s="54">
        <v>0</v>
      </c>
      <c r="J452" s="54">
        <v>0</v>
      </c>
      <c r="K452" s="54">
        <v>0</v>
      </c>
      <c r="L452" s="55">
        <v>0</v>
      </c>
      <c r="M452" s="54">
        <v>0</v>
      </c>
      <c r="N452" s="55">
        <v>0</v>
      </c>
      <c r="O452" s="10">
        <v>0</v>
      </c>
      <c r="P452" s="54"/>
      <c r="Q452" s="56">
        <f>+P452</f>
      </c>
    </row>
    <row r="453">
      <c r="A453" s="1">
        <v>473101</v>
      </c>
      <c r="B453" s="52">
        <v>19</v>
      </c>
      <c r="C453" s="53" t="inlineStr">
        <is>
          <t>SANTIAGO LAXOPA</t>
        </is>
      </c>
      <c r="D453" s="57">
        <v>48</v>
      </c>
      <c r="E453" s="57">
        <v>64</v>
      </c>
      <c r="F453" s="10">
        <f>E453*0.666*24/72</f>
      </c>
      <c r="G453" s="54">
        <v>0</v>
      </c>
      <c r="H453" s="54">
        <v>0</v>
      </c>
      <c r="I453" s="54">
        <v>0</v>
      </c>
      <c r="J453" s="54">
        <v>0</v>
      </c>
      <c r="K453" s="54">
        <v>0</v>
      </c>
      <c r="L453" s="55">
        <v>0</v>
      </c>
      <c r="M453" s="54">
        <v>0</v>
      </c>
      <c r="N453" s="55">
        <v>0</v>
      </c>
      <c r="O453" s="10">
        <v>0</v>
      </c>
      <c r="P453" s="54"/>
      <c r="Q453" s="56">
        <f>+P453</f>
      </c>
    </row>
    <row r="454">
      <c r="A454" s="1">
        <v>541101</v>
      </c>
      <c r="B454" s="52">
        <v>17</v>
      </c>
      <c r="C454" s="53" t="inlineStr">
        <is>
          <t>TANETZE DE ZARAGOZA</t>
        </is>
      </c>
      <c r="D454" s="57">
        <v>61</v>
      </c>
      <c r="E454" s="57">
        <v>78</v>
      </c>
      <c r="F454" s="10">
        <f>E454*0.666*24/72</f>
      </c>
      <c r="G454" s="54">
        <v>0</v>
      </c>
      <c r="H454" s="54">
        <v>0</v>
      </c>
      <c r="I454" s="54">
        <v>0</v>
      </c>
      <c r="J454" s="54">
        <v>0</v>
      </c>
      <c r="K454" s="54">
        <v>0</v>
      </c>
      <c r="L454" s="55">
        <v>0</v>
      </c>
      <c r="M454" s="54">
        <v>0</v>
      </c>
      <c r="N454" s="55">
        <v>0</v>
      </c>
      <c r="O454" s="10">
        <v>0</v>
      </c>
      <c r="P454" s="54"/>
      <c r="Q454" s="56">
        <f>+P454</f>
      </c>
    </row>
    <row r="456">
      <c r="A456" s="43" t="inlineStr">
        <is>
          <t>T O T A L</t>
        </is>
      </c>
      <c r="B456" s="44"/>
      <c r="C456" s="45">
        <f>COUNTA(A444:A454)</f>
      </c>
      <c r="D456" s="65">
        <f>SUM(D444:D454)</f>
      </c>
      <c r="E456" s="65">
        <f>SUM(E444:E454)</f>
      </c>
      <c r="F456" s="65">
        <f>SUM(F444:F454)</f>
      </c>
      <c r="G456" s="65">
        <f>SUM(G444:G454)</f>
      </c>
      <c r="H456" s="65">
        <f>SUM(H444:H454)</f>
      </c>
      <c r="I456" s="65">
        <f>SUM(I444:I454)</f>
      </c>
      <c r="J456" s="65">
        <f>SUM(J444:J454)</f>
      </c>
      <c r="K456" s="65">
        <f>SUM(K444:K454)</f>
      </c>
      <c r="L456" s="65">
        <f>SUM(L444:L454)</f>
      </c>
      <c r="M456" s="65">
        <f>SUM(M444:M454)</f>
      </c>
      <c r="N456" s="65">
        <f>SUM(N444:N454)</f>
      </c>
      <c r="O456" s="65">
        <f>SUM(O444:O454)</f>
      </c>
      <c r="P456" s="65">
        <f>SUM(P444:P454)</f>
      </c>
      <c r="Q456" s="65">
        <f>SUM(Q444:Q454)</f>
      </c>
    </row>
    <row r="457">
      <c r="A457" s="66" t="inlineStr">
        <is>
          <t>OBSERVACIONES: </t>
        </is>
      </c>
      <c r="B457" s="67"/>
      <c r="C457" s="68"/>
      <c r="D457" s="69"/>
      <c r="E457" s="69"/>
      <c r="F457" s="70"/>
      <c r="G457" s="69"/>
      <c r="H457" s="69"/>
      <c r="I457" s="69"/>
      <c r="J457" s="69"/>
      <c r="K457" s="69"/>
      <c r="L457" s="70"/>
      <c r="M457" s="71"/>
      <c r="N457" s="72"/>
      <c r="O457" s="72"/>
      <c r="P457" s="73"/>
      <c r="Q457" s="74"/>
    </row>
    <row r="458">
      <c r="P458" s="65" t="inlineStr">
        <is>
          <t>TOTAL A RECIBIR EN ALMACEN:</t>
        </is>
      </c>
      <c r="Q458" s="65">
        <f>Q456</f>
      </c>
    </row>
    <row r="461">
      <c r="B461" s="40" t="inlineStr">
        <is>
          <t>ALMACEN RURAL : MAGDALENA OCOTLAN</t>
        </is>
      </c>
      <c r="C461" s="41"/>
    </row>
    <row r="464">
      <c r="A464" s="1">
        <v>28106</v>
      </c>
      <c r="B464" s="52">
        <v>33</v>
      </c>
      <c r="C464" s="53" t="inlineStr">
        <is>
          <t>MONTE DEL TORO</t>
        </is>
      </c>
      <c r="D464" s="57">
        <v>33</v>
      </c>
      <c r="E464" s="57">
        <v>48</v>
      </c>
      <c r="F464" s="10">
        <f>E464*0.666*24/72</f>
      </c>
      <c r="G464" s="54">
        <v>0</v>
      </c>
      <c r="H464" s="54">
        <v>0</v>
      </c>
      <c r="I464" s="54">
        <v>0</v>
      </c>
      <c r="J464" s="54">
        <v>0</v>
      </c>
      <c r="K464" s="54">
        <v>0</v>
      </c>
      <c r="L464" s="55">
        <v>0</v>
      </c>
      <c r="M464" s="54">
        <v>0</v>
      </c>
      <c r="N464" s="55">
        <v>0</v>
      </c>
      <c r="O464" s="10">
        <v>0</v>
      </c>
      <c r="P464" s="54"/>
      <c r="Q464" s="56">
        <f>+P464</f>
      </c>
    </row>
    <row r="465">
      <c r="A465" s="1">
        <v>101102</v>
      </c>
      <c r="B465" s="52">
        <v>108</v>
      </c>
      <c r="C465" s="53" t="inlineStr">
        <is>
          <t>SANTA CRUZ NEXILA</t>
        </is>
      </c>
      <c r="D465" s="57">
        <v>17</v>
      </c>
      <c r="E465" s="57">
        <v>26</v>
      </c>
      <c r="F465" s="10">
        <f>E465*0.666*24/72</f>
      </c>
      <c r="G465" s="54">
        <v>0</v>
      </c>
      <c r="H465" s="54">
        <v>0</v>
      </c>
      <c r="I465" s="54">
        <v>0</v>
      </c>
      <c r="J465" s="54">
        <v>0</v>
      </c>
      <c r="K465" s="54">
        <v>0</v>
      </c>
      <c r="L465" s="55">
        <v>0</v>
      </c>
      <c r="M465" s="54">
        <v>0</v>
      </c>
      <c r="N465" s="55">
        <v>0</v>
      </c>
      <c r="O465" s="10">
        <v>0</v>
      </c>
      <c r="P465" s="54"/>
      <c r="Q465" s="56">
        <f>+P465</f>
      </c>
    </row>
    <row r="466">
      <c r="A466" s="1">
        <v>120360</v>
      </c>
      <c r="B466" s="52">
        <v>30</v>
      </c>
      <c r="C466" s="53" t="inlineStr">
        <is>
          <t>OCOTES  LOS</t>
        </is>
      </c>
      <c r="D466" s="57">
        <v>50</v>
      </c>
      <c r="E466" s="57">
        <v>62</v>
      </c>
      <c r="F466" s="10">
        <f>E466*0.666*24/72</f>
      </c>
      <c r="G466" s="54">
        <v>0</v>
      </c>
      <c r="H466" s="54">
        <v>0</v>
      </c>
      <c r="I466" s="54">
        <v>0</v>
      </c>
      <c r="J466" s="54">
        <v>0</v>
      </c>
      <c r="K466" s="54">
        <v>0</v>
      </c>
      <c r="L466" s="55">
        <v>0</v>
      </c>
      <c r="M466" s="54">
        <v>0</v>
      </c>
      <c r="N466" s="55">
        <v>0</v>
      </c>
      <c r="O466" s="10">
        <v>0</v>
      </c>
      <c r="P466" s="54"/>
      <c r="Q466" s="56">
        <f>+P466</f>
      </c>
    </row>
    <row r="467">
      <c r="A467" s="1">
        <v>301101</v>
      </c>
      <c r="B467" s="52">
        <v>46</v>
      </c>
      <c r="C467" s="53" t="inlineStr">
        <is>
          <t>SAN PEDRO APOSTOL</t>
        </is>
      </c>
      <c r="D467" s="57">
        <v>43</v>
      </c>
      <c r="E467" s="57">
        <v>56</v>
      </c>
      <c r="F467" s="10">
        <f>E467*0.666*24/72</f>
      </c>
      <c r="G467" s="54">
        <v>0</v>
      </c>
      <c r="H467" s="54">
        <v>0</v>
      </c>
      <c r="I467" s="54">
        <v>0</v>
      </c>
      <c r="J467" s="54">
        <v>0</v>
      </c>
      <c r="K467" s="54">
        <v>0</v>
      </c>
      <c r="L467" s="55">
        <v>0</v>
      </c>
      <c r="M467" s="54">
        <v>0</v>
      </c>
      <c r="N467" s="55">
        <v>0</v>
      </c>
      <c r="O467" s="10">
        <v>0</v>
      </c>
      <c r="P467" s="54"/>
      <c r="Q467" s="56">
        <f>+P467</f>
      </c>
    </row>
    <row r="468">
      <c r="A468" s="1">
        <v>561102</v>
      </c>
      <c r="B468" s="52">
        <v>7</v>
      </c>
      <c r="C468" s="53" t="inlineStr">
        <is>
          <t>YAXE</t>
        </is>
      </c>
      <c r="D468" s="57">
        <v>60</v>
      </c>
      <c r="E468" s="57">
        <v>67</v>
      </c>
      <c r="F468" s="10">
        <f>E468*0.666*24/72</f>
      </c>
      <c r="G468" s="54">
        <v>0</v>
      </c>
      <c r="H468" s="54">
        <v>0</v>
      </c>
      <c r="I468" s="54">
        <v>0</v>
      </c>
      <c r="J468" s="54">
        <v>0</v>
      </c>
      <c r="K468" s="54">
        <v>0</v>
      </c>
      <c r="L468" s="55">
        <v>0</v>
      </c>
      <c r="M468" s="54">
        <v>0</v>
      </c>
      <c r="N468" s="55">
        <v>0</v>
      </c>
      <c r="O468" s="10">
        <v>0</v>
      </c>
      <c r="P468" s="54"/>
      <c r="Q468" s="56">
        <f>+P468</f>
      </c>
    </row>
    <row r="470">
      <c r="A470" s="43" t="inlineStr">
        <is>
          <t>T O T A L</t>
        </is>
      </c>
      <c r="B470" s="44"/>
      <c r="C470" s="45">
        <f>COUNTA(A464:A468)</f>
      </c>
      <c r="D470" s="65">
        <f>SUM(D464:D468)</f>
      </c>
      <c r="E470" s="65">
        <f>SUM(E464:E468)</f>
      </c>
      <c r="F470" s="65">
        <f>SUM(F464:F468)</f>
      </c>
      <c r="G470" s="65">
        <f>SUM(G464:G468)</f>
      </c>
      <c r="H470" s="65">
        <f>SUM(H464:H468)</f>
      </c>
      <c r="I470" s="65">
        <f>SUM(I464:I468)</f>
      </c>
      <c r="J470" s="65">
        <f>SUM(J464:J468)</f>
      </c>
      <c r="K470" s="65">
        <f>SUM(K464:K468)</f>
      </c>
      <c r="L470" s="65">
        <f>SUM(L464:L468)</f>
      </c>
      <c r="M470" s="65">
        <f>SUM(M464:M468)</f>
      </c>
      <c r="N470" s="65">
        <f>SUM(N464:N468)</f>
      </c>
      <c r="O470" s="65">
        <f>SUM(O464:O468)</f>
      </c>
      <c r="P470" s="65">
        <f>SUM(P464:P468)</f>
      </c>
      <c r="Q470" s="65">
        <f>SUM(Q464:Q468)</f>
      </c>
    </row>
    <row r="471">
      <c r="A471" s="66" t="inlineStr">
        <is>
          <t>OBSERVACIONES: </t>
        </is>
      </c>
      <c r="B471" s="67"/>
      <c r="C471" s="68"/>
      <c r="D471" s="69"/>
      <c r="E471" s="69"/>
      <c r="F471" s="70"/>
      <c r="G471" s="69"/>
      <c r="H471" s="69"/>
      <c r="I471" s="69"/>
      <c r="J471" s="69"/>
      <c r="K471" s="69"/>
      <c r="L471" s="70"/>
      <c r="M471" s="71"/>
      <c r="N471" s="72"/>
      <c r="O471" s="72"/>
      <c r="P471" s="73"/>
      <c r="Q471" s="74"/>
    </row>
    <row r="472">
      <c r="P472" s="65" t="inlineStr">
        <is>
          <t>TOTAL A RECIBIR EN ALMACEN:</t>
        </is>
      </c>
      <c r="Q472" s="65">
        <f>Q470</f>
      </c>
    </row>
    <row r="475">
      <c r="B475" s="40" t="inlineStr">
        <is>
          <t>ALMACEN RURAL : SANTO TOMAS TAMAZULAPAN</t>
        </is>
      </c>
      <c r="C475" s="41"/>
    </row>
    <row r="478">
      <c r="A478" s="1">
        <v>59106</v>
      </c>
      <c r="B478" s="52">
        <v>23</v>
      </c>
      <c r="C478" s="53" t="inlineStr">
        <is>
          <t>GUIXE</t>
        </is>
      </c>
      <c r="D478" s="57">
        <v>29</v>
      </c>
      <c r="E478" s="57">
        <v>33</v>
      </c>
      <c r="F478" s="10">
        <f>E478*0.666*24/72</f>
      </c>
      <c r="G478" s="54">
        <v>0</v>
      </c>
      <c r="H478" s="54">
        <v>0</v>
      </c>
      <c r="I478" s="54">
        <v>0</v>
      </c>
      <c r="J478" s="54">
        <v>0</v>
      </c>
      <c r="K478" s="54">
        <v>0</v>
      </c>
      <c r="L478" s="55">
        <v>0</v>
      </c>
      <c r="M478" s="54">
        <v>0</v>
      </c>
      <c r="N478" s="55">
        <v>0</v>
      </c>
      <c r="O478" s="10">
        <v>0</v>
      </c>
      <c r="P478" s="54"/>
      <c r="Q478" s="56">
        <f>+P478</f>
      </c>
    </row>
    <row r="479">
      <c r="A479" s="1">
        <v>59108</v>
      </c>
      <c r="B479" s="52">
        <v>36</v>
      </c>
      <c r="C479" s="53" t="inlineStr">
        <is>
          <t>SANTA CATARINA ROATINA</t>
        </is>
      </c>
      <c r="D479" s="57">
        <v>40</v>
      </c>
      <c r="E479" s="57">
        <v>44</v>
      </c>
      <c r="F479" s="10">
        <f>E479*0.666*24/72</f>
      </c>
      <c r="G479" s="54">
        <v>0</v>
      </c>
      <c r="H479" s="54">
        <v>0</v>
      </c>
      <c r="I479" s="54">
        <v>0</v>
      </c>
      <c r="J479" s="54">
        <v>0</v>
      </c>
      <c r="K479" s="54">
        <v>0</v>
      </c>
      <c r="L479" s="55">
        <v>0</v>
      </c>
      <c r="M479" s="54">
        <v>0</v>
      </c>
      <c r="N479" s="55">
        <v>0</v>
      </c>
      <c r="O479" s="10">
        <v>0</v>
      </c>
      <c r="P479" s="54"/>
      <c r="Q479" s="56">
        <f>+P479</f>
      </c>
    </row>
    <row r="480">
      <c r="A480" s="1">
        <v>59109</v>
      </c>
      <c r="B480" s="52">
        <v>99</v>
      </c>
      <c r="C480" s="53" t="inlineStr">
        <is>
          <t>BRAMADEROS</t>
        </is>
      </c>
      <c r="D480" s="57">
        <v>48</v>
      </c>
      <c r="E480" s="57">
        <v>65</v>
      </c>
      <c r="F480" s="10">
        <f>E480*0.666*24/72</f>
      </c>
      <c r="G480" s="54">
        <v>0</v>
      </c>
      <c r="H480" s="54">
        <v>0</v>
      </c>
      <c r="I480" s="54">
        <v>0</v>
      </c>
      <c r="J480" s="54">
        <v>0</v>
      </c>
      <c r="K480" s="54">
        <v>0</v>
      </c>
      <c r="L480" s="55">
        <v>0</v>
      </c>
      <c r="M480" s="54">
        <v>0</v>
      </c>
      <c r="N480" s="55">
        <v>0</v>
      </c>
      <c r="O480" s="10">
        <v>0</v>
      </c>
      <c r="P480" s="54"/>
      <c r="Q480" s="56">
        <f>+P480</f>
      </c>
    </row>
    <row r="481">
      <c r="A481" s="1">
        <v>59111</v>
      </c>
      <c r="B481" s="52">
        <v>97</v>
      </c>
      <c r="C481" s="53" t="inlineStr">
        <is>
          <t>LA PILA</t>
        </is>
      </c>
      <c r="D481" s="57">
        <v>72</v>
      </c>
      <c r="E481" s="57">
        <v>120</v>
      </c>
      <c r="F481" s="10">
        <f>E481*0.666*24/72</f>
      </c>
      <c r="G481" s="54">
        <v>0</v>
      </c>
      <c r="H481" s="54">
        <v>0</v>
      </c>
      <c r="I481" s="54">
        <v>0</v>
      </c>
      <c r="J481" s="54">
        <v>0</v>
      </c>
      <c r="K481" s="54">
        <v>0</v>
      </c>
      <c r="L481" s="55">
        <v>0</v>
      </c>
      <c r="M481" s="54">
        <v>0</v>
      </c>
      <c r="N481" s="55">
        <v>0</v>
      </c>
      <c r="O481" s="10">
        <v>0</v>
      </c>
      <c r="P481" s="54"/>
      <c r="Q481" s="56">
        <f>+P481</f>
      </c>
    </row>
    <row r="482">
      <c r="A482" s="1">
        <v>59112</v>
      </c>
      <c r="B482" s="52">
        <v>12</v>
      </c>
      <c r="C482" s="53" t="inlineStr">
        <is>
          <t>EL GUAYABO TEPEHUAJE</t>
        </is>
      </c>
      <c r="D482" s="57">
        <v>19</v>
      </c>
      <c r="E482" s="57">
        <v>28</v>
      </c>
      <c r="F482" s="10">
        <f>E482*0.666*24/72</f>
      </c>
      <c r="G482" s="54">
        <v>0</v>
      </c>
      <c r="H482" s="54">
        <v>0</v>
      </c>
      <c r="I482" s="54">
        <v>0</v>
      </c>
      <c r="J482" s="54">
        <v>0</v>
      </c>
      <c r="K482" s="54">
        <v>0</v>
      </c>
      <c r="L482" s="55">
        <v>0</v>
      </c>
      <c r="M482" s="54">
        <v>0</v>
      </c>
      <c r="N482" s="55">
        <v>0</v>
      </c>
      <c r="O482" s="10">
        <v>0</v>
      </c>
      <c r="P482" s="54"/>
      <c r="Q482" s="56">
        <f>+P482</f>
      </c>
    </row>
    <row r="483">
      <c r="A483" s="1">
        <v>59113</v>
      </c>
      <c r="B483" s="52">
        <v>63</v>
      </c>
      <c r="C483" s="53" t="inlineStr">
        <is>
          <t>SAN PEDRO COATLAN</t>
        </is>
      </c>
      <c r="D483" s="57">
        <v>35</v>
      </c>
      <c r="E483" s="57">
        <v>43</v>
      </c>
      <c r="F483" s="10">
        <f>E483*0.666*24/72</f>
      </c>
      <c r="G483" s="54">
        <v>0</v>
      </c>
      <c r="H483" s="54">
        <v>0</v>
      </c>
      <c r="I483" s="54">
        <v>0</v>
      </c>
      <c r="J483" s="54">
        <v>0</v>
      </c>
      <c r="K483" s="54">
        <v>0</v>
      </c>
      <c r="L483" s="55">
        <v>0</v>
      </c>
      <c r="M483" s="54">
        <v>0</v>
      </c>
      <c r="N483" s="55">
        <v>0</v>
      </c>
      <c r="O483" s="10">
        <v>0</v>
      </c>
      <c r="P483" s="54"/>
      <c r="Q483" s="56">
        <f>+P483</f>
      </c>
    </row>
    <row r="484">
      <c r="A484" s="1">
        <v>59114</v>
      </c>
      <c r="B484" s="52">
        <v>142</v>
      </c>
      <c r="C484" s="53" t="inlineStr">
        <is>
          <t>AGUA DE SOL</t>
        </is>
      </c>
      <c r="D484" s="57">
        <v>57</v>
      </c>
      <c r="E484" s="57">
        <v>69</v>
      </c>
      <c r="F484" s="10">
        <f>E484*0.666*24/72</f>
      </c>
      <c r="G484" s="54">
        <v>0</v>
      </c>
      <c r="H484" s="54">
        <v>0</v>
      </c>
      <c r="I484" s="54">
        <v>0</v>
      </c>
      <c r="J484" s="54">
        <v>0</v>
      </c>
      <c r="K484" s="54">
        <v>0</v>
      </c>
      <c r="L484" s="55">
        <v>0</v>
      </c>
      <c r="M484" s="54">
        <v>0</v>
      </c>
      <c r="N484" s="55">
        <v>0</v>
      </c>
      <c r="O484" s="10">
        <v>0</v>
      </c>
      <c r="P484" s="54"/>
      <c r="Q484" s="56">
        <f>+P484</f>
      </c>
    </row>
    <row r="485">
      <c r="A485" s="1">
        <v>110151</v>
      </c>
      <c r="B485" s="52">
        <v>34</v>
      </c>
      <c r="C485" s="53" t="inlineStr">
        <is>
          <t>MIAHUATLAN DE PORFIRIO DIAZ</t>
        </is>
      </c>
      <c r="D485" s="57">
        <v>676</v>
      </c>
      <c r="E485" s="57">
        <v>1053</v>
      </c>
      <c r="F485" s="10">
        <f>E485*0.666*24/72</f>
      </c>
      <c r="G485" s="54">
        <v>0</v>
      </c>
      <c r="H485" s="54">
        <v>0</v>
      </c>
      <c r="I485" s="54">
        <v>0</v>
      </c>
      <c r="J485" s="54">
        <v>0</v>
      </c>
      <c r="K485" s="54">
        <v>0</v>
      </c>
      <c r="L485" s="55">
        <v>0</v>
      </c>
      <c r="M485" s="54">
        <v>0</v>
      </c>
      <c r="N485" s="55">
        <v>0</v>
      </c>
      <c r="O485" s="10">
        <v>0</v>
      </c>
      <c r="P485" s="54"/>
      <c r="Q485" s="56">
        <f>+P485</f>
      </c>
    </row>
    <row r="486">
      <c r="A486" s="1">
        <v>120145</v>
      </c>
      <c r="B486" s="52">
        <v>12</v>
      </c>
      <c r="C486" s="53" t="inlineStr">
        <is>
          <t>SANTO TOMAS TAMAZULAPAN</t>
        </is>
      </c>
      <c r="D486" s="57">
        <v>103</v>
      </c>
      <c r="E486" s="57">
        <v>163</v>
      </c>
      <c r="F486" s="10">
        <f>E486*0.666*24/72</f>
      </c>
      <c r="G486" s="54">
        <v>0</v>
      </c>
      <c r="H486" s="54">
        <v>0</v>
      </c>
      <c r="I486" s="54">
        <v>0</v>
      </c>
      <c r="J486" s="54">
        <v>0</v>
      </c>
      <c r="K486" s="54">
        <v>0</v>
      </c>
      <c r="L486" s="55">
        <v>0</v>
      </c>
      <c r="M486" s="54">
        <v>0</v>
      </c>
      <c r="N486" s="55">
        <v>0</v>
      </c>
      <c r="O486" s="10">
        <v>0</v>
      </c>
      <c r="P486" s="54"/>
      <c r="Q486" s="56">
        <f>+P486</f>
      </c>
    </row>
    <row r="487">
      <c r="A487" s="1">
        <v>279102</v>
      </c>
      <c r="B487" s="52">
        <v>20</v>
      </c>
      <c r="C487" s="53" t="inlineStr">
        <is>
          <t>SAN MIGUEL SUCHIXTEPEC</t>
        </is>
      </c>
      <c r="D487" s="57">
        <v>87</v>
      </c>
      <c r="E487" s="57">
        <v>100</v>
      </c>
      <c r="F487" s="10">
        <f>E487*0.666*24/72</f>
      </c>
      <c r="G487" s="54">
        <v>0</v>
      </c>
      <c r="H487" s="54">
        <v>0</v>
      </c>
      <c r="I487" s="54">
        <v>0</v>
      </c>
      <c r="J487" s="54">
        <v>0</v>
      </c>
      <c r="K487" s="54">
        <v>0</v>
      </c>
      <c r="L487" s="55">
        <v>0</v>
      </c>
      <c r="M487" s="54">
        <v>0</v>
      </c>
      <c r="N487" s="55">
        <v>0</v>
      </c>
      <c r="O487" s="10">
        <v>0</v>
      </c>
      <c r="P487" s="54"/>
      <c r="Q487" s="56">
        <f>+P487</f>
      </c>
    </row>
    <row r="488">
      <c r="A488" s="1">
        <v>353102</v>
      </c>
      <c r="B488" s="52">
        <v>131</v>
      </c>
      <c r="C488" s="53" t="inlineStr">
        <is>
          <t>SANTA ANA MIAHUATLAN</t>
        </is>
      </c>
      <c r="D488" s="57">
        <v>82</v>
      </c>
      <c r="E488" s="57">
        <v>113</v>
      </c>
      <c r="F488" s="10">
        <f>E488*0.666*24/72</f>
      </c>
      <c r="G488" s="54">
        <v>0</v>
      </c>
      <c r="H488" s="54">
        <v>0</v>
      </c>
      <c r="I488" s="54">
        <v>0</v>
      </c>
      <c r="J488" s="54">
        <v>0</v>
      </c>
      <c r="K488" s="54">
        <v>0</v>
      </c>
      <c r="L488" s="55">
        <v>0</v>
      </c>
      <c r="M488" s="54">
        <v>0</v>
      </c>
      <c r="N488" s="55">
        <v>0</v>
      </c>
      <c r="O488" s="10">
        <v>0</v>
      </c>
      <c r="P488" s="54"/>
      <c r="Q488" s="56">
        <f>+P488</f>
      </c>
    </row>
    <row r="490">
      <c r="A490" s="43" t="inlineStr">
        <is>
          <t>T O T A L</t>
        </is>
      </c>
      <c r="B490" s="44"/>
      <c r="C490" s="45">
        <f>COUNTA(A478:A488)</f>
      </c>
      <c r="D490" s="65">
        <f>SUM(D478:D488)</f>
      </c>
      <c r="E490" s="65">
        <f>SUM(E478:E488)</f>
      </c>
      <c r="F490" s="65">
        <f>SUM(F478:F488)</f>
      </c>
      <c r="G490" s="65">
        <f>SUM(G478:G488)</f>
      </c>
      <c r="H490" s="65">
        <f>SUM(H478:H488)</f>
      </c>
      <c r="I490" s="65">
        <f>SUM(I478:I488)</f>
      </c>
      <c r="J490" s="65">
        <f>SUM(J478:J488)</f>
      </c>
      <c r="K490" s="65">
        <f>SUM(K478:K488)</f>
      </c>
      <c r="L490" s="65">
        <f>SUM(L478:L488)</f>
      </c>
      <c r="M490" s="65">
        <f>SUM(M478:M488)</f>
      </c>
      <c r="N490" s="65">
        <f>SUM(N478:N488)</f>
      </c>
      <c r="O490" s="65">
        <f>SUM(O478:O488)</f>
      </c>
      <c r="P490" s="65">
        <f>SUM(P478:P488)</f>
      </c>
      <c r="Q490" s="65">
        <f>SUM(Q478:Q488)</f>
      </c>
    </row>
    <row r="491">
      <c r="A491" s="66" t="inlineStr">
        <is>
          <t>OBSERVACIONES: </t>
        </is>
      </c>
      <c r="B491" s="67"/>
      <c r="C491" s="68"/>
      <c r="D491" s="69"/>
      <c r="E491" s="69"/>
      <c r="F491" s="70"/>
      <c r="G491" s="69"/>
      <c r="H491" s="69"/>
      <c r="I491" s="69"/>
      <c r="J491" s="69"/>
      <c r="K491" s="69"/>
      <c r="L491" s="70"/>
      <c r="M491" s="71"/>
      <c r="N491" s="72"/>
      <c r="O491" s="72"/>
      <c r="P491" s="73"/>
      <c r="Q491" s="74"/>
    </row>
    <row r="492">
      <c r="P492" s="65" t="inlineStr">
        <is>
          <t>TOTAL A RECIBIR EN ALMACEN:</t>
        </is>
      </c>
      <c r="Q492" s="65">
        <f>Q490</f>
      </c>
    </row>
    <row r="495">
      <c r="B495" s="40" t="inlineStr">
        <is>
          <t>ALMACEN RURAL : SAN PEDRO JUCHATENGO</t>
        </is>
      </c>
      <c r="C495" s="41"/>
    </row>
    <row r="498">
      <c r="A498" s="1">
        <v>120320</v>
      </c>
      <c r="B498" s="52">
        <v>25</v>
      </c>
      <c r="C498" s="53" t="inlineStr">
        <is>
          <t>SANTA CATARINA JUQUILA</t>
        </is>
      </c>
      <c r="D498" s="57">
        <v>189</v>
      </c>
      <c r="E498" s="57">
        <v>366</v>
      </c>
      <c r="F498" s="10">
        <f>E498*0.666*24/72</f>
      </c>
      <c r="G498" s="54">
        <v>0</v>
      </c>
      <c r="H498" s="54">
        <v>0</v>
      </c>
      <c r="I498" s="54">
        <v>0</v>
      </c>
      <c r="J498" s="54">
        <v>0</v>
      </c>
      <c r="K498" s="54">
        <v>0</v>
      </c>
      <c r="L498" s="55">
        <v>0</v>
      </c>
      <c r="M498" s="54">
        <v>0</v>
      </c>
      <c r="N498" s="55">
        <v>0</v>
      </c>
      <c r="O498" s="10">
        <v>0</v>
      </c>
      <c r="P498" s="54"/>
      <c r="Q498" s="56">
        <f>+P498</f>
      </c>
    </row>
    <row r="499">
      <c r="A499" s="1">
        <v>153101</v>
      </c>
      <c r="B499" s="52">
        <v>16</v>
      </c>
      <c r="C499" s="53" t="inlineStr">
        <is>
          <t>SAN GABRIEL MIXTEPEC</t>
        </is>
      </c>
      <c r="D499" s="57">
        <v>270</v>
      </c>
      <c r="E499" s="57">
        <v>379</v>
      </c>
      <c r="F499" s="10">
        <f>E499*0.666*24/72</f>
      </c>
      <c r="G499" s="54">
        <v>0</v>
      </c>
      <c r="H499" s="54">
        <v>0</v>
      </c>
      <c r="I499" s="54">
        <v>0</v>
      </c>
      <c r="J499" s="54">
        <v>0</v>
      </c>
      <c r="K499" s="54">
        <v>0</v>
      </c>
      <c r="L499" s="55">
        <v>0</v>
      </c>
      <c r="M499" s="54">
        <v>0</v>
      </c>
      <c r="N499" s="55">
        <v>0</v>
      </c>
      <c r="O499" s="10">
        <v>0</v>
      </c>
      <c r="P499" s="54"/>
      <c r="Q499" s="56">
        <f>+P499</f>
      </c>
    </row>
    <row r="500">
      <c r="A500" s="1">
        <v>314101</v>
      </c>
      <c r="B500" s="52">
        <v>1</v>
      </c>
      <c r="C500" s="53" t="inlineStr">
        <is>
          <t>SAN PEDRO JUCHATENGO</t>
        </is>
      </c>
      <c r="D500" s="57">
        <v>186</v>
      </c>
      <c r="E500" s="57">
        <v>248</v>
      </c>
      <c r="F500" s="10">
        <f>E500*0.666*24/72</f>
      </c>
      <c r="G500" s="54">
        <v>0</v>
      </c>
      <c r="H500" s="54">
        <v>0</v>
      </c>
      <c r="I500" s="54">
        <v>0</v>
      </c>
      <c r="J500" s="54">
        <v>0</v>
      </c>
      <c r="K500" s="54">
        <v>0</v>
      </c>
      <c r="L500" s="55">
        <v>0</v>
      </c>
      <c r="M500" s="54">
        <v>0</v>
      </c>
      <c r="N500" s="55">
        <v>0</v>
      </c>
      <c r="O500" s="10">
        <v>0</v>
      </c>
      <c r="P500" s="54"/>
      <c r="Q500" s="56">
        <f>+P500</f>
      </c>
    </row>
    <row r="501">
      <c r="A501" s="1">
        <v>318103</v>
      </c>
      <c r="B501" s="52">
        <v>26</v>
      </c>
      <c r="C501" s="53" t="inlineStr">
        <is>
          <t>SAN ANDRES COPALA</t>
        </is>
      </c>
      <c r="D501" s="57">
        <v>52</v>
      </c>
      <c r="E501" s="57">
        <v>74</v>
      </c>
      <c r="F501" s="10">
        <f>E501*0.666*24/72</f>
      </c>
      <c r="G501" s="54">
        <v>0</v>
      </c>
      <c r="H501" s="54">
        <v>0</v>
      </c>
      <c r="I501" s="54">
        <v>0</v>
      </c>
      <c r="J501" s="54">
        <v>0</v>
      </c>
      <c r="K501" s="54">
        <v>0</v>
      </c>
      <c r="L501" s="55">
        <v>0</v>
      </c>
      <c r="M501" s="54">
        <v>0</v>
      </c>
      <c r="N501" s="55">
        <v>0</v>
      </c>
      <c r="O501" s="10">
        <v>0</v>
      </c>
      <c r="P501" s="54"/>
      <c r="Q501" s="56">
        <f>+P501</f>
      </c>
    </row>
    <row r="502">
      <c r="A502" s="1">
        <v>364102</v>
      </c>
      <c r="B502" s="52">
        <v>59</v>
      </c>
      <c r="C502" s="53" t="inlineStr">
        <is>
          <t>EL CAMALOTE</t>
        </is>
      </c>
      <c r="D502" s="57">
        <v>73</v>
      </c>
      <c r="E502" s="57">
        <v>131</v>
      </c>
      <c r="F502" s="10">
        <f>E502*0.666*24/72</f>
      </c>
      <c r="G502" s="54">
        <v>0</v>
      </c>
      <c r="H502" s="54">
        <v>0</v>
      </c>
      <c r="I502" s="54">
        <v>0</v>
      </c>
      <c r="J502" s="54">
        <v>0</v>
      </c>
      <c r="K502" s="54">
        <v>0</v>
      </c>
      <c r="L502" s="55">
        <v>0</v>
      </c>
      <c r="M502" s="54">
        <v>0</v>
      </c>
      <c r="N502" s="55">
        <v>0</v>
      </c>
      <c r="O502" s="10">
        <v>0</v>
      </c>
      <c r="P502" s="54"/>
      <c r="Q502" s="56">
        <f>+P502</f>
      </c>
    </row>
    <row r="503">
      <c r="A503" s="1">
        <v>364105</v>
      </c>
      <c r="B503" s="52">
        <v>66</v>
      </c>
      <c r="C503" s="53" t="inlineStr">
        <is>
          <t>SANTA CATARINA JUQUILA</t>
        </is>
      </c>
      <c r="D503" s="57">
        <v>120</v>
      </c>
      <c r="E503" s="57">
        <v>164</v>
      </c>
      <c r="F503" s="10">
        <f>E503*0.666*24/72</f>
      </c>
      <c r="G503" s="54">
        <v>0</v>
      </c>
      <c r="H503" s="54">
        <v>0</v>
      </c>
      <c r="I503" s="54">
        <v>0</v>
      </c>
      <c r="J503" s="54">
        <v>0</v>
      </c>
      <c r="K503" s="54">
        <v>0</v>
      </c>
      <c r="L503" s="55">
        <v>0</v>
      </c>
      <c r="M503" s="54">
        <v>0</v>
      </c>
      <c r="N503" s="55">
        <v>0</v>
      </c>
      <c r="O503" s="10">
        <v>0</v>
      </c>
      <c r="P503" s="54"/>
      <c r="Q503" s="56">
        <f>+P503</f>
      </c>
    </row>
    <row r="504">
      <c r="A504" s="1">
        <v>364107</v>
      </c>
      <c r="B504" s="52">
        <v>50</v>
      </c>
      <c r="C504" s="53" t="inlineStr">
        <is>
          <t>SAN NICOLAS</t>
        </is>
      </c>
      <c r="D504" s="57">
        <v>98</v>
      </c>
      <c r="E504" s="57">
        <v>214</v>
      </c>
      <c r="F504" s="10">
        <f>E504*0.666*24/72</f>
      </c>
      <c r="G504" s="54">
        <v>0</v>
      </c>
      <c r="H504" s="54">
        <v>0</v>
      </c>
      <c r="I504" s="54">
        <v>0</v>
      </c>
      <c r="J504" s="54">
        <v>0</v>
      </c>
      <c r="K504" s="54">
        <v>0</v>
      </c>
      <c r="L504" s="55">
        <v>0</v>
      </c>
      <c r="M504" s="54">
        <v>0</v>
      </c>
      <c r="N504" s="55">
        <v>0</v>
      </c>
      <c r="O504" s="10">
        <v>0</v>
      </c>
      <c r="P504" s="54"/>
      <c r="Q504" s="56">
        <f>+P504</f>
      </c>
    </row>
    <row r="506">
      <c r="A506" s="43" t="inlineStr">
        <is>
          <t>T O T A L</t>
        </is>
      </c>
      <c r="B506" s="44"/>
      <c r="C506" s="45">
        <f>COUNTA(A498:A504)</f>
      </c>
      <c r="D506" s="65">
        <f>SUM(D498:D504)</f>
      </c>
      <c r="E506" s="65">
        <f>SUM(E498:E504)</f>
      </c>
      <c r="F506" s="65">
        <f>SUM(F498:F504)</f>
      </c>
      <c r="G506" s="65">
        <f>SUM(G498:G504)</f>
      </c>
      <c r="H506" s="65">
        <f>SUM(H498:H504)</f>
      </c>
      <c r="I506" s="65">
        <f>SUM(I498:I504)</f>
      </c>
      <c r="J506" s="65">
        <f>SUM(J498:J504)</f>
      </c>
      <c r="K506" s="65">
        <f>SUM(K498:K504)</f>
      </c>
      <c r="L506" s="65">
        <f>SUM(L498:L504)</f>
      </c>
      <c r="M506" s="65">
        <f>SUM(M498:M504)</f>
      </c>
      <c r="N506" s="65">
        <f>SUM(N498:N504)</f>
      </c>
      <c r="O506" s="65">
        <f>SUM(O498:O504)</f>
      </c>
      <c r="P506" s="65">
        <f>SUM(P498:P504)</f>
      </c>
      <c r="Q506" s="65">
        <f>SUM(Q498:Q504)</f>
      </c>
    </row>
    <row r="507">
      <c r="A507" s="66" t="inlineStr">
        <is>
          <t>OBSERVACIONES: </t>
        </is>
      </c>
      <c r="B507" s="67"/>
      <c r="C507" s="68"/>
      <c r="D507" s="69"/>
      <c r="E507" s="69"/>
      <c r="F507" s="70"/>
      <c r="G507" s="69"/>
      <c r="H507" s="69"/>
      <c r="I507" s="69"/>
      <c r="J507" s="69"/>
      <c r="K507" s="69"/>
      <c r="L507" s="70"/>
      <c r="M507" s="71"/>
      <c r="N507" s="72"/>
      <c r="O507" s="72"/>
      <c r="P507" s="73"/>
      <c r="Q507" s="74"/>
    </row>
    <row r="508">
      <c r="P508" s="65" t="inlineStr">
        <is>
          <t>TOTAL A RECIBIR EN ALMACEN:</t>
        </is>
      </c>
      <c r="Q508" s="65">
        <f>Q506</f>
      </c>
    </row>
    <row r="511">
      <c r="B511" s="40" t="inlineStr">
        <is>
          <t>ALMACEN RURAL : SANTA MARIA LACHIXIO</t>
        </is>
      </c>
      <c r="C511" s="41"/>
    </row>
    <row r="514">
      <c r="A514" s="1">
        <v>104103</v>
      </c>
      <c r="B514" s="52">
        <v>21</v>
      </c>
      <c r="C514" s="53" t="inlineStr">
        <is>
          <t>SAN FERNANDO DE MATAMOROS</t>
        </is>
      </c>
      <c r="D514" s="57">
        <v>38</v>
      </c>
      <c r="E514" s="57">
        <v>54</v>
      </c>
      <c r="F514" s="10">
        <f>E514*0.666*24/72</f>
      </c>
      <c r="G514" s="54">
        <v>0</v>
      </c>
      <c r="H514" s="54">
        <v>0</v>
      </c>
      <c r="I514" s="54">
        <v>0</v>
      </c>
      <c r="J514" s="54">
        <v>0</v>
      </c>
      <c r="K514" s="54">
        <v>0</v>
      </c>
      <c r="L514" s="55">
        <v>0</v>
      </c>
      <c r="M514" s="54">
        <v>0</v>
      </c>
      <c r="N514" s="55">
        <v>0</v>
      </c>
      <c r="O514" s="10">
        <v>0</v>
      </c>
      <c r="P514" s="54"/>
      <c r="Q514" s="56">
        <f>+P514</f>
      </c>
    </row>
    <row r="515">
      <c r="A515" s="1">
        <v>274102</v>
      </c>
      <c r="B515" s="52">
        <v>53</v>
      </c>
      <c r="C515" s="53" t="inlineStr">
        <is>
          <t>SAN MIGUEL PIEDRAS</t>
        </is>
      </c>
      <c r="D515" s="57">
        <v>39</v>
      </c>
      <c r="E515" s="57">
        <v>59</v>
      </c>
      <c r="F515" s="10">
        <f>E515*0.666*24/72</f>
      </c>
      <c r="G515" s="54">
        <v>0</v>
      </c>
      <c r="H515" s="54">
        <v>0</v>
      </c>
      <c r="I515" s="54">
        <v>0</v>
      </c>
      <c r="J515" s="54">
        <v>0</v>
      </c>
      <c r="K515" s="54">
        <v>0</v>
      </c>
      <c r="L515" s="55">
        <v>0</v>
      </c>
      <c r="M515" s="54">
        <v>0</v>
      </c>
      <c r="N515" s="55">
        <v>0</v>
      </c>
      <c r="O515" s="10">
        <v>0</v>
      </c>
      <c r="P515" s="54"/>
      <c r="Q515" s="56">
        <f>+P515</f>
      </c>
    </row>
    <row r="517">
      <c r="A517" s="43" t="inlineStr">
        <is>
          <t>T O T A L</t>
        </is>
      </c>
      <c r="B517" s="44"/>
      <c r="C517" s="45">
        <f>COUNTA(A514:A515)</f>
      </c>
      <c r="D517" s="65">
        <f>SUM(D514:D515)</f>
      </c>
      <c r="E517" s="65">
        <f>SUM(E514:E515)</f>
      </c>
      <c r="F517" s="65">
        <f>SUM(F514:F515)</f>
      </c>
      <c r="G517" s="65">
        <f>SUM(G514:G515)</f>
      </c>
      <c r="H517" s="65">
        <f>SUM(H514:H515)</f>
      </c>
      <c r="I517" s="65">
        <f>SUM(I514:I515)</f>
      </c>
      <c r="J517" s="65">
        <f>SUM(J514:J515)</f>
      </c>
      <c r="K517" s="65">
        <f>SUM(K514:K515)</f>
      </c>
      <c r="L517" s="65">
        <f>SUM(L514:L515)</f>
      </c>
      <c r="M517" s="65">
        <f>SUM(M514:M515)</f>
      </c>
      <c r="N517" s="65">
        <f>SUM(N514:N515)</f>
      </c>
      <c r="O517" s="65">
        <f>SUM(O514:O515)</f>
      </c>
      <c r="P517" s="65">
        <f>SUM(P514:P515)</f>
      </c>
      <c r="Q517" s="65">
        <f>SUM(Q514:Q515)</f>
      </c>
    </row>
    <row r="518">
      <c r="A518" s="66" t="inlineStr">
        <is>
          <t>OBSERVACIONES: </t>
        </is>
      </c>
      <c r="B518" s="67"/>
      <c r="C518" s="68"/>
      <c r="D518" s="69"/>
      <c r="E518" s="69"/>
      <c r="F518" s="70"/>
      <c r="G518" s="69"/>
      <c r="H518" s="69"/>
      <c r="I518" s="69"/>
      <c r="J518" s="69"/>
      <c r="K518" s="69"/>
      <c r="L518" s="70"/>
      <c r="M518" s="71"/>
      <c r="N518" s="72"/>
      <c r="O518" s="72"/>
      <c r="P518" s="73"/>
      <c r="Q518" s="74"/>
    </row>
    <row r="519">
      <c r="P519" s="65" t="inlineStr">
        <is>
          <t>TOTAL A RECIBIR EN ALMACEN:</t>
        </is>
      </c>
      <c r="Q519" s="65">
        <f>Q517</f>
      </c>
    </row>
    <row r="522">
      <c r="B522" s="40" t="inlineStr">
        <is>
          <t>ALMACEN RURAL : MATATLAN</t>
        </is>
      </c>
      <c r="C522" s="41"/>
    </row>
    <row r="525">
      <c r="A525" s="1">
        <v>411102</v>
      </c>
      <c r="B525" s="52">
        <v>33</v>
      </c>
      <c r="C525" s="53" t="inlineStr">
        <is>
          <t>SANTA MARIA GUELACE</t>
        </is>
      </c>
      <c r="D525" s="57">
        <v>73</v>
      </c>
      <c r="E525" s="57">
        <v>116</v>
      </c>
      <c r="F525" s="10">
        <f>E525*0.666*24/72</f>
      </c>
      <c r="G525" s="54">
        <v>0</v>
      </c>
      <c r="H525" s="54">
        <v>0</v>
      </c>
      <c r="I525" s="54">
        <v>0</v>
      </c>
      <c r="J525" s="54">
        <v>0</v>
      </c>
      <c r="K525" s="54">
        <v>0</v>
      </c>
      <c r="L525" s="55">
        <v>0</v>
      </c>
      <c r="M525" s="54">
        <v>0</v>
      </c>
      <c r="N525" s="55">
        <v>0</v>
      </c>
      <c r="O525" s="10">
        <v>0</v>
      </c>
      <c r="P525" s="54"/>
      <c r="Q525" s="56">
        <f>+P525</f>
      </c>
    </row>
    <row r="526">
      <c r="A526" s="1">
        <v>475105</v>
      </c>
      <c r="B526" s="52">
        <v>13</v>
      </c>
      <c r="C526" s="53" t="inlineStr">
        <is>
          <t>SANTIAGO MATATLAN</t>
        </is>
      </c>
      <c r="D526" s="57">
        <v>75</v>
      </c>
      <c r="E526" s="57">
        <v>107</v>
      </c>
      <c r="F526" s="10">
        <f>E526*0.666*24/72</f>
      </c>
      <c r="G526" s="54">
        <v>0</v>
      </c>
      <c r="H526" s="54">
        <v>0</v>
      </c>
      <c r="I526" s="54">
        <v>0</v>
      </c>
      <c r="J526" s="54">
        <v>0</v>
      </c>
      <c r="K526" s="54">
        <v>0</v>
      </c>
      <c r="L526" s="55">
        <v>0</v>
      </c>
      <c r="M526" s="54">
        <v>0</v>
      </c>
      <c r="N526" s="55">
        <v>0</v>
      </c>
      <c r="O526" s="10">
        <v>0</v>
      </c>
      <c r="P526" s="54"/>
      <c r="Q526" s="56">
        <f>+P526</f>
      </c>
    </row>
    <row r="528">
      <c r="A528" s="43" t="inlineStr">
        <is>
          <t>T O T A L</t>
        </is>
      </c>
      <c r="B528" s="44"/>
      <c r="C528" s="45">
        <f>COUNTA(A525:A526)</f>
      </c>
      <c r="D528" s="65">
        <f>SUM(D525:D526)</f>
      </c>
      <c r="E528" s="65">
        <f>SUM(E525:E526)</f>
      </c>
      <c r="F528" s="65">
        <f>SUM(F525:F526)</f>
      </c>
      <c r="G528" s="65">
        <f>SUM(G525:G526)</f>
      </c>
      <c r="H528" s="65">
        <f>SUM(H525:H526)</f>
      </c>
      <c r="I528" s="65">
        <f>SUM(I525:I526)</f>
      </c>
      <c r="J528" s="65">
        <f>SUM(J525:J526)</f>
      </c>
      <c r="K528" s="65">
        <f>SUM(K525:K526)</f>
      </c>
      <c r="L528" s="65">
        <f>SUM(L525:L526)</f>
      </c>
      <c r="M528" s="65">
        <f>SUM(M525:M526)</f>
      </c>
      <c r="N528" s="65">
        <f>SUM(N525:N526)</f>
      </c>
      <c r="O528" s="65">
        <f>SUM(O525:O526)</f>
      </c>
      <c r="P528" s="65">
        <f>SUM(P525:P526)</f>
      </c>
      <c r="Q528" s="65">
        <f>SUM(Q525:Q526)</f>
      </c>
    </row>
    <row r="529">
      <c r="A529" s="66" t="inlineStr">
        <is>
          <t>OBSERVACIONES: </t>
        </is>
      </c>
      <c r="B529" s="67"/>
      <c r="C529" s="68"/>
      <c r="D529" s="69"/>
      <c r="E529" s="69"/>
      <c r="F529" s="70"/>
      <c r="G529" s="69"/>
      <c r="H529" s="69"/>
      <c r="I529" s="69"/>
      <c r="J529" s="69"/>
      <c r="K529" s="69"/>
      <c r="L529" s="70"/>
      <c r="M529" s="71"/>
      <c r="N529" s="72"/>
      <c r="O529" s="72"/>
      <c r="P529" s="73"/>
      <c r="Q529" s="74"/>
    </row>
    <row r="530">
      <c r="P530" s="65" t="inlineStr">
        <is>
          <t>TOTAL A RECIBIR EN ALMACEN:</t>
        </is>
      </c>
      <c r="Q530" s="65">
        <f>Q528</f>
      </c>
    </row>
    <row r="533">
      <c r="B533" s="40" t="inlineStr">
        <is>
          <t>ALMACEN RURAL : CUAJIMOLOYAS</t>
        </is>
      </c>
      <c r="C533" s="41"/>
    </row>
    <row r="536">
      <c r="A536" s="1">
        <v>128101</v>
      </c>
      <c r="B536" s="52">
        <v>1</v>
      </c>
      <c r="C536" s="53" t="inlineStr">
        <is>
          <t>SAN CRISTOBAL LACHIRIOAG</t>
        </is>
      </c>
      <c r="D536" s="57">
        <v>66</v>
      </c>
      <c r="E536" s="57">
        <v>74</v>
      </c>
      <c r="F536" s="10">
        <f>E536*0.666*24/72</f>
      </c>
      <c r="G536" s="54">
        <v>0</v>
      </c>
      <c r="H536" s="54">
        <v>0</v>
      </c>
      <c r="I536" s="54">
        <v>0</v>
      </c>
      <c r="J536" s="54">
        <v>0</v>
      </c>
      <c r="K536" s="54">
        <v>0</v>
      </c>
      <c r="L536" s="55">
        <v>0</v>
      </c>
      <c r="M536" s="54">
        <v>0</v>
      </c>
      <c r="N536" s="55">
        <v>0</v>
      </c>
      <c r="O536" s="10">
        <v>0</v>
      </c>
      <c r="P536" s="54"/>
      <c r="Q536" s="56">
        <f>+P536</f>
      </c>
    </row>
    <row r="537">
      <c r="A537" s="1">
        <v>156101</v>
      </c>
      <c r="B537" s="52">
        <v>5</v>
      </c>
      <c r="C537" s="53" t="inlineStr">
        <is>
          <t>SAN ILDEFONSO VILLA ALTA</t>
        </is>
      </c>
      <c r="D537" s="57">
        <v>43</v>
      </c>
      <c r="E537" s="57">
        <v>57</v>
      </c>
      <c r="F537" s="10">
        <f>E537*0.666*24/72</f>
      </c>
      <c r="G537" s="54">
        <v>0</v>
      </c>
      <c r="H537" s="54">
        <v>0</v>
      </c>
      <c r="I537" s="54">
        <v>0</v>
      </c>
      <c r="J537" s="54">
        <v>0</v>
      </c>
      <c r="K537" s="54">
        <v>0</v>
      </c>
      <c r="L537" s="55">
        <v>0</v>
      </c>
      <c r="M537" s="54">
        <v>0</v>
      </c>
      <c r="N537" s="55">
        <v>0</v>
      </c>
      <c r="O537" s="10">
        <v>0</v>
      </c>
      <c r="P537" s="54"/>
      <c r="Q537" s="56">
        <f>+P537</f>
      </c>
    </row>
    <row r="538">
      <c r="A538" s="1">
        <v>262102</v>
      </c>
      <c r="B538" s="52">
        <v>4</v>
      </c>
      <c r="C538" s="53" t="inlineStr">
        <is>
          <t>CUAJIMOLOYAS</t>
        </is>
      </c>
      <c r="D538" s="57">
        <v>54</v>
      </c>
      <c r="E538" s="57">
        <v>74</v>
      </c>
      <c r="F538" s="10">
        <f>E538*0.666*24/72</f>
      </c>
      <c r="G538" s="54">
        <v>0</v>
      </c>
      <c r="H538" s="54">
        <v>0</v>
      </c>
      <c r="I538" s="54">
        <v>0</v>
      </c>
      <c r="J538" s="54">
        <v>0</v>
      </c>
      <c r="K538" s="54">
        <v>0</v>
      </c>
      <c r="L538" s="55">
        <v>0</v>
      </c>
      <c r="M538" s="54">
        <v>0</v>
      </c>
      <c r="N538" s="55">
        <v>0</v>
      </c>
      <c r="O538" s="10">
        <v>0</v>
      </c>
      <c r="P538" s="54"/>
      <c r="Q538" s="56">
        <f>+P538</f>
      </c>
    </row>
    <row r="539">
      <c r="A539" s="1">
        <v>432103</v>
      </c>
      <c r="B539" s="52">
        <v>13</v>
      </c>
      <c r="C539" s="53" t="inlineStr">
        <is>
          <t>SANTA MARIA TEMAXCALAPA</t>
        </is>
      </c>
      <c r="D539" s="57">
        <v>51</v>
      </c>
      <c r="E539" s="57">
        <v>62</v>
      </c>
      <c r="F539" s="10">
        <f>E539*0.666*24/72</f>
      </c>
      <c r="G539" s="54">
        <v>0</v>
      </c>
      <c r="H539" s="54">
        <v>0</v>
      </c>
      <c r="I539" s="54">
        <v>0</v>
      </c>
      <c r="J539" s="54">
        <v>0</v>
      </c>
      <c r="K539" s="54">
        <v>0</v>
      </c>
      <c r="L539" s="55">
        <v>0</v>
      </c>
      <c r="M539" s="54">
        <v>0</v>
      </c>
      <c r="N539" s="55">
        <v>0</v>
      </c>
      <c r="O539" s="10">
        <v>0</v>
      </c>
      <c r="P539" s="54"/>
      <c r="Q539" s="56">
        <f>+P539</f>
      </c>
    </row>
    <row r="541">
      <c r="A541" s="43" t="inlineStr">
        <is>
          <t>T O T A L</t>
        </is>
      </c>
      <c r="B541" s="44"/>
      <c r="C541" s="45">
        <f>COUNTA(A536:A539)</f>
      </c>
      <c r="D541" s="65">
        <f>SUM(D536:D539)</f>
      </c>
      <c r="E541" s="65">
        <f>SUM(E536:E539)</f>
      </c>
      <c r="F541" s="65">
        <f>SUM(F536:F539)</f>
      </c>
      <c r="G541" s="65">
        <f>SUM(G536:G539)</f>
      </c>
      <c r="H541" s="65">
        <f>SUM(H536:H539)</f>
      </c>
      <c r="I541" s="65">
        <f>SUM(I536:I539)</f>
      </c>
      <c r="J541" s="65">
        <f>SUM(J536:J539)</f>
      </c>
      <c r="K541" s="65">
        <f>SUM(K536:K539)</f>
      </c>
      <c r="L541" s="65">
        <f>SUM(L536:L539)</f>
      </c>
      <c r="M541" s="65">
        <f>SUM(M536:M539)</f>
      </c>
      <c r="N541" s="65">
        <f>SUM(N536:N539)</f>
      </c>
      <c r="O541" s="65">
        <f>SUM(O536:O539)</f>
      </c>
      <c r="P541" s="65">
        <f>SUM(P536:P539)</f>
      </c>
      <c r="Q541" s="65">
        <f>SUM(Q536:Q539)</f>
      </c>
    </row>
    <row r="542">
      <c r="A542" s="66" t="inlineStr">
        <is>
          <t>OBSERVACIONES: </t>
        </is>
      </c>
      <c r="B542" s="67"/>
      <c r="C542" s="68"/>
      <c r="D542" s="69"/>
      <c r="E542" s="69"/>
      <c r="F542" s="70"/>
      <c r="G542" s="69"/>
      <c r="H542" s="69"/>
      <c r="I542" s="69"/>
      <c r="J542" s="69"/>
      <c r="K542" s="69"/>
      <c r="L542" s="70"/>
      <c r="M542" s="71"/>
      <c r="N542" s="72"/>
      <c r="O542" s="72"/>
      <c r="P542" s="73"/>
      <c r="Q542" s="74"/>
    </row>
    <row r="543">
      <c r="P543" s="65" t="inlineStr">
        <is>
          <t>TOTAL A RECIBIR EN ALMACEN:</t>
        </is>
      </c>
      <c r="Q543" s="65">
        <f>Q541</f>
      </c>
    </row>
    <row r="546">
      <c r="B546" s="40" t="inlineStr">
        <is>
          <t>ALMACEN RURAL : </t>
        </is>
      </c>
      <c r="C546" s="41"/>
    </row>
    <row r="549">
      <c r="A549" s="1">
        <v>324118</v>
      </c>
      <c r="B549" s="52"/>
      <c r="C549" s="53" t="inlineStr">
        <is>
          <t>SAN MIGUEL FIGUEROA</t>
        </is>
      </c>
      <c r="D549" s="57">
        <v>73</v>
      </c>
      <c r="E549" s="57">
        <v>111</v>
      </c>
      <c r="F549" s="10">
        <f>E549*0.666*24/72</f>
      </c>
      <c r="G549" s="54">
        <v>0</v>
      </c>
      <c r="H549" s="54">
        <v>0</v>
      </c>
      <c r="I549" s="54">
        <v>0</v>
      </c>
      <c r="J549" s="54">
        <v>0</v>
      </c>
      <c r="K549" s="54">
        <v>0</v>
      </c>
      <c r="L549" s="55">
        <v>0</v>
      </c>
      <c r="M549" s="54">
        <v>0</v>
      </c>
      <c r="N549" s="55">
        <v>0</v>
      </c>
      <c r="O549" s="10">
        <v>0</v>
      </c>
      <c r="P549" s="54"/>
      <c r="Q549" s="56">
        <f>+P549</f>
      </c>
    </row>
    <row r="551">
      <c r="A551" s="43" t="inlineStr">
        <is>
          <t>T O T A L</t>
        </is>
      </c>
      <c r="B551" s="44"/>
      <c r="C551" s="45">
        <f>COUNTA(A549:A549)</f>
      </c>
      <c r="D551" s="65">
        <f>SUM(D549:D549)</f>
      </c>
      <c r="E551" s="65">
        <f>SUM(E549:E549)</f>
      </c>
      <c r="F551" s="65">
        <f>SUM(F549:F549)</f>
      </c>
      <c r="G551" s="65">
        <f>SUM(G549:G549)</f>
      </c>
      <c r="H551" s="65">
        <f>SUM(H549:H549)</f>
      </c>
      <c r="I551" s="65">
        <f>SUM(I549:I549)</f>
      </c>
      <c r="J551" s="65">
        <f>SUM(J549:J549)</f>
      </c>
      <c r="K551" s="65">
        <f>SUM(K549:K549)</f>
      </c>
      <c r="L551" s="65">
        <f>SUM(L549:L549)</f>
      </c>
      <c r="M551" s="65">
        <f>SUM(M549:M549)</f>
      </c>
      <c r="N551" s="65">
        <f>SUM(N549:N549)</f>
      </c>
      <c r="O551" s="65">
        <f>SUM(O549:O549)</f>
      </c>
      <c r="P551" s="65">
        <f>SUM(P549:P549)</f>
      </c>
      <c r="Q551" s="65">
        <f>SUM(Q549:Q549)</f>
      </c>
    </row>
    <row r="552">
      <c r="A552" s="66" t="inlineStr">
        <is>
          <t>OBSERVACIONES: </t>
        </is>
      </c>
      <c r="B552" s="67"/>
      <c r="C552" s="68"/>
      <c r="D552" s="69"/>
      <c r="E552" s="69"/>
      <c r="F552" s="70"/>
      <c r="G552" s="69"/>
      <c r="H552" s="69"/>
      <c r="I552" s="69"/>
      <c r="J552" s="69"/>
      <c r="K552" s="69"/>
      <c r="L552" s="70"/>
      <c r="M552" s="71"/>
      <c r="N552" s="72"/>
      <c r="O552" s="72"/>
      <c r="P552" s="73"/>
      <c r="Q552" s="74"/>
    </row>
    <row r="553">
      <c r="P553" s="65" t="inlineStr">
        <is>
          <t>TOTAL A RECIBIR EN ALMACEN:</t>
        </is>
      </c>
      <c r="Q553" s="65">
        <f>Q551</f>
      </c>
    </row>
    <row r="556">
      <c r="B556" s="40" t="inlineStr">
        <is>
          <t>ALMACEN RURAL : GUADALUPE ETLA</t>
        </is>
      </c>
      <c r="C556" s="41"/>
    </row>
    <row r="559">
      <c r="A559" s="1">
        <v>2104</v>
      </c>
      <c r="B559" s="52">
        <v>10101</v>
      </c>
      <c r="C559" s="53" t="inlineStr">
        <is>
          <t>ZONA URBANA</t>
        </is>
      </c>
      <c r="D559" s="57">
        <v>88</v>
      </c>
      <c r="E559" s="57">
        <v>128</v>
      </c>
      <c r="F559" s="10">
        <f>E559*0.666*24/72</f>
      </c>
      <c r="G559" s="54">
        <v>0</v>
      </c>
      <c r="H559" s="54">
        <v>0</v>
      </c>
      <c r="I559" s="54">
        <v>0</v>
      </c>
      <c r="J559" s="54">
        <v>0</v>
      </c>
      <c r="K559" s="54">
        <v>0</v>
      </c>
      <c r="L559" s="55">
        <v>0</v>
      </c>
      <c r="M559" s="54">
        <v>0</v>
      </c>
      <c r="N559" s="55">
        <v>0</v>
      </c>
      <c r="O559" s="10">
        <v>0</v>
      </c>
      <c r="P559" s="54"/>
      <c r="Q559" s="56">
        <f>+P559</f>
      </c>
    </row>
    <row r="560">
      <c r="A560" s="1">
        <v>2105</v>
      </c>
      <c r="B560" s="52">
        <v>10101</v>
      </c>
      <c r="C560" s="53" t="inlineStr">
        <is>
          <t>ACATLAN DE PEREZ FIGUEROA</t>
        </is>
      </c>
      <c r="D560" s="57">
        <v>221</v>
      </c>
      <c r="E560" s="57">
        <v>360</v>
      </c>
      <c r="F560" s="10">
        <f>E560*0.666*24/72</f>
      </c>
      <c r="G560" s="54">
        <v>0</v>
      </c>
      <c r="H560" s="54">
        <v>0</v>
      </c>
      <c r="I560" s="54">
        <v>0</v>
      </c>
      <c r="J560" s="54">
        <v>0</v>
      </c>
      <c r="K560" s="54">
        <v>0</v>
      </c>
      <c r="L560" s="55">
        <v>0</v>
      </c>
      <c r="M560" s="54">
        <v>0</v>
      </c>
      <c r="N560" s="55">
        <v>0</v>
      </c>
      <c r="O560" s="10">
        <v>0</v>
      </c>
      <c r="P560" s="54"/>
      <c r="Q560" s="56">
        <f>+P560</f>
      </c>
    </row>
    <row r="561">
      <c r="A561" s="1">
        <v>2106</v>
      </c>
      <c r="B561" s="52">
        <v>10101</v>
      </c>
      <c r="C561" s="53" t="inlineStr">
        <is>
          <t>VICENTE CAMALOTE</t>
        </is>
      </c>
      <c r="D561" s="57">
        <v>123</v>
      </c>
      <c r="E561" s="57">
        <v>201</v>
      </c>
      <c r="F561" s="10">
        <f>E561*0.666*24/72</f>
      </c>
      <c r="G561" s="54">
        <v>0</v>
      </c>
      <c r="H561" s="54">
        <v>0</v>
      </c>
      <c r="I561" s="54">
        <v>0</v>
      </c>
      <c r="J561" s="54">
        <v>0</v>
      </c>
      <c r="K561" s="54">
        <v>0</v>
      </c>
      <c r="L561" s="55">
        <v>0</v>
      </c>
      <c r="M561" s="54">
        <v>0</v>
      </c>
      <c r="N561" s="55">
        <v>0</v>
      </c>
      <c r="O561" s="10">
        <v>0</v>
      </c>
      <c r="P561" s="54"/>
      <c r="Q561" s="56">
        <f>+P561</f>
      </c>
    </row>
    <row r="562">
      <c r="A562" s="1">
        <v>6103</v>
      </c>
      <c r="B562" s="52">
        <v>10101</v>
      </c>
      <c r="C562" s="53" t="inlineStr">
        <is>
          <t>AMPLIACION CHOCANO</t>
        </is>
      </c>
      <c r="D562" s="57">
        <v>224</v>
      </c>
      <c r="E562" s="57">
        <v>331</v>
      </c>
      <c r="F562" s="10">
        <f>E562*0.666*24/72</f>
      </c>
      <c r="G562" s="54">
        <v>0</v>
      </c>
      <c r="H562" s="54">
        <v>0</v>
      </c>
      <c r="I562" s="54">
        <v>0</v>
      </c>
      <c r="J562" s="54">
        <v>0</v>
      </c>
      <c r="K562" s="54">
        <v>0</v>
      </c>
      <c r="L562" s="55">
        <v>0</v>
      </c>
      <c r="M562" s="54">
        <v>0</v>
      </c>
      <c r="N562" s="55">
        <v>0</v>
      </c>
      <c r="O562" s="10">
        <v>0</v>
      </c>
      <c r="P562" s="54"/>
      <c r="Q562" s="56">
        <f>+P562</f>
      </c>
    </row>
    <row r="563">
      <c r="A563" s="1">
        <v>6104</v>
      </c>
      <c r="B563" s="52">
        <v>10101</v>
      </c>
      <c r="C563" s="53" t="inlineStr">
        <is>
          <t>ASUNCION NOCHIXTLAN EL CALVARIO</t>
        </is>
      </c>
      <c r="D563" s="57">
        <v>582</v>
      </c>
      <c r="E563" s="57">
        <v>943</v>
      </c>
      <c r="F563" s="10">
        <f>E563*0.666*24/72</f>
      </c>
      <c r="G563" s="54">
        <v>0</v>
      </c>
      <c r="H563" s="54">
        <v>0</v>
      </c>
      <c r="I563" s="54">
        <v>0</v>
      </c>
      <c r="J563" s="54">
        <v>0</v>
      </c>
      <c r="K563" s="54">
        <v>0</v>
      </c>
      <c r="L563" s="55">
        <v>0</v>
      </c>
      <c r="M563" s="54">
        <v>0</v>
      </c>
      <c r="N563" s="55">
        <v>0</v>
      </c>
      <c r="O563" s="10">
        <v>0</v>
      </c>
      <c r="P563" s="54"/>
      <c r="Q563" s="56">
        <f>+P563</f>
      </c>
    </row>
    <row r="564">
      <c r="A564" s="1">
        <v>10101</v>
      </c>
      <c r="B564" s="52">
        <v>10101</v>
      </c>
      <c r="C564" s="53" t="inlineStr">
        <is>
          <t>BARRIO LA SOLEDAD</t>
        </is>
      </c>
      <c r="D564" s="57">
        <v>183</v>
      </c>
      <c r="E564" s="57">
        <v>292</v>
      </c>
      <c r="F564" s="10">
        <f>E564*0.666*24/72</f>
      </c>
      <c r="G564" s="54">
        <v>0</v>
      </c>
      <c r="H564" s="54">
        <v>0</v>
      </c>
      <c r="I564" s="54">
        <v>0</v>
      </c>
      <c r="J564" s="54">
        <v>0</v>
      </c>
      <c r="K564" s="54">
        <v>0</v>
      </c>
      <c r="L564" s="55">
        <v>0</v>
      </c>
      <c r="M564" s="54">
        <v>0</v>
      </c>
      <c r="N564" s="55">
        <v>0</v>
      </c>
      <c r="O564" s="10">
        <v>0</v>
      </c>
      <c r="P564" s="54"/>
      <c r="Q564" s="56">
        <f>+P564</f>
      </c>
    </row>
    <row r="565">
      <c r="A565" s="1">
        <v>14104</v>
      </c>
      <c r="B565" s="52">
        <v>10101</v>
      </c>
      <c r="C565" s="53" t="inlineStr">
        <is>
          <t>CIUDAD IXTEPEC</t>
        </is>
      </c>
      <c r="D565" s="57">
        <v>285</v>
      </c>
      <c r="E565" s="57">
        <v>425</v>
      </c>
      <c r="F565" s="10">
        <f>E565*0.666*24/72</f>
      </c>
      <c r="G565" s="54">
        <v>0</v>
      </c>
      <c r="H565" s="54">
        <v>0</v>
      </c>
      <c r="I565" s="54">
        <v>0</v>
      </c>
      <c r="J565" s="54">
        <v>0</v>
      </c>
      <c r="K565" s="54">
        <v>0</v>
      </c>
      <c r="L565" s="55">
        <v>0</v>
      </c>
      <c r="M565" s="54">
        <v>0</v>
      </c>
      <c r="N565" s="55">
        <v>0</v>
      </c>
      <c r="O565" s="10">
        <v>0</v>
      </c>
      <c r="P565" s="54"/>
      <c r="Q565" s="56">
        <f>+P565</f>
      </c>
    </row>
    <row r="566">
      <c r="A566" s="1">
        <v>30102</v>
      </c>
      <c r="B566" s="52">
        <v>10101</v>
      </c>
      <c r="C566" s="53" t="inlineStr">
        <is>
          <t>EL ESPINAL</t>
        </is>
      </c>
      <c r="D566" s="57">
        <v>84</v>
      </c>
      <c r="E566" s="57">
        <v>125</v>
      </c>
      <c r="F566" s="10">
        <f>E566*0.666*24/72</f>
      </c>
      <c r="G566" s="54">
        <v>0</v>
      </c>
      <c r="H566" s="54">
        <v>0</v>
      </c>
      <c r="I566" s="54">
        <v>0</v>
      </c>
      <c r="J566" s="54">
        <v>0</v>
      </c>
      <c r="K566" s="54">
        <v>0</v>
      </c>
      <c r="L566" s="55">
        <v>0</v>
      </c>
      <c r="M566" s="54">
        <v>0</v>
      </c>
      <c r="N566" s="55">
        <v>0</v>
      </c>
      <c r="O566" s="10">
        <v>0</v>
      </c>
      <c r="P566" s="54"/>
      <c r="Q566" s="56">
        <f>+P566</f>
      </c>
    </row>
    <row r="567">
      <c r="A567" s="1">
        <v>39102</v>
      </c>
      <c r="B567" s="52">
        <v>10101</v>
      </c>
      <c r="C567" s="53" t="inlineStr">
        <is>
          <t>COL  CENTRO</t>
        </is>
      </c>
      <c r="D567" s="57">
        <v>440</v>
      </c>
      <c r="E567" s="57">
        <v>708</v>
      </c>
      <c r="F567" s="10">
        <f>E567*0.666*24/72</f>
      </c>
      <c r="G567" s="54">
        <v>0</v>
      </c>
      <c r="H567" s="54">
        <v>0</v>
      </c>
      <c r="I567" s="54">
        <v>0</v>
      </c>
      <c r="J567" s="54">
        <v>0</v>
      </c>
      <c r="K567" s="54">
        <v>0</v>
      </c>
      <c r="L567" s="55">
        <v>0</v>
      </c>
      <c r="M567" s="54">
        <v>0</v>
      </c>
      <c r="N567" s="55">
        <v>0</v>
      </c>
      <c r="O567" s="10">
        <v>0</v>
      </c>
      <c r="P567" s="54"/>
      <c r="Q567" s="56">
        <f>+P567</f>
      </c>
    </row>
    <row r="568">
      <c r="A568" s="1">
        <v>39103</v>
      </c>
      <c r="B568" s="52">
        <v>10101</v>
      </c>
      <c r="C568" s="53" t="inlineStr">
        <is>
          <t>EL CALVARIO</t>
        </is>
      </c>
      <c r="D568" s="57">
        <v>166</v>
      </c>
      <c r="E568" s="57">
        <v>291</v>
      </c>
      <c r="F568" s="10">
        <f>E568*0.666*24/72</f>
      </c>
      <c r="G568" s="54">
        <v>0</v>
      </c>
      <c r="H568" s="54">
        <v>0</v>
      </c>
      <c r="I568" s="54">
        <v>0</v>
      </c>
      <c r="J568" s="54">
        <v>0</v>
      </c>
      <c r="K568" s="54">
        <v>0</v>
      </c>
      <c r="L568" s="55">
        <v>0</v>
      </c>
      <c r="M568" s="54">
        <v>0</v>
      </c>
      <c r="N568" s="55">
        <v>0</v>
      </c>
      <c r="O568" s="10">
        <v>0</v>
      </c>
      <c r="P568" s="54"/>
      <c r="Q568" s="56">
        <f>+P568</f>
      </c>
    </row>
    <row r="569">
      <c r="A569" s="1">
        <v>39104</v>
      </c>
      <c r="B569" s="52">
        <v>10101</v>
      </c>
      <c r="C569" s="53" t="inlineStr">
        <is>
          <t>STA  ROSA 2A SECCION</t>
        </is>
      </c>
      <c r="D569" s="57">
        <v>137</v>
      </c>
      <c r="E569" s="57">
        <v>215</v>
      </c>
      <c r="F569" s="10">
        <f>E569*0.666*24/72</f>
      </c>
      <c r="G569" s="54">
        <v>0</v>
      </c>
      <c r="H569" s="54">
        <v>0</v>
      </c>
      <c r="I569" s="54">
        <v>0</v>
      </c>
      <c r="J569" s="54">
        <v>0</v>
      </c>
      <c r="K569" s="54">
        <v>0</v>
      </c>
      <c r="L569" s="55">
        <v>0</v>
      </c>
      <c r="M569" s="54">
        <v>0</v>
      </c>
      <c r="N569" s="55">
        <v>0</v>
      </c>
      <c r="O569" s="10">
        <v>0</v>
      </c>
      <c r="P569" s="54"/>
      <c r="Q569" s="56">
        <f>+P569</f>
      </c>
    </row>
    <row r="570">
      <c r="A570" s="1">
        <v>39105</v>
      </c>
      <c r="B570" s="52">
        <v>10101</v>
      </c>
      <c r="C570" s="53" t="inlineStr">
        <is>
          <t>LOS ALAMOS</t>
        </is>
      </c>
      <c r="D570" s="57">
        <v>222</v>
      </c>
      <c r="E570" s="57">
        <v>366</v>
      </c>
      <c r="F570" s="10">
        <f>E570*0.666*24/72</f>
      </c>
      <c r="G570" s="54">
        <v>0</v>
      </c>
      <c r="H570" s="54">
        <v>0</v>
      </c>
      <c r="I570" s="54">
        <v>0</v>
      </c>
      <c r="J570" s="54">
        <v>0</v>
      </c>
      <c r="K570" s="54">
        <v>0</v>
      </c>
      <c r="L570" s="55">
        <v>0</v>
      </c>
      <c r="M570" s="54">
        <v>0</v>
      </c>
      <c r="N570" s="55">
        <v>0</v>
      </c>
      <c r="O570" s="10">
        <v>0</v>
      </c>
      <c r="P570" s="54"/>
      <c r="Q570" s="56">
        <f>+P570</f>
      </c>
    </row>
    <row r="571">
      <c r="A571" s="1">
        <v>39106</v>
      </c>
      <c r="B571" s="52">
        <v>10101</v>
      </c>
      <c r="C571" s="53" t="inlineStr">
        <is>
          <t>EL MIRADOR</t>
        </is>
      </c>
      <c r="D571" s="57">
        <v>107</v>
      </c>
      <c r="E571" s="57">
        <v>156</v>
      </c>
      <c r="F571" s="10">
        <f>E571*0.666*24/72</f>
      </c>
      <c r="G571" s="54">
        <v>0</v>
      </c>
      <c r="H571" s="54">
        <v>0</v>
      </c>
      <c r="I571" s="54">
        <v>0</v>
      </c>
      <c r="J571" s="54">
        <v>0</v>
      </c>
      <c r="K571" s="54">
        <v>0</v>
      </c>
      <c r="L571" s="55">
        <v>0</v>
      </c>
      <c r="M571" s="54">
        <v>0</v>
      </c>
      <c r="N571" s="55">
        <v>0</v>
      </c>
      <c r="O571" s="10">
        <v>0</v>
      </c>
      <c r="P571" s="54"/>
      <c r="Q571" s="56">
        <f>+P571</f>
      </c>
    </row>
    <row r="572">
      <c r="A572" s="1">
        <v>39108</v>
      </c>
      <c r="B572" s="52">
        <v>10101</v>
      </c>
      <c r="C572" s="53" t="inlineStr">
        <is>
          <t>TEPEYAC</t>
        </is>
      </c>
      <c r="D572" s="57">
        <v>126</v>
      </c>
      <c r="E572" s="57">
        <v>213</v>
      </c>
      <c r="F572" s="10">
        <f>E572*0.666*24/72</f>
      </c>
      <c r="G572" s="54">
        <v>0</v>
      </c>
      <c r="H572" s="54">
        <v>0</v>
      </c>
      <c r="I572" s="54">
        <v>0</v>
      </c>
      <c r="J572" s="54">
        <v>0</v>
      </c>
      <c r="K572" s="54">
        <v>0</v>
      </c>
      <c r="L572" s="55">
        <v>0</v>
      </c>
      <c r="M572" s="54">
        <v>0</v>
      </c>
      <c r="N572" s="55">
        <v>0</v>
      </c>
      <c r="O572" s="10">
        <v>0</v>
      </c>
      <c r="P572" s="54"/>
      <c r="Q572" s="56">
        <f>+P572</f>
      </c>
    </row>
    <row r="573">
      <c r="A573" s="1">
        <v>39110</v>
      </c>
      <c r="B573" s="52">
        <v>10101</v>
      </c>
      <c r="C573" s="53" t="inlineStr">
        <is>
          <t>REFORMA</t>
        </is>
      </c>
      <c r="D573" s="57">
        <v>102</v>
      </c>
      <c r="E573" s="57">
        <v>171</v>
      </c>
      <c r="F573" s="10">
        <f>E573*0.666*24/72</f>
      </c>
      <c r="G573" s="54">
        <v>0</v>
      </c>
      <c r="H573" s="54">
        <v>0</v>
      </c>
      <c r="I573" s="54">
        <v>0</v>
      </c>
      <c r="J573" s="54">
        <v>0</v>
      </c>
      <c r="K573" s="54">
        <v>0</v>
      </c>
      <c r="L573" s="55">
        <v>0</v>
      </c>
      <c r="M573" s="54">
        <v>0</v>
      </c>
      <c r="N573" s="55">
        <v>0</v>
      </c>
      <c r="O573" s="10">
        <v>0</v>
      </c>
      <c r="P573" s="54"/>
      <c r="Q573" s="56">
        <f>+P573</f>
      </c>
    </row>
    <row r="574">
      <c r="A574" s="1">
        <v>39111</v>
      </c>
      <c r="B574" s="52">
        <v>10101</v>
      </c>
      <c r="C574" s="53" t="inlineStr">
        <is>
          <t>COLONIA DEL MAESTRO</t>
        </is>
      </c>
      <c r="D574" s="57">
        <v>134</v>
      </c>
      <c r="E574" s="57">
        <v>216</v>
      </c>
      <c r="F574" s="10">
        <f>E574*0.666*24/72</f>
      </c>
      <c r="G574" s="54">
        <v>0</v>
      </c>
      <c r="H574" s="54">
        <v>0</v>
      </c>
      <c r="I574" s="54">
        <v>0</v>
      </c>
      <c r="J574" s="54">
        <v>0</v>
      </c>
      <c r="K574" s="54">
        <v>0</v>
      </c>
      <c r="L574" s="55">
        <v>0</v>
      </c>
      <c r="M574" s="54">
        <v>0</v>
      </c>
      <c r="N574" s="55">
        <v>0</v>
      </c>
      <c r="O574" s="10">
        <v>0</v>
      </c>
      <c r="P574" s="54"/>
      <c r="Q574" s="56">
        <f>+P574</f>
      </c>
    </row>
    <row r="575">
      <c r="A575" s="1">
        <v>39116</v>
      </c>
      <c r="B575" s="52">
        <v>10101</v>
      </c>
      <c r="C575" s="53" t="inlineStr">
        <is>
          <t>AGUA DULCE</t>
        </is>
      </c>
      <c r="D575" s="57">
        <v>75</v>
      </c>
      <c r="E575" s="57">
        <v>107</v>
      </c>
      <c r="F575" s="10">
        <f>E575*0.666*24/72</f>
      </c>
      <c r="G575" s="54">
        <v>0</v>
      </c>
      <c r="H575" s="54">
        <v>0</v>
      </c>
      <c r="I575" s="54">
        <v>0</v>
      </c>
      <c r="J575" s="54">
        <v>0</v>
      </c>
      <c r="K575" s="54">
        <v>0</v>
      </c>
      <c r="L575" s="55">
        <v>0</v>
      </c>
      <c r="M575" s="54">
        <v>0</v>
      </c>
      <c r="N575" s="55">
        <v>0</v>
      </c>
      <c r="O575" s="10">
        <v>0</v>
      </c>
      <c r="P575" s="54"/>
      <c r="Q575" s="56">
        <f>+P575</f>
      </c>
    </row>
    <row r="576">
      <c r="A576" s="1">
        <v>43112</v>
      </c>
      <c r="B576" s="52">
        <v>10101</v>
      </c>
      <c r="C576" s="53" t="inlineStr">
        <is>
          <t>JUCHITAN DE ZARAGOZA</t>
        </is>
      </c>
      <c r="D576" s="57">
        <v>121</v>
      </c>
      <c r="E576" s="57">
        <v>145</v>
      </c>
      <c r="F576" s="10">
        <f>E576*0.666*24/72</f>
      </c>
      <c r="G576" s="54">
        <v>0</v>
      </c>
      <c r="H576" s="54">
        <v>0</v>
      </c>
      <c r="I576" s="54">
        <v>0</v>
      </c>
      <c r="J576" s="54">
        <v>0</v>
      </c>
      <c r="K576" s="54">
        <v>0</v>
      </c>
      <c r="L576" s="55">
        <v>0</v>
      </c>
      <c r="M576" s="54">
        <v>0</v>
      </c>
      <c r="N576" s="55">
        <v>0</v>
      </c>
      <c r="O576" s="10">
        <v>0</v>
      </c>
      <c r="P576" s="54"/>
      <c r="Q576" s="56">
        <f>+P576</f>
      </c>
    </row>
    <row r="577">
      <c r="A577" s="1">
        <v>43113</v>
      </c>
      <c r="B577" s="52">
        <v>10101</v>
      </c>
      <c r="C577" s="53" t="inlineStr">
        <is>
          <t>PLANTA IMPREGNADORA</t>
        </is>
      </c>
      <c r="D577" s="57">
        <v>98</v>
      </c>
      <c r="E577" s="57">
        <v>170</v>
      </c>
      <c r="F577" s="10">
        <f>E577*0.666*24/72</f>
      </c>
      <c r="G577" s="54">
        <v>0</v>
      </c>
      <c r="H577" s="54">
        <v>0</v>
      </c>
      <c r="I577" s="54">
        <v>0</v>
      </c>
      <c r="J577" s="54">
        <v>0</v>
      </c>
      <c r="K577" s="54">
        <v>0</v>
      </c>
      <c r="L577" s="55">
        <v>0</v>
      </c>
      <c r="M577" s="54">
        <v>0</v>
      </c>
      <c r="N577" s="55">
        <v>0</v>
      </c>
      <c r="O577" s="10">
        <v>0</v>
      </c>
      <c r="P577" s="54"/>
      <c r="Q577" s="56">
        <f>+P577</f>
      </c>
    </row>
    <row r="578">
      <c r="A578" s="1">
        <v>44102</v>
      </c>
      <c r="B578" s="52">
        <v>10101</v>
      </c>
      <c r="C578" s="53" t="inlineStr">
        <is>
          <t>LOMA BONITA</t>
        </is>
      </c>
      <c r="D578" s="57">
        <v>645</v>
      </c>
      <c r="E578" s="57">
        <v>1139</v>
      </c>
      <c r="F578" s="10">
        <f>E578*0.666*24/72</f>
      </c>
      <c r="G578" s="54">
        <v>0</v>
      </c>
      <c r="H578" s="54">
        <v>0</v>
      </c>
      <c r="I578" s="54">
        <v>0</v>
      </c>
      <c r="J578" s="54">
        <v>0</v>
      </c>
      <c r="K578" s="54">
        <v>0</v>
      </c>
      <c r="L578" s="55">
        <v>0</v>
      </c>
      <c r="M578" s="54">
        <v>0</v>
      </c>
      <c r="N578" s="55">
        <v>0</v>
      </c>
      <c r="O578" s="10">
        <v>0</v>
      </c>
      <c r="P578" s="54"/>
      <c r="Q578" s="56">
        <f>+P578</f>
      </c>
    </row>
    <row r="579">
      <c r="A579" s="1">
        <v>44104</v>
      </c>
      <c r="B579" s="52">
        <v>10101</v>
      </c>
      <c r="C579" s="53" t="inlineStr">
        <is>
          <t>BARRIO EL CONEJO</t>
        </is>
      </c>
      <c r="D579" s="57">
        <v>124</v>
      </c>
      <c r="E579" s="57">
        <v>198</v>
      </c>
      <c r="F579" s="10">
        <f>E579*0.666*24/72</f>
      </c>
      <c r="G579" s="54">
        <v>0</v>
      </c>
      <c r="H579" s="54">
        <v>0</v>
      </c>
      <c r="I579" s="54">
        <v>0</v>
      </c>
      <c r="J579" s="54">
        <v>0</v>
      </c>
      <c r="K579" s="54">
        <v>0</v>
      </c>
      <c r="L579" s="55">
        <v>0</v>
      </c>
      <c r="M579" s="54">
        <v>0</v>
      </c>
      <c r="N579" s="55">
        <v>0</v>
      </c>
      <c r="O579" s="10">
        <v>0</v>
      </c>
      <c r="P579" s="54"/>
      <c r="Q579" s="56">
        <f>+P579</f>
      </c>
    </row>
    <row r="580">
      <c r="A580" s="1">
        <v>44105</v>
      </c>
      <c r="B580" s="52">
        <v>10101</v>
      </c>
      <c r="C580" s="53" t="inlineStr">
        <is>
          <t>LAS PI AS</t>
        </is>
      </c>
      <c r="D580" s="57">
        <v>132</v>
      </c>
      <c r="E580" s="57">
        <v>194</v>
      </c>
      <c r="F580" s="10">
        <f>E580*0.666*24/72</f>
      </c>
      <c r="G580" s="54">
        <v>0</v>
      </c>
      <c r="H580" s="54">
        <v>0</v>
      </c>
      <c r="I580" s="54">
        <v>0</v>
      </c>
      <c r="J580" s="54">
        <v>0</v>
      </c>
      <c r="K580" s="54">
        <v>0</v>
      </c>
      <c r="L580" s="55">
        <v>0</v>
      </c>
      <c r="M580" s="54">
        <v>0</v>
      </c>
      <c r="N580" s="55">
        <v>0</v>
      </c>
      <c r="O580" s="10">
        <v>0</v>
      </c>
      <c r="P580" s="54"/>
      <c r="Q580" s="56">
        <f>+P580</f>
      </c>
    </row>
    <row r="581">
      <c r="A581" s="1">
        <v>44109</v>
      </c>
      <c r="B581" s="52">
        <v>10101</v>
      </c>
      <c r="C581" s="53" t="inlineStr">
        <is>
          <t>SAN ANTONIO</t>
        </is>
      </c>
      <c r="D581" s="57">
        <v>89</v>
      </c>
      <c r="E581" s="57">
        <v>134</v>
      </c>
      <c r="F581" s="10">
        <f>E581*0.666*24/72</f>
      </c>
      <c r="G581" s="54">
        <v>0</v>
      </c>
      <c r="H581" s="54">
        <v>0</v>
      </c>
      <c r="I581" s="54">
        <v>0</v>
      </c>
      <c r="J581" s="54">
        <v>0</v>
      </c>
      <c r="K581" s="54">
        <v>0</v>
      </c>
      <c r="L581" s="55">
        <v>0</v>
      </c>
      <c r="M581" s="54">
        <v>0</v>
      </c>
      <c r="N581" s="55">
        <v>0</v>
      </c>
      <c r="O581" s="10">
        <v>0</v>
      </c>
      <c r="P581" s="54"/>
      <c r="Q581" s="56">
        <f>+P581</f>
      </c>
    </row>
    <row r="582">
      <c r="A582" s="1">
        <v>44110</v>
      </c>
      <c r="B582" s="52">
        <v>10101</v>
      </c>
      <c r="C582" s="53" t="inlineStr">
        <is>
          <t>ODILON MINA</t>
        </is>
      </c>
      <c r="D582" s="57">
        <v>99</v>
      </c>
      <c r="E582" s="57">
        <v>158</v>
      </c>
      <c r="F582" s="10">
        <f>E582*0.666*24/72</f>
      </c>
      <c r="G582" s="54">
        <v>0</v>
      </c>
      <c r="H582" s="54">
        <v>0</v>
      </c>
      <c r="I582" s="54">
        <v>0</v>
      </c>
      <c r="J582" s="54">
        <v>0</v>
      </c>
      <c r="K582" s="54">
        <v>0</v>
      </c>
      <c r="L582" s="55">
        <v>0</v>
      </c>
      <c r="M582" s="54">
        <v>0</v>
      </c>
      <c r="N582" s="55">
        <v>0</v>
      </c>
      <c r="O582" s="10">
        <v>0</v>
      </c>
      <c r="P582" s="54"/>
      <c r="Q582" s="56">
        <f>+P582</f>
      </c>
    </row>
    <row r="583">
      <c r="A583" s="1">
        <v>54101</v>
      </c>
      <c r="B583" s="52">
        <v>10101</v>
      </c>
      <c r="C583" s="53" t="inlineStr">
        <is>
          <t>MAGDALENA ZAHUATLAN</t>
        </is>
      </c>
      <c r="D583" s="57">
        <v>45</v>
      </c>
      <c r="E583" s="57">
        <v>59</v>
      </c>
      <c r="F583" s="10">
        <f>E583*0.666*24/72</f>
      </c>
      <c r="G583" s="54">
        <v>0</v>
      </c>
      <c r="H583" s="54">
        <v>0</v>
      </c>
      <c r="I583" s="54">
        <v>0</v>
      </c>
      <c r="J583" s="54">
        <v>0</v>
      </c>
      <c r="K583" s="54">
        <v>0</v>
      </c>
      <c r="L583" s="55">
        <v>0</v>
      </c>
      <c r="M583" s="54">
        <v>0</v>
      </c>
      <c r="N583" s="55">
        <v>0</v>
      </c>
      <c r="O583" s="10">
        <v>0</v>
      </c>
      <c r="P583" s="54"/>
      <c r="Q583" s="56">
        <f>+P583</f>
      </c>
    </row>
    <row r="584">
      <c r="A584" s="1">
        <v>57104</v>
      </c>
      <c r="B584" s="52">
        <v>10101</v>
      </c>
      <c r="C584" s="53" t="inlineStr">
        <is>
          <t>BARRIO JUAREZ SUR  (MATIAS )</t>
        </is>
      </c>
      <c r="D584" s="57">
        <v>101</v>
      </c>
      <c r="E584" s="57">
        <v>168</v>
      </c>
      <c r="F584" s="10">
        <f>E584*0.666*24/72</f>
      </c>
      <c r="G584" s="54">
        <v>0</v>
      </c>
      <c r="H584" s="54">
        <v>0</v>
      </c>
      <c r="I584" s="54">
        <v>0</v>
      </c>
      <c r="J584" s="54">
        <v>0</v>
      </c>
      <c r="K584" s="54">
        <v>0</v>
      </c>
      <c r="L584" s="55">
        <v>0</v>
      </c>
      <c r="M584" s="54">
        <v>0</v>
      </c>
      <c r="N584" s="55">
        <v>0</v>
      </c>
      <c r="O584" s="10">
        <v>0</v>
      </c>
      <c r="P584" s="54"/>
      <c r="Q584" s="56">
        <f>+P584</f>
      </c>
    </row>
    <row r="585">
      <c r="A585" s="1">
        <v>57105</v>
      </c>
      <c r="B585" s="52">
        <v>10101</v>
      </c>
      <c r="C585" s="53" t="inlineStr">
        <is>
          <t>COL  OAXAQUE A (MATIAS)</t>
        </is>
      </c>
      <c r="D585" s="57">
        <v>185</v>
      </c>
      <c r="E585" s="57">
        <v>288</v>
      </c>
      <c r="F585" s="10">
        <f>E585*0.666*24/72</f>
      </c>
      <c r="G585" s="54">
        <v>0</v>
      </c>
      <c r="H585" s="54">
        <v>0</v>
      </c>
      <c r="I585" s="54">
        <v>0</v>
      </c>
      <c r="J585" s="54">
        <v>0</v>
      </c>
      <c r="K585" s="54">
        <v>0</v>
      </c>
      <c r="L585" s="55">
        <v>0</v>
      </c>
      <c r="M585" s="54">
        <v>0</v>
      </c>
      <c r="N585" s="55">
        <v>0</v>
      </c>
      <c r="O585" s="10">
        <v>0</v>
      </c>
      <c r="P585" s="54"/>
      <c r="Q585" s="56">
        <f>+P585</f>
      </c>
    </row>
    <row r="586">
      <c r="A586" s="1">
        <v>59107</v>
      </c>
      <c r="B586" s="52">
        <v>10101</v>
      </c>
      <c r="C586" s="53" t="inlineStr">
        <is>
          <t>MIAHUATLAN DE PORFIRIO DIAZ</t>
        </is>
      </c>
      <c r="D586" s="57">
        <v>165</v>
      </c>
      <c r="E586" s="57">
        <v>263</v>
      </c>
      <c r="F586" s="10">
        <f>E586*0.666*24/72</f>
      </c>
      <c r="G586" s="54">
        <v>0</v>
      </c>
      <c r="H586" s="54">
        <v>0</v>
      </c>
      <c r="I586" s="54">
        <v>0</v>
      </c>
      <c r="J586" s="54">
        <v>0</v>
      </c>
      <c r="K586" s="54">
        <v>0</v>
      </c>
      <c r="L586" s="55">
        <v>0</v>
      </c>
      <c r="M586" s="54">
        <v>0</v>
      </c>
      <c r="N586" s="55">
        <v>0</v>
      </c>
      <c r="O586" s="10">
        <v>0</v>
      </c>
      <c r="P586" s="54"/>
      <c r="Q586" s="56">
        <f>+P586</f>
      </c>
    </row>
    <row r="587">
      <c r="A587" s="1">
        <v>59110</v>
      </c>
      <c r="B587" s="52">
        <v>10101</v>
      </c>
      <c r="C587" s="53" t="inlineStr">
        <is>
          <t>MIAHUATLAN CENTRO</t>
        </is>
      </c>
      <c r="D587" s="57">
        <v>283</v>
      </c>
      <c r="E587" s="57">
        <v>429</v>
      </c>
      <c r="F587" s="10">
        <f>E587*0.666*24/72</f>
      </c>
      <c r="G587" s="54">
        <v>0</v>
      </c>
      <c r="H587" s="54">
        <v>0</v>
      </c>
      <c r="I587" s="54">
        <v>0</v>
      </c>
      <c r="J587" s="54">
        <v>0</v>
      </c>
      <c r="K587" s="54">
        <v>0</v>
      </c>
      <c r="L587" s="55">
        <v>0</v>
      </c>
      <c r="M587" s="54">
        <v>0</v>
      </c>
      <c r="N587" s="55">
        <v>0</v>
      </c>
      <c r="O587" s="10">
        <v>0</v>
      </c>
      <c r="P587" s="54"/>
      <c r="Q587" s="56">
        <f>+P587</f>
      </c>
    </row>
    <row r="588">
      <c r="A588" s="1">
        <v>61103</v>
      </c>
      <c r="B588" s="52">
        <v>10101</v>
      </c>
      <c r="C588" s="53" t="inlineStr">
        <is>
          <t>MONJAS</t>
        </is>
      </c>
      <c r="D588" s="57">
        <v>263</v>
      </c>
      <c r="E588" s="57">
        <v>511</v>
      </c>
      <c r="F588" s="10">
        <f>E588*0.666*24/72</f>
      </c>
      <c r="G588" s="54">
        <v>0</v>
      </c>
      <c r="H588" s="54">
        <v>0</v>
      </c>
      <c r="I588" s="54">
        <v>0</v>
      </c>
      <c r="J588" s="54">
        <v>0</v>
      </c>
      <c r="K588" s="54">
        <v>0</v>
      </c>
      <c r="L588" s="55">
        <v>0</v>
      </c>
      <c r="M588" s="54">
        <v>0</v>
      </c>
      <c r="N588" s="55">
        <v>0</v>
      </c>
      <c r="O588" s="10">
        <v>0</v>
      </c>
      <c r="P588" s="54"/>
      <c r="Q588" s="56">
        <f>+P588</f>
      </c>
    </row>
    <row r="589">
      <c r="A589" s="1">
        <v>67142</v>
      </c>
      <c r="B589" s="52">
        <v>10101</v>
      </c>
      <c r="C589" s="53" t="inlineStr">
        <is>
          <t>FALDAS DEL FORTIN</t>
        </is>
      </c>
      <c r="D589" s="57">
        <v>116</v>
      </c>
      <c r="E589" s="57">
        <v>212</v>
      </c>
      <c r="F589" s="10">
        <f>E589*0.666*24/72</f>
      </c>
      <c r="G589" s="54">
        <v>0</v>
      </c>
      <c r="H589" s="54">
        <v>0</v>
      </c>
      <c r="I589" s="54">
        <v>0</v>
      </c>
      <c r="J589" s="54">
        <v>0</v>
      </c>
      <c r="K589" s="54">
        <v>0</v>
      </c>
      <c r="L589" s="55">
        <v>0</v>
      </c>
      <c r="M589" s="54">
        <v>0</v>
      </c>
      <c r="N589" s="55">
        <v>0</v>
      </c>
      <c r="O589" s="10">
        <v>0</v>
      </c>
      <c r="P589" s="54"/>
      <c r="Q589" s="56">
        <f>+P589</f>
      </c>
    </row>
    <row r="590">
      <c r="A590" s="1">
        <v>79103</v>
      </c>
      <c r="B590" s="52">
        <v>10101</v>
      </c>
      <c r="C590" s="53" t="inlineStr">
        <is>
          <t>COLONIA  HIDALGO PONIENTE</t>
        </is>
      </c>
      <c r="D590" s="57">
        <v>607</v>
      </c>
      <c r="E590" s="57">
        <v>978</v>
      </c>
      <c r="F590" s="10">
        <f>E590*0.666*24/72</f>
      </c>
      <c r="G590" s="54">
        <v>0</v>
      </c>
      <c r="H590" s="54">
        <v>0</v>
      </c>
      <c r="I590" s="54">
        <v>0</v>
      </c>
      <c r="J590" s="54">
        <v>0</v>
      </c>
      <c r="K590" s="54">
        <v>0</v>
      </c>
      <c r="L590" s="55">
        <v>0</v>
      </c>
      <c r="M590" s="54">
        <v>0</v>
      </c>
      <c r="N590" s="55">
        <v>0</v>
      </c>
      <c r="O590" s="10">
        <v>0</v>
      </c>
      <c r="P590" s="54"/>
      <c r="Q590" s="56">
        <f>+P590</f>
      </c>
    </row>
    <row r="591">
      <c r="A591" s="1">
        <v>79107</v>
      </c>
      <c r="B591" s="52">
        <v>10101</v>
      </c>
      <c r="C591" s="53" t="inlineStr">
        <is>
          <t>SALINA CRUZ ESPINAL</t>
        </is>
      </c>
      <c r="D591" s="57">
        <v>180</v>
      </c>
      <c r="E591" s="57">
        <v>278</v>
      </c>
      <c r="F591" s="10">
        <f>E591*0.666*24/72</f>
      </c>
      <c r="G591" s="54">
        <v>0</v>
      </c>
      <c r="H591" s="54">
        <v>0</v>
      </c>
      <c r="I591" s="54">
        <v>0</v>
      </c>
      <c r="J591" s="54">
        <v>0</v>
      </c>
      <c r="K591" s="54">
        <v>0</v>
      </c>
      <c r="L591" s="55">
        <v>0</v>
      </c>
      <c r="M591" s="54">
        <v>0</v>
      </c>
      <c r="N591" s="55">
        <v>0</v>
      </c>
      <c r="O591" s="10">
        <v>0</v>
      </c>
      <c r="P591" s="54"/>
      <c r="Q591" s="56">
        <f>+P591</f>
      </c>
    </row>
    <row r="592">
      <c r="A592" s="1">
        <v>96101</v>
      </c>
      <c r="B592" s="52">
        <v>10101</v>
      </c>
      <c r="C592" s="53" t="inlineStr">
        <is>
          <t>SAN ANDRES SINAXTLA</t>
        </is>
      </c>
      <c r="D592" s="57">
        <v>122</v>
      </c>
      <c r="E592" s="57">
        <v>252</v>
      </c>
      <c r="F592" s="10">
        <f>E592*0.666*24/72</f>
      </c>
      <c r="G592" s="54">
        <v>0</v>
      </c>
      <c r="H592" s="54">
        <v>0</v>
      </c>
      <c r="I592" s="54">
        <v>0</v>
      </c>
      <c r="J592" s="54">
        <v>0</v>
      </c>
      <c r="K592" s="54">
        <v>0</v>
      </c>
      <c r="L592" s="55">
        <v>0</v>
      </c>
      <c r="M592" s="54">
        <v>0</v>
      </c>
      <c r="N592" s="55">
        <v>0</v>
      </c>
      <c r="O592" s="10">
        <v>0</v>
      </c>
      <c r="P592" s="54"/>
      <c r="Q592" s="56">
        <f>+P592</f>
      </c>
    </row>
    <row r="593">
      <c r="A593" s="1">
        <v>100013</v>
      </c>
      <c r="B593" s="52">
        <v>10101</v>
      </c>
      <c r="C593" s="53" t="inlineStr">
        <is>
          <t>OCOTLAN DE MORELOS</t>
        </is>
      </c>
      <c r="D593" s="57">
        <v>394</v>
      </c>
      <c r="E593" s="57">
        <v>665</v>
      </c>
      <c r="F593" s="10">
        <f>E593*0.666*24/72</f>
      </c>
      <c r="G593" s="54">
        <v>0</v>
      </c>
      <c r="H593" s="54">
        <v>0</v>
      </c>
      <c r="I593" s="54">
        <v>0</v>
      </c>
      <c r="J593" s="54">
        <v>0</v>
      </c>
      <c r="K593" s="54">
        <v>0</v>
      </c>
      <c r="L593" s="55">
        <v>0</v>
      </c>
      <c r="M593" s="54">
        <v>0</v>
      </c>
      <c r="N593" s="55">
        <v>0</v>
      </c>
      <c r="O593" s="10">
        <v>0</v>
      </c>
      <c r="P593" s="54"/>
      <c r="Q593" s="56">
        <f>+P593</f>
      </c>
    </row>
    <row r="594">
      <c r="A594" s="1">
        <v>110049</v>
      </c>
      <c r="B594" s="52">
        <v>10101</v>
      </c>
      <c r="C594" s="53" t="inlineStr">
        <is>
          <t>EJUTLA DE CRESPO</t>
        </is>
      </c>
      <c r="D594" s="57">
        <v>224</v>
      </c>
      <c r="E594" s="57">
        <v>355</v>
      </c>
      <c r="F594" s="10">
        <f>E594*0.666*24/72</f>
      </c>
      <c r="G594" s="54">
        <v>0</v>
      </c>
      <c r="H594" s="54">
        <v>0</v>
      </c>
      <c r="I594" s="54">
        <v>0</v>
      </c>
      <c r="J594" s="54">
        <v>0</v>
      </c>
      <c r="K594" s="54">
        <v>0</v>
      </c>
      <c r="L594" s="55">
        <v>0</v>
      </c>
      <c r="M594" s="54">
        <v>0</v>
      </c>
      <c r="N594" s="55">
        <v>0</v>
      </c>
      <c r="O594" s="10">
        <v>0</v>
      </c>
      <c r="P594" s="54"/>
      <c r="Q594" s="56">
        <f>+P594</f>
      </c>
    </row>
    <row r="595">
      <c r="A595" s="1">
        <v>110106</v>
      </c>
      <c r="B595" s="52">
        <v>10101</v>
      </c>
      <c r="C595" s="53" t="inlineStr">
        <is>
          <t>SANTO DOMINGO TEHUANTEPEC</t>
        </is>
      </c>
      <c r="D595" s="57">
        <v>430</v>
      </c>
      <c r="E595" s="57">
        <v>713</v>
      </c>
      <c r="F595" s="10">
        <f>E595*0.666*24/72</f>
      </c>
      <c r="G595" s="54">
        <v>0</v>
      </c>
      <c r="H595" s="54">
        <v>0</v>
      </c>
      <c r="I595" s="54">
        <v>0</v>
      </c>
      <c r="J595" s="54">
        <v>0</v>
      </c>
      <c r="K595" s="54">
        <v>0</v>
      </c>
      <c r="L595" s="55">
        <v>0</v>
      </c>
      <c r="M595" s="54">
        <v>0</v>
      </c>
      <c r="N595" s="55">
        <v>0</v>
      </c>
      <c r="O595" s="10">
        <v>0</v>
      </c>
      <c r="P595" s="54"/>
      <c r="Q595" s="56">
        <f>+P595</f>
      </c>
    </row>
    <row r="596">
      <c r="A596" s="1">
        <v>110109</v>
      </c>
      <c r="B596" s="52">
        <v>10101</v>
      </c>
      <c r="C596" s="53" t="inlineStr">
        <is>
          <t>JUCHITAN DE ZARAGOZA</t>
        </is>
      </c>
      <c r="D596" s="57">
        <v>320</v>
      </c>
      <c r="E596" s="57">
        <v>508</v>
      </c>
      <c r="F596" s="10">
        <f>E596*0.666*24/72</f>
      </c>
      <c r="G596" s="54">
        <v>0</v>
      </c>
      <c r="H596" s="54">
        <v>0</v>
      </c>
      <c r="I596" s="54">
        <v>0</v>
      </c>
      <c r="J596" s="54">
        <v>0</v>
      </c>
      <c r="K596" s="54">
        <v>0</v>
      </c>
      <c r="L596" s="55">
        <v>0</v>
      </c>
      <c r="M596" s="54">
        <v>0</v>
      </c>
      <c r="N596" s="55">
        <v>0</v>
      </c>
      <c r="O596" s="10">
        <v>0</v>
      </c>
      <c r="P596" s="54"/>
      <c r="Q596" s="56">
        <f>+P596</f>
      </c>
    </row>
    <row r="597">
      <c r="A597" s="1">
        <v>110130</v>
      </c>
      <c r="B597" s="52">
        <v>10101</v>
      </c>
      <c r="C597" s="53" t="inlineStr">
        <is>
          <t>SALINAS DEL MARQUEZ</t>
        </is>
      </c>
      <c r="D597" s="57">
        <v>320</v>
      </c>
      <c r="E597" s="57">
        <v>482</v>
      </c>
      <c r="F597" s="10">
        <f>E597*0.666*24/72</f>
      </c>
      <c r="G597" s="54">
        <v>0</v>
      </c>
      <c r="H597" s="54">
        <v>0</v>
      </c>
      <c r="I597" s="54">
        <v>0</v>
      </c>
      <c r="J597" s="54">
        <v>0</v>
      </c>
      <c r="K597" s="54">
        <v>0</v>
      </c>
      <c r="L597" s="55">
        <v>0</v>
      </c>
      <c r="M597" s="54">
        <v>0</v>
      </c>
      <c r="N597" s="55">
        <v>0</v>
      </c>
      <c r="O597" s="10">
        <v>0</v>
      </c>
      <c r="P597" s="54"/>
      <c r="Q597" s="56">
        <f>+P597</f>
      </c>
    </row>
    <row r="598">
      <c r="A598" s="1">
        <v>110175</v>
      </c>
      <c r="B598" s="52">
        <v>10101</v>
      </c>
      <c r="C598" s="53" t="inlineStr">
        <is>
          <t>MATIAS ROMERO</t>
        </is>
      </c>
      <c r="D598" s="57">
        <v>116</v>
      </c>
      <c r="E598" s="57">
        <v>157</v>
      </c>
      <c r="F598" s="10">
        <f>E598*0.666*24/72</f>
      </c>
      <c r="G598" s="54">
        <v>0</v>
      </c>
      <c r="H598" s="54">
        <v>0</v>
      </c>
      <c r="I598" s="54">
        <v>0</v>
      </c>
      <c r="J598" s="54">
        <v>0</v>
      </c>
      <c r="K598" s="54">
        <v>0</v>
      </c>
      <c r="L598" s="55">
        <v>0</v>
      </c>
      <c r="M598" s="54">
        <v>0</v>
      </c>
      <c r="N598" s="55">
        <v>0</v>
      </c>
      <c r="O598" s="10">
        <v>0</v>
      </c>
      <c r="P598" s="54"/>
      <c r="Q598" s="56">
        <f>+P598</f>
      </c>
    </row>
    <row r="599">
      <c r="A599" s="1">
        <v>110253</v>
      </c>
      <c r="B599" s="52">
        <v>10101</v>
      </c>
      <c r="C599" s="53" t="inlineStr">
        <is>
          <t>CIUDAD IXTEPEC</t>
        </is>
      </c>
      <c r="D599" s="57">
        <v>264</v>
      </c>
      <c r="E599" s="57">
        <v>456</v>
      </c>
      <c r="F599" s="10">
        <f>E599*0.666*24/72</f>
      </c>
      <c r="G599" s="54">
        <v>0</v>
      </c>
      <c r="H599" s="54">
        <v>0</v>
      </c>
      <c r="I599" s="54">
        <v>0</v>
      </c>
      <c r="J599" s="54">
        <v>0</v>
      </c>
      <c r="K599" s="54">
        <v>0</v>
      </c>
      <c r="L599" s="55">
        <v>0</v>
      </c>
      <c r="M599" s="54">
        <v>0</v>
      </c>
      <c r="N599" s="55">
        <v>0</v>
      </c>
      <c r="O599" s="10">
        <v>0</v>
      </c>
      <c r="P599" s="54"/>
      <c r="Q599" s="56">
        <f>+P599</f>
      </c>
    </row>
    <row r="600">
      <c r="A600" s="1">
        <v>120203</v>
      </c>
      <c r="B600" s="52">
        <v>10101</v>
      </c>
      <c r="C600" s="53" t="inlineStr">
        <is>
          <t>SAN MIGUEL SOYALTEPEC</t>
        </is>
      </c>
      <c r="D600" s="57">
        <v>159</v>
      </c>
      <c r="E600" s="57">
        <v>291</v>
      </c>
      <c r="F600" s="10">
        <f>E600*0.666*24/72</f>
      </c>
      <c r="G600" s="54">
        <v>0</v>
      </c>
      <c r="H600" s="54">
        <v>0</v>
      </c>
      <c r="I600" s="54">
        <v>0</v>
      </c>
      <c r="J600" s="54">
        <v>0</v>
      </c>
      <c r="K600" s="54">
        <v>0</v>
      </c>
      <c r="L600" s="55">
        <v>0</v>
      </c>
      <c r="M600" s="54">
        <v>0</v>
      </c>
      <c r="N600" s="55">
        <v>0</v>
      </c>
      <c r="O600" s="10">
        <v>0</v>
      </c>
      <c r="P600" s="54"/>
      <c r="Q600" s="56">
        <f>+P600</f>
      </c>
    </row>
    <row r="601">
      <c r="A601" s="1">
        <v>120389</v>
      </c>
      <c r="B601" s="52">
        <v>10101</v>
      </c>
      <c r="C601" s="53" t="inlineStr">
        <is>
          <t>COLONIA MARIA EUGENIA</t>
        </is>
      </c>
      <c r="D601" s="57">
        <v>104</v>
      </c>
      <c r="E601" s="57">
        <v>156</v>
      </c>
      <c r="F601" s="10">
        <f>E601*0.666*24/72</f>
      </c>
      <c r="G601" s="54">
        <v>0</v>
      </c>
      <c r="H601" s="54">
        <v>0</v>
      </c>
      <c r="I601" s="54">
        <v>0</v>
      </c>
      <c r="J601" s="54">
        <v>0</v>
      </c>
      <c r="K601" s="54">
        <v>0</v>
      </c>
      <c r="L601" s="55">
        <v>0</v>
      </c>
      <c r="M601" s="54">
        <v>0</v>
      </c>
      <c r="N601" s="55">
        <v>0</v>
      </c>
      <c r="O601" s="10">
        <v>0</v>
      </c>
      <c r="P601" s="54"/>
      <c r="Q601" s="56">
        <f>+P601</f>
      </c>
    </row>
    <row r="602">
      <c r="A602" s="1">
        <v>120434</v>
      </c>
      <c r="B602" s="52">
        <v>10101</v>
      </c>
      <c r="C602" s="53" t="inlineStr">
        <is>
          <t>COLONIA OBRERA BENITO JUAREZ</t>
        </is>
      </c>
      <c r="D602" s="57">
        <v>125</v>
      </c>
      <c r="E602" s="57">
        <v>238</v>
      </c>
      <c r="F602" s="10">
        <f>E602*0.666*24/72</f>
      </c>
      <c r="G602" s="54">
        <v>0</v>
      </c>
      <c r="H602" s="54">
        <v>0</v>
      </c>
      <c r="I602" s="54">
        <v>0</v>
      </c>
      <c r="J602" s="54">
        <v>0</v>
      </c>
      <c r="K602" s="54">
        <v>0</v>
      </c>
      <c r="L602" s="55">
        <v>0</v>
      </c>
      <c r="M602" s="54">
        <v>0</v>
      </c>
      <c r="N602" s="55">
        <v>0</v>
      </c>
      <c r="O602" s="10">
        <v>0</v>
      </c>
      <c r="P602" s="54"/>
      <c r="Q602" s="56">
        <f>+P602</f>
      </c>
    </row>
    <row r="603">
      <c r="A603" s="1">
        <v>120558</v>
      </c>
      <c r="B603" s="52">
        <v>10101</v>
      </c>
      <c r="C603" s="53" t="inlineStr">
        <is>
          <t>PUEBLO NUEVO TUXTEPEC</t>
        </is>
      </c>
      <c r="D603" s="57">
        <v>179</v>
      </c>
      <c r="E603" s="57">
        <v>284</v>
      </c>
      <c r="F603" s="10">
        <f>E603*0.666*24/72</f>
      </c>
      <c r="G603" s="54">
        <v>0</v>
      </c>
      <c r="H603" s="54">
        <v>0</v>
      </c>
      <c r="I603" s="54">
        <v>0</v>
      </c>
      <c r="J603" s="54">
        <v>0</v>
      </c>
      <c r="K603" s="54">
        <v>0</v>
      </c>
      <c r="L603" s="55">
        <v>0</v>
      </c>
      <c r="M603" s="54">
        <v>0</v>
      </c>
      <c r="N603" s="55">
        <v>0</v>
      </c>
      <c r="O603" s="10">
        <v>0</v>
      </c>
      <c r="P603" s="54"/>
      <c r="Q603" s="56">
        <f>+P603</f>
      </c>
    </row>
    <row r="604">
      <c r="A604" s="1">
        <v>120563</v>
      </c>
      <c r="B604" s="52">
        <v>10101</v>
      </c>
      <c r="C604" s="53" t="inlineStr">
        <is>
          <t>COLONIA OAXAQUE A  LOMA BONITA</t>
        </is>
      </c>
      <c r="D604" s="57">
        <v>198</v>
      </c>
      <c r="E604" s="57">
        <v>358</v>
      </c>
      <c r="F604" s="10">
        <f>E604*0.666*24/72</f>
      </c>
      <c r="G604" s="54">
        <v>0</v>
      </c>
      <c r="H604" s="54">
        <v>0</v>
      </c>
      <c r="I604" s="54">
        <v>0</v>
      </c>
      <c r="J604" s="54">
        <v>0</v>
      </c>
      <c r="K604" s="54">
        <v>0</v>
      </c>
      <c r="L604" s="55">
        <v>0</v>
      </c>
      <c r="M604" s="54">
        <v>0</v>
      </c>
      <c r="N604" s="55">
        <v>0</v>
      </c>
      <c r="O604" s="10">
        <v>0</v>
      </c>
      <c r="P604" s="54"/>
      <c r="Q604" s="56">
        <f>+P604</f>
      </c>
    </row>
    <row r="605">
      <c r="A605" s="1">
        <v>120581</v>
      </c>
      <c r="B605" s="52">
        <v>10101</v>
      </c>
      <c r="C605" s="53" t="inlineStr">
        <is>
          <t>SAN JOSE CHILTEPEC</t>
        </is>
      </c>
      <c r="D605" s="57">
        <v>187</v>
      </c>
      <c r="E605" s="57">
        <v>337</v>
      </c>
      <c r="F605" s="10">
        <f>E605*0.666*24/72</f>
      </c>
      <c r="G605" s="54">
        <v>0</v>
      </c>
      <c r="H605" s="54">
        <v>0</v>
      </c>
      <c r="I605" s="54">
        <v>0</v>
      </c>
      <c r="J605" s="54">
        <v>0</v>
      </c>
      <c r="K605" s="54">
        <v>0</v>
      </c>
      <c r="L605" s="55">
        <v>0</v>
      </c>
      <c r="M605" s="54">
        <v>0</v>
      </c>
      <c r="N605" s="55">
        <v>0</v>
      </c>
      <c r="O605" s="10">
        <v>0</v>
      </c>
      <c r="P605" s="54"/>
      <c r="Q605" s="56">
        <f>+P605</f>
      </c>
    </row>
    <row r="606">
      <c r="A606" s="1">
        <v>123104</v>
      </c>
      <c r="B606" s="52">
        <v>10101</v>
      </c>
      <c r="C606" s="53" t="inlineStr">
        <is>
          <t>SAN BERNARDO MIXTEPEC</t>
        </is>
      </c>
      <c r="D606" s="57">
        <v>118</v>
      </c>
      <c r="E606" s="57">
        <v>166</v>
      </c>
      <c r="F606" s="10">
        <f>E606*0.666*24/72</f>
      </c>
      <c r="G606" s="54">
        <v>0</v>
      </c>
      <c r="H606" s="54">
        <v>0</v>
      </c>
      <c r="I606" s="54">
        <v>0</v>
      </c>
      <c r="J606" s="54">
        <v>0</v>
      </c>
      <c r="K606" s="54">
        <v>0</v>
      </c>
      <c r="L606" s="55">
        <v>0</v>
      </c>
      <c r="M606" s="54">
        <v>0</v>
      </c>
      <c r="N606" s="55">
        <v>0</v>
      </c>
      <c r="O606" s="10">
        <v>0</v>
      </c>
      <c r="P606" s="54"/>
      <c r="Q606" s="56">
        <f>+P606</f>
      </c>
    </row>
    <row r="607">
      <c r="A607" s="1">
        <v>184102</v>
      </c>
      <c r="B607" s="52">
        <v>10101</v>
      </c>
      <c r="C607" s="53" t="inlineStr">
        <is>
          <t>COL  EL PROGRESO</t>
        </is>
      </c>
      <c r="D607" s="57">
        <v>89</v>
      </c>
      <c r="E607" s="57">
        <v>176</v>
      </c>
      <c r="F607" s="10">
        <f>E607*0.666*24/72</f>
      </c>
      <c r="G607" s="54">
        <v>0</v>
      </c>
      <c r="H607" s="54">
        <v>0</v>
      </c>
      <c r="I607" s="54">
        <v>0</v>
      </c>
      <c r="J607" s="54">
        <v>0</v>
      </c>
      <c r="K607" s="54">
        <v>0</v>
      </c>
      <c r="L607" s="55">
        <v>0</v>
      </c>
      <c r="M607" s="54">
        <v>0</v>
      </c>
      <c r="N607" s="55">
        <v>0</v>
      </c>
      <c r="O607" s="10">
        <v>0</v>
      </c>
      <c r="P607" s="54"/>
      <c r="Q607" s="56">
        <f>+P607</f>
      </c>
    </row>
    <row r="608">
      <c r="A608" s="1">
        <v>184103</v>
      </c>
      <c r="B608" s="52">
        <v>10101</v>
      </c>
      <c r="C608" s="53" t="inlineStr">
        <is>
          <t>BENITO JUAREZ (LAS LIMAS)</t>
        </is>
      </c>
      <c r="D608" s="57">
        <v>147</v>
      </c>
      <c r="E608" s="57">
        <v>260</v>
      </c>
      <c r="F608" s="10">
        <f>E608*0.666*24/72</f>
      </c>
      <c r="G608" s="54">
        <v>0</v>
      </c>
      <c r="H608" s="54">
        <v>0</v>
      </c>
      <c r="I608" s="54">
        <v>0</v>
      </c>
      <c r="J608" s="54">
        <v>0</v>
      </c>
      <c r="K608" s="54">
        <v>0</v>
      </c>
      <c r="L608" s="55">
        <v>0</v>
      </c>
      <c r="M608" s="54">
        <v>0</v>
      </c>
      <c r="N608" s="55">
        <v>0</v>
      </c>
      <c r="O608" s="10">
        <v>0</v>
      </c>
      <c r="P608" s="54"/>
      <c r="Q608" s="56">
        <f>+P608</f>
      </c>
    </row>
    <row r="609">
      <c r="A609" s="1">
        <v>184104</v>
      </c>
      <c r="B609" s="52">
        <v>10101</v>
      </c>
      <c r="C609" s="53" t="inlineStr">
        <is>
          <t>LA MODERNA</t>
        </is>
      </c>
      <c r="D609" s="57">
        <v>72</v>
      </c>
      <c r="E609" s="57">
        <v>157</v>
      </c>
      <c r="F609" s="10">
        <f>E609*0.666*24/72</f>
      </c>
      <c r="G609" s="54">
        <v>0</v>
      </c>
      <c r="H609" s="54">
        <v>0</v>
      </c>
      <c r="I609" s="54">
        <v>0</v>
      </c>
      <c r="J609" s="54">
        <v>0</v>
      </c>
      <c r="K609" s="54">
        <v>0</v>
      </c>
      <c r="L609" s="55">
        <v>0</v>
      </c>
      <c r="M609" s="54">
        <v>0</v>
      </c>
      <c r="N609" s="55">
        <v>0</v>
      </c>
      <c r="O609" s="10">
        <v>0</v>
      </c>
      <c r="P609" s="54"/>
      <c r="Q609" s="56">
        <f>+P609</f>
      </c>
    </row>
    <row r="610">
      <c r="A610" s="1">
        <v>184106</v>
      </c>
      <c r="B610" s="52">
        <v>10101</v>
      </c>
      <c r="C610" s="53" t="inlineStr">
        <is>
          <t>SAN BARTOLO</t>
        </is>
      </c>
      <c r="D610" s="57">
        <v>156</v>
      </c>
      <c r="E610" s="57">
        <v>259</v>
      </c>
      <c r="F610" s="10">
        <f>E610*0.666*24/72</f>
      </c>
      <c r="G610" s="54">
        <v>0</v>
      </c>
      <c r="H610" s="54">
        <v>0</v>
      </c>
      <c r="I610" s="54">
        <v>0</v>
      </c>
      <c r="J610" s="54">
        <v>0</v>
      </c>
      <c r="K610" s="54">
        <v>0</v>
      </c>
      <c r="L610" s="55">
        <v>0</v>
      </c>
      <c r="M610" s="54">
        <v>0</v>
      </c>
      <c r="N610" s="55">
        <v>0</v>
      </c>
      <c r="O610" s="10">
        <v>0</v>
      </c>
      <c r="P610" s="54"/>
      <c r="Q610" s="56">
        <f>+P610</f>
      </c>
    </row>
    <row r="611">
      <c r="A611" s="1">
        <v>184107</v>
      </c>
      <c r="B611" s="52">
        <v>10101</v>
      </c>
      <c r="C611" s="53" t="inlineStr">
        <is>
          <t>PAPALOAPAM</t>
        </is>
      </c>
      <c r="D611" s="57">
        <v>150</v>
      </c>
      <c r="E611" s="57">
        <v>269</v>
      </c>
      <c r="F611" s="10">
        <f>E611*0.666*24/72</f>
      </c>
      <c r="G611" s="54">
        <v>0</v>
      </c>
      <c r="H611" s="54">
        <v>0</v>
      </c>
      <c r="I611" s="54">
        <v>0</v>
      </c>
      <c r="J611" s="54">
        <v>0</v>
      </c>
      <c r="K611" s="54">
        <v>0</v>
      </c>
      <c r="L611" s="55">
        <v>0</v>
      </c>
      <c r="M611" s="54">
        <v>0</v>
      </c>
      <c r="N611" s="55">
        <v>0</v>
      </c>
      <c r="O611" s="10">
        <v>0</v>
      </c>
      <c r="P611" s="54"/>
      <c r="Q611" s="56">
        <f>+P611</f>
      </c>
    </row>
    <row r="612">
      <c r="A612" s="1">
        <v>184108</v>
      </c>
      <c r="B612" s="52">
        <v>10101</v>
      </c>
      <c r="C612" s="53" t="inlineStr">
        <is>
          <t>CAMELIA ROJA</t>
        </is>
      </c>
      <c r="D612" s="57">
        <v>86</v>
      </c>
      <c r="E612" s="57">
        <v>140</v>
      </c>
      <c r="F612" s="10">
        <f>E612*0.666*24/72</f>
      </c>
      <c r="G612" s="54">
        <v>0</v>
      </c>
      <c r="H612" s="54">
        <v>0</v>
      </c>
      <c r="I612" s="54">
        <v>0</v>
      </c>
      <c r="J612" s="54">
        <v>0</v>
      </c>
      <c r="K612" s="54">
        <v>0</v>
      </c>
      <c r="L612" s="55">
        <v>0</v>
      </c>
      <c r="M612" s="54">
        <v>0</v>
      </c>
      <c r="N612" s="55">
        <v>0</v>
      </c>
      <c r="O612" s="10">
        <v>0</v>
      </c>
      <c r="P612" s="54"/>
      <c r="Q612" s="56">
        <f>+P612</f>
      </c>
    </row>
    <row r="613">
      <c r="A613" s="1">
        <v>184109</v>
      </c>
      <c r="B613" s="52">
        <v>10101</v>
      </c>
      <c r="C613" s="53" t="inlineStr">
        <is>
          <t>COL  HIDALGO</t>
        </is>
      </c>
      <c r="D613" s="57">
        <v>223</v>
      </c>
      <c r="E613" s="57">
        <v>365</v>
      </c>
      <c r="F613" s="10">
        <f>E613*0.666*24/72</f>
      </c>
      <c r="G613" s="54">
        <v>0</v>
      </c>
      <c r="H613" s="54">
        <v>0</v>
      </c>
      <c r="I613" s="54">
        <v>0</v>
      </c>
      <c r="J613" s="54">
        <v>0</v>
      </c>
      <c r="K613" s="54">
        <v>0</v>
      </c>
      <c r="L613" s="55">
        <v>0</v>
      </c>
      <c r="M613" s="54">
        <v>0</v>
      </c>
      <c r="N613" s="55">
        <v>0</v>
      </c>
      <c r="O613" s="10">
        <v>0</v>
      </c>
      <c r="P613" s="54"/>
      <c r="Q613" s="56">
        <f>+P613</f>
      </c>
    </row>
    <row r="614">
      <c r="A614" s="1">
        <v>184112</v>
      </c>
      <c r="B614" s="52">
        <v>10101</v>
      </c>
      <c r="C614" s="53" t="inlineStr">
        <is>
          <t>SURESTE 2A  ETAPA</t>
        </is>
      </c>
      <c r="D614" s="57">
        <v>112</v>
      </c>
      <c r="E614" s="57">
        <v>223</v>
      </c>
      <c r="F614" s="10">
        <f>E614*0.666*24/72</f>
      </c>
      <c r="G614" s="54">
        <v>0</v>
      </c>
      <c r="H614" s="54">
        <v>0</v>
      </c>
      <c r="I614" s="54">
        <v>0</v>
      </c>
      <c r="J614" s="54">
        <v>0</v>
      </c>
      <c r="K614" s="54">
        <v>0</v>
      </c>
      <c r="L614" s="55">
        <v>0</v>
      </c>
      <c r="M614" s="54">
        <v>0</v>
      </c>
      <c r="N614" s="55">
        <v>0</v>
      </c>
      <c r="O614" s="10">
        <v>0</v>
      </c>
      <c r="P614" s="54"/>
      <c r="Q614" s="56">
        <f>+P614</f>
      </c>
    </row>
    <row r="615">
      <c r="A615" s="1">
        <v>184116</v>
      </c>
      <c r="B615" s="52">
        <v>10101</v>
      </c>
      <c r="C615" s="53" t="inlineStr">
        <is>
          <t>BENEMERITO JUAREZ</t>
        </is>
      </c>
      <c r="D615" s="57">
        <v>119</v>
      </c>
      <c r="E615" s="57">
        <v>177</v>
      </c>
      <c r="F615" s="10">
        <f>E615*0.666*24/72</f>
      </c>
      <c r="G615" s="54">
        <v>0</v>
      </c>
      <c r="H615" s="54">
        <v>0</v>
      </c>
      <c r="I615" s="54">
        <v>0</v>
      </c>
      <c r="J615" s="54">
        <v>0</v>
      </c>
      <c r="K615" s="54">
        <v>0</v>
      </c>
      <c r="L615" s="55">
        <v>0</v>
      </c>
      <c r="M615" s="54">
        <v>0</v>
      </c>
      <c r="N615" s="55">
        <v>0</v>
      </c>
      <c r="O615" s="10">
        <v>0</v>
      </c>
      <c r="P615" s="54"/>
      <c r="Q615" s="56">
        <f>+P615</f>
      </c>
    </row>
    <row r="616">
      <c r="A616" s="1">
        <v>184129</v>
      </c>
      <c r="B616" s="52">
        <v>10101</v>
      </c>
      <c r="C616" s="53" t="inlineStr">
        <is>
          <t>SAN JUAN BAUTISTA TUXTEPEC</t>
        </is>
      </c>
      <c r="D616" s="57">
        <v>77</v>
      </c>
      <c r="E616" s="57">
        <v>156</v>
      </c>
      <c r="F616" s="10">
        <f>E616*0.666*24/72</f>
      </c>
      <c r="G616" s="54">
        <v>0</v>
      </c>
      <c r="H616" s="54">
        <v>0</v>
      </c>
      <c r="I616" s="54">
        <v>0</v>
      </c>
      <c r="J616" s="54">
        <v>0</v>
      </c>
      <c r="K616" s="54">
        <v>0</v>
      </c>
      <c r="L616" s="55">
        <v>0</v>
      </c>
      <c r="M616" s="54">
        <v>0</v>
      </c>
      <c r="N616" s="55">
        <v>0</v>
      </c>
      <c r="O616" s="10">
        <v>0</v>
      </c>
      <c r="P616" s="54"/>
      <c r="Q616" s="56">
        <f>+P616</f>
      </c>
    </row>
    <row r="617">
      <c r="A617" s="1">
        <v>184151</v>
      </c>
      <c r="B617" s="52">
        <v>10101</v>
      </c>
      <c r="C617" s="53" t="inlineStr">
        <is>
          <t>EL PARAISO</t>
        </is>
      </c>
      <c r="D617" s="57">
        <v>66</v>
      </c>
      <c r="E617" s="57">
        <v>109</v>
      </c>
      <c r="F617" s="10">
        <f>E617*0.666*24/72</f>
      </c>
      <c r="G617" s="54">
        <v>0</v>
      </c>
      <c r="H617" s="54">
        <v>0</v>
      </c>
      <c r="I617" s="54">
        <v>0</v>
      </c>
      <c r="J617" s="54">
        <v>0</v>
      </c>
      <c r="K617" s="54">
        <v>0</v>
      </c>
      <c r="L617" s="55">
        <v>0</v>
      </c>
      <c r="M617" s="54">
        <v>0</v>
      </c>
      <c r="N617" s="55">
        <v>0</v>
      </c>
      <c r="O617" s="10">
        <v>0</v>
      </c>
      <c r="P617" s="54"/>
      <c r="Q617" s="56">
        <f>+P617</f>
      </c>
    </row>
    <row r="618">
      <c r="A618" s="1">
        <v>184166</v>
      </c>
      <c r="B618" s="52">
        <v>10101</v>
      </c>
      <c r="C618" s="53" t="inlineStr">
        <is>
          <t>COL. 23 DE NOVIEMBRE</t>
        </is>
      </c>
      <c r="D618" s="57">
        <v>137</v>
      </c>
      <c r="E618" s="57">
        <v>244</v>
      </c>
      <c r="F618" s="10">
        <f>E618*0.666*24/72</f>
      </c>
      <c r="G618" s="54">
        <v>0</v>
      </c>
      <c r="H618" s="54">
        <v>0</v>
      </c>
      <c r="I618" s="54">
        <v>0</v>
      </c>
      <c r="J618" s="54">
        <v>0</v>
      </c>
      <c r="K618" s="54">
        <v>0</v>
      </c>
      <c r="L618" s="55">
        <v>0</v>
      </c>
      <c r="M618" s="54">
        <v>0</v>
      </c>
      <c r="N618" s="55">
        <v>0</v>
      </c>
      <c r="O618" s="10">
        <v>0</v>
      </c>
      <c r="P618" s="54"/>
      <c r="Q618" s="56">
        <f>+P618</f>
      </c>
    </row>
    <row r="619">
      <c r="A619" s="1">
        <v>184167</v>
      </c>
      <c r="B619" s="52">
        <v>10101</v>
      </c>
      <c r="C619" s="53" t="inlineStr">
        <is>
          <t>COL. DEL CASTILLO</t>
        </is>
      </c>
      <c r="D619" s="57">
        <v>122</v>
      </c>
      <c r="E619" s="57">
        <v>241</v>
      </c>
      <c r="F619" s="10">
        <f>E619*0.666*24/72</f>
      </c>
      <c r="G619" s="54">
        <v>0</v>
      </c>
      <c r="H619" s="54">
        <v>0</v>
      </c>
      <c r="I619" s="54">
        <v>0</v>
      </c>
      <c r="J619" s="54">
        <v>0</v>
      </c>
      <c r="K619" s="54">
        <v>0</v>
      </c>
      <c r="L619" s="55">
        <v>0</v>
      </c>
      <c r="M619" s="54">
        <v>0</v>
      </c>
      <c r="N619" s="55">
        <v>0</v>
      </c>
      <c r="O619" s="10">
        <v>0</v>
      </c>
      <c r="P619" s="54"/>
      <c r="Q619" s="56">
        <f>+P619</f>
      </c>
    </row>
    <row r="620">
      <c r="A620" s="1">
        <v>184170</v>
      </c>
      <c r="B620" s="52">
        <v>10101</v>
      </c>
      <c r="C620" s="53" t="inlineStr">
        <is>
          <t>SAN JUAN BAUTISTA TUXTEPEC</t>
        </is>
      </c>
      <c r="D620" s="57">
        <v>169</v>
      </c>
      <c r="E620" s="57">
        <v>247</v>
      </c>
      <c r="F620" s="10">
        <f>E620*0.666*24/72</f>
      </c>
      <c r="G620" s="54">
        <v>0</v>
      </c>
      <c r="H620" s="54">
        <v>0</v>
      </c>
      <c r="I620" s="54">
        <v>0</v>
      </c>
      <c r="J620" s="54">
        <v>0</v>
      </c>
      <c r="K620" s="54">
        <v>0</v>
      </c>
      <c r="L620" s="55">
        <v>0</v>
      </c>
      <c r="M620" s="54">
        <v>0</v>
      </c>
      <c r="N620" s="55">
        <v>0</v>
      </c>
      <c r="O620" s="10">
        <v>0</v>
      </c>
      <c r="P620" s="54"/>
      <c r="Q620" s="56">
        <f>+P620</f>
      </c>
    </row>
    <row r="621">
      <c r="A621" s="1">
        <v>184171</v>
      </c>
      <c r="B621" s="52">
        <v>10101</v>
      </c>
      <c r="C621" s="53" t="inlineStr">
        <is>
          <t>SAN JUAN BAUTISTA TUXTEPEC</t>
        </is>
      </c>
      <c r="D621" s="57">
        <v>80</v>
      </c>
      <c r="E621" s="57">
        <v>126</v>
      </c>
      <c r="F621" s="10">
        <f>E621*0.666*24/72</f>
      </c>
      <c r="G621" s="54">
        <v>0</v>
      </c>
      <c r="H621" s="54">
        <v>0</v>
      </c>
      <c r="I621" s="54">
        <v>0</v>
      </c>
      <c r="J621" s="54">
        <v>0</v>
      </c>
      <c r="K621" s="54">
        <v>0</v>
      </c>
      <c r="L621" s="55">
        <v>0</v>
      </c>
      <c r="M621" s="54">
        <v>0</v>
      </c>
      <c r="N621" s="55">
        <v>0</v>
      </c>
      <c r="O621" s="10">
        <v>0</v>
      </c>
      <c r="P621" s="54"/>
      <c r="Q621" s="56">
        <f>+P621</f>
      </c>
    </row>
    <row r="622">
      <c r="A622" s="1">
        <v>184172</v>
      </c>
      <c r="B622" s="52">
        <v>10101</v>
      </c>
      <c r="C622" s="53" t="inlineStr">
        <is>
          <t>VICTOR BRAVO AHUJA</t>
        </is>
      </c>
      <c r="D622" s="57">
        <v>429</v>
      </c>
      <c r="E622" s="57">
        <v>630</v>
      </c>
      <c r="F622" s="10">
        <f>E622*0.666*24/72</f>
      </c>
      <c r="G622" s="54">
        <v>0</v>
      </c>
      <c r="H622" s="54">
        <v>0</v>
      </c>
      <c r="I622" s="54">
        <v>0</v>
      </c>
      <c r="J622" s="54">
        <v>0</v>
      </c>
      <c r="K622" s="54">
        <v>0</v>
      </c>
      <c r="L622" s="55">
        <v>0</v>
      </c>
      <c r="M622" s="54">
        <v>0</v>
      </c>
      <c r="N622" s="55">
        <v>0</v>
      </c>
      <c r="O622" s="10">
        <v>0</v>
      </c>
      <c r="P622" s="54"/>
      <c r="Q622" s="56">
        <f>+P622</f>
      </c>
    </row>
    <row r="623">
      <c r="A623" s="1">
        <v>184173</v>
      </c>
      <c r="B623" s="52">
        <v>10101</v>
      </c>
      <c r="C623" s="53" t="inlineStr">
        <is>
          <t>PASO RINC N</t>
        </is>
      </c>
      <c r="D623" s="57">
        <v>89</v>
      </c>
      <c r="E623" s="57">
        <v>152</v>
      </c>
      <c r="F623" s="10">
        <f>E623*0.666*24/72</f>
      </c>
      <c r="G623" s="54">
        <v>0</v>
      </c>
      <c r="H623" s="54">
        <v>0</v>
      </c>
      <c r="I623" s="54">
        <v>0</v>
      </c>
      <c r="J623" s="54">
        <v>0</v>
      </c>
      <c r="K623" s="54">
        <v>0</v>
      </c>
      <c r="L623" s="55">
        <v>0</v>
      </c>
      <c r="M623" s="54">
        <v>0</v>
      </c>
      <c r="N623" s="55">
        <v>0</v>
      </c>
      <c r="O623" s="10">
        <v>0</v>
      </c>
      <c r="P623" s="54"/>
      <c r="Q623" s="56">
        <f>+P623</f>
      </c>
    </row>
    <row r="624">
      <c r="A624" s="1">
        <v>184174</v>
      </c>
      <c r="B624" s="52">
        <v>10101</v>
      </c>
      <c r="C624" s="53" t="inlineStr">
        <is>
          <t>GENERAL L ZARO CARDENAS</t>
        </is>
      </c>
      <c r="D624" s="57">
        <v>69</v>
      </c>
      <c r="E624" s="57">
        <v>129</v>
      </c>
      <c r="F624" s="10">
        <f>E624*0.666*24/72</f>
      </c>
      <c r="G624" s="54">
        <v>0</v>
      </c>
      <c r="H624" s="54">
        <v>0</v>
      </c>
      <c r="I624" s="54">
        <v>0</v>
      </c>
      <c r="J624" s="54">
        <v>0</v>
      </c>
      <c r="K624" s="54">
        <v>0</v>
      </c>
      <c r="L624" s="55">
        <v>0</v>
      </c>
      <c r="M624" s="54">
        <v>0</v>
      </c>
      <c r="N624" s="55">
        <v>0</v>
      </c>
      <c r="O624" s="10">
        <v>0</v>
      </c>
      <c r="P624" s="54"/>
      <c r="Q624" s="56">
        <f>+P624</f>
      </c>
    </row>
    <row r="625">
      <c r="A625" s="1">
        <v>184175</v>
      </c>
      <c r="B625" s="52">
        <v>10101</v>
      </c>
      <c r="C625" s="53" t="inlineStr">
        <is>
          <t>SAN JUAN BAUTISTA TUXTEPEC</t>
        </is>
      </c>
      <c r="D625" s="57">
        <v>83</v>
      </c>
      <c r="E625" s="57">
        <v>134</v>
      </c>
      <c r="F625" s="10">
        <f>E625*0.666*24/72</f>
      </c>
      <c r="G625" s="54">
        <v>0</v>
      </c>
      <c r="H625" s="54">
        <v>0</v>
      </c>
      <c r="I625" s="54">
        <v>0</v>
      </c>
      <c r="J625" s="54">
        <v>0</v>
      </c>
      <c r="K625" s="54">
        <v>0</v>
      </c>
      <c r="L625" s="55">
        <v>0</v>
      </c>
      <c r="M625" s="54">
        <v>0</v>
      </c>
      <c r="N625" s="55">
        <v>0</v>
      </c>
      <c r="O625" s="10">
        <v>0</v>
      </c>
      <c r="P625" s="54"/>
      <c r="Q625" s="56">
        <f>+P625</f>
      </c>
    </row>
    <row r="626">
      <c r="A626" s="1">
        <v>295103</v>
      </c>
      <c r="B626" s="52">
        <v>10101</v>
      </c>
      <c r="C626" s="53" t="inlineStr">
        <is>
          <t>BARRIO SAN ANTONIO</t>
        </is>
      </c>
      <c r="D626" s="57">
        <v>196</v>
      </c>
      <c r="E626" s="57">
        <v>276</v>
      </c>
      <c r="F626" s="10">
        <f>E626*0.666*24/72</f>
      </c>
      <c r="G626" s="54">
        <v>0</v>
      </c>
      <c r="H626" s="54">
        <v>0</v>
      </c>
      <c r="I626" s="54">
        <v>0</v>
      </c>
      <c r="J626" s="54">
        <v>0</v>
      </c>
      <c r="K626" s="54">
        <v>0</v>
      </c>
      <c r="L626" s="55">
        <v>0</v>
      </c>
      <c r="M626" s="54">
        <v>0</v>
      </c>
      <c r="N626" s="55">
        <v>0</v>
      </c>
      <c r="O626" s="10">
        <v>0</v>
      </c>
      <c r="P626" s="54"/>
      <c r="Q626" s="56">
        <f>+P626</f>
      </c>
    </row>
    <row r="627">
      <c r="A627" s="1">
        <v>333101</v>
      </c>
      <c r="B627" s="52">
        <v>10101</v>
      </c>
      <c r="C627" s="53" t="inlineStr">
        <is>
          <t>SAN PEDRO TOTOLAPA</t>
        </is>
      </c>
      <c r="D627" s="57">
        <v>94</v>
      </c>
      <c r="E627" s="57">
        <v>138</v>
      </c>
      <c r="F627" s="10">
        <f>E627*0.666*24/72</f>
      </c>
      <c r="G627" s="54">
        <v>0</v>
      </c>
      <c r="H627" s="54">
        <v>0</v>
      </c>
      <c r="I627" s="54">
        <v>0</v>
      </c>
      <c r="J627" s="54">
        <v>0</v>
      </c>
      <c r="K627" s="54">
        <v>0</v>
      </c>
      <c r="L627" s="55">
        <v>0</v>
      </c>
      <c r="M627" s="54">
        <v>0</v>
      </c>
      <c r="N627" s="55">
        <v>0</v>
      </c>
      <c r="O627" s="10">
        <v>0</v>
      </c>
      <c r="P627" s="54"/>
      <c r="Q627" s="56">
        <f>+P627</f>
      </c>
    </row>
    <row r="628">
      <c r="A628" s="1">
        <v>338102</v>
      </c>
      <c r="B628" s="52">
        <v>10101</v>
      </c>
      <c r="C628" s="53" t="inlineStr">
        <is>
          <t>BARRIO ALTO</t>
        </is>
      </c>
      <c r="D628" s="57">
        <v>58</v>
      </c>
      <c r="E628" s="57">
        <v>123</v>
      </c>
      <c r="F628" s="10">
        <f>E628*0.666*24/72</f>
      </c>
      <c r="G628" s="54">
        <v>0</v>
      </c>
      <c r="H628" s="54">
        <v>0</v>
      </c>
      <c r="I628" s="54">
        <v>0</v>
      </c>
      <c r="J628" s="54">
        <v>0</v>
      </c>
      <c r="K628" s="54">
        <v>0</v>
      </c>
      <c r="L628" s="55">
        <v>0</v>
      </c>
      <c r="M628" s="54">
        <v>0</v>
      </c>
      <c r="N628" s="55">
        <v>0</v>
      </c>
      <c r="O628" s="10">
        <v>0</v>
      </c>
      <c r="P628" s="54"/>
      <c r="Q628" s="56">
        <f>+P628</f>
      </c>
    </row>
    <row r="629">
      <c r="A629" s="1">
        <v>385117</v>
      </c>
      <c r="B629" s="52">
        <v>10101</v>
      </c>
      <c r="C629" s="53" t="inlineStr">
        <is>
          <t>COLONIA SANTA CRUZ XOXOCOTL N</t>
        </is>
      </c>
      <c r="D629" s="57">
        <v>256</v>
      </c>
      <c r="E629" s="57">
        <v>445</v>
      </c>
      <c r="F629" s="10">
        <f>E629*0.666*24/72</f>
      </c>
      <c r="G629" s="54">
        <v>0</v>
      </c>
      <c r="H629" s="54">
        <v>0</v>
      </c>
      <c r="I629" s="54">
        <v>0</v>
      </c>
      <c r="J629" s="54">
        <v>0</v>
      </c>
      <c r="K629" s="54">
        <v>0</v>
      </c>
      <c r="L629" s="55">
        <v>0</v>
      </c>
      <c r="M629" s="54">
        <v>0</v>
      </c>
      <c r="N629" s="55">
        <v>0</v>
      </c>
      <c r="O629" s="10">
        <v>0</v>
      </c>
      <c r="P629" s="54"/>
      <c r="Q629" s="56">
        <f>+P629</f>
      </c>
    </row>
    <row r="630">
      <c r="A630" s="1">
        <v>405101</v>
      </c>
      <c r="B630" s="52">
        <v>10101</v>
      </c>
      <c r="C630" s="53" t="inlineStr">
        <is>
          <t>CENTRO CHILAPA DE DIAZ</t>
        </is>
      </c>
      <c r="D630" s="57">
        <v>75</v>
      </c>
      <c r="E630" s="57">
        <v>124</v>
      </c>
      <c r="F630" s="10">
        <f>E630*0.666*24/72</f>
      </c>
      <c r="G630" s="54">
        <v>0</v>
      </c>
      <c r="H630" s="54">
        <v>0</v>
      </c>
      <c r="I630" s="54">
        <v>0</v>
      </c>
      <c r="J630" s="54">
        <v>0</v>
      </c>
      <c r="K630" s="54">
        <v>0</v>
      </c>
      <c r="L630" s="55">
        <v>0</v>
      </c>
      <c r="M630" s="54">
        <v>0</v>
      </c>
      <c r="N630" s="55">
        <v>0</v>
      </c>
      <c r="O630" s="10">
        <v>0</v>
      </c>
      <c r="P630" s="54"/>
      <c r="Q630" s="56">
        <f>+P630</f>
      </c>
    </row>
    <row r="631">
      <c r="A631" s="1">
        <v>421101</v>
      </c>
      <c r="B631" s="52">
        <v>10101</v>
      </c>
      <c r="C631" s="53" t="inlineStr">
        <is>
          <t>MIXTEQUILLA</t>
        </is>
      </c>
      <c r="D631" s="57">
        <v>80</v>
      </c>
      <c r="E631" s="57">
        <v>113</v>
      </c>
      <c r="F631" s="10">
        <f>E631*0.666*24/72</f>
      </c>
      <c r="G631" s="54">
        <v>0</v>
      </c>
      <c r="H631" s="54">
        <v>0</v>
      </c>
      <c r="I631" s="54">
        <v>0</v>
      </c>
      <c r="J631" s="54">
        <v>0</v>
      </c>
      <c r="K631" s="54">
        <v>0</v>
      </c>
      <c r="L631" s="55">
        <v>0</v>
      </c>
      <c r="M631" s="54">
        <v>0</v>
      </c>
      <c r="N631" s="55">
        <v>0</v>
      </c>
      <c r="O631" s="10">
        <v>0</v>
      </c>
      <c r="P631" s="54"/>
      <c r="Q631" s="56">
        <f>+P631</f>
      </c>
    </row>
    <row r="632">
      <c r="A632" s="1">
        <v>427102</v>
      </c>
      <c r="B632" s="52">
        <v>10101</v>
      </c>
      <c r="C632" s="53" t="inlineStr">
        <is>
          <t>RINCON VIEJO</t>
        </is>
      </c>
      <c r="D632" s="57">
        <v>250</v>
      </c>
      <c r="E632" s="57">
        <v>425</v>
      </c>
      <c r="F632" s="10">
        <f>E632*0.666*24/72</f>
      </c>
      <c r="G632" s="54">
        <v>0</v>
      </c>
      <c r="H632" s="54">
        <v>0</v>
      </c>
      <c r="I632" s="54">
        <v>0</v>
      </c>
      <c r="J632" s="54">
        <v>0</v>
      </c>
      <c r="K632" s="54">
        <v>0</v>
      </c>
      <c r="L632" s="55">
        <v>0</v>
      </c>
      <c r="M632" s="54">
        <v>0</v>
      </c>
      <c r="N632" s="55">
        <v>0</v>
      </c>
      <c r="O632" s="10">
        <v>0</v>
      </c>
      <c r="P632" s="54"/>
      <c r="Q632" s="56">
        <f>+P632</f>
      </c>
    </row>
    <row r="633">
      <c r="A633" s="1">
        <v>441101</v>
      </c>
      <c r="B633" s="52">
        <v>10101</v>
      </c>
      <c r="C633" s="53" t="inlineStr">
        <is>
          <t>SANTA MARIA XADANI</t>
        </is>
      </c>
      <c r="D633" s="57">
        <v>286</v>
      </c>
      <c r="E633" s="57">
        <v>427</v>
      </c>
      <c r="F633" s="10">
        <f>E633*0.666*24/72</f>
      </c>
      <c r="G633" s="54">
        <v>0</v>
      </c>
      <c r="H633" s="54">
        <v>0</v>
      </c>
      <c r="I633" s="54">
        <v>0</v>
      </c>
      <c r="J633" s="54">
        <v>0</v>
      </c>
      <c r="K633" s="54">
        <v>0</v>
      </c>
      <c r="L633" s="55">
        <v>0</v>
      </c>
      <c r="M633" s="54">
        <v>0</v>
      </c>
      <c r="N633" s="55">
        <v>0</v>
      </c>
      <c r="O633" s="10">
        <v>0</v>
      </c>
      <c r="P633" s="54"/>
      <c r="Q633" s="56">
        <f>+P633</f>
      </c>
    </row>
    <row r="634">
      <c r="A634" s="1">
        <v>462102</v>
      </c>
      <c r="B634" s="52">
        <v>10101</v>
      </c>
      <c r="C634" s="53" t="inlineStr">
        <is>
          <t>SANTIAGO HUAJOLOTITLAN</t>
        </is>
      </c>
      <c r="D634" s="57">
        <v>145</v>
      </c>
      <c r="E634" s="57">
        <v>228</v>
      </c>
      <c r="F634" s="10">
        <f>E634*0.666*24/72</f>
      </c>
      <c r="G634" s="54">
        <v>0</v>
      </c>
      <c r="H634" s="54">
        <v>0</v>
      </c>
      <c r="I634" s="54">
        <v>0</v>
      </c>
      <c r="J634" s="54">
        <v>0</v>
      </c>
      <c r="K634" s="54">
        <v>0</v>
      </c>
      <c r="L634" s="55">
        <v>0</v>
      </c>
      <c r="M634" s="54">
        <v>0</v>
      </c>
      <c r="N634" s="55">
        <v>0</v>
      </c>
      <c r="O634" s="10">
        <v>0</v>
      </c>
      <c r="P634" s="54"/>
      <c r="Q634" s="56">
        <f>+P634</f>
      </c>
    </row>
    <row r="635">
      <c r="A635" s="1">
        <v>486102</v>
      </c>
      <c r="B635" s="52">
        <v>10101</v>
      </c>
      <c r="C635" s="53" t="inlineStr">
        <is>
          <t>VILLA TEJUPAM DE LA UNION</t>
        </is>
      </c>
      <c r="D635" s="57">
        <v>49</v>
      </c>
      <c r="E635" s="57">
        <v>83</v>
      </c>
      <c r="F635" s="10">
        <f>E635*0.666*24/72</f>
      </c>
      <c r="G635" s="54">
        <v>0</v>
      </c>
      <c r="H635" s="54">
        <v>0</v>
      </c>
      <c r="I635" s="54">
        <v>0</v>
      </c>
      <c r="J635" s="54">
        <v>0</v>
      </c>
      <c r="K635" s="54">
        <v>0</v>
      </c>
      <c r="L635" s="55">
        <v>0</v>
      </c>
      <c r="M635" s="54">
        <v>0</v>
      </c>
      <c r="N635" s="55">
        <v>0</v>
      </c>
      <c r="O635" s="10">
        <v>0</v>
      </c>
      <c r="P635" s="54"/>
      <c r="Q635" s="56">
        <f>+P635</f>
      </c>
    </row>
    <row r="636">
      <c r="A636" s="1">
        <v>515104</v>
      </c>
      <c r="B636" s="52">
        <v>10101</v>
      </c>
      <c r="C636" s="53" t="inlineStr">
        <is>
          <t>BARRIO  SANTA MARIA</t>
        </is>
      </c>
      <c r="D636" s="57">
        <v>104</v>
      </c>
      <c r="E636" s="57">
        <v>183</v>
      </c>
      <c r="F636" s="10">
        <f>E636*0.666*24/72</f>
      </c>
      <c r="G636" s="54">
        <v>0</v>
      </c>
      <c r="H636" s="54">
        <v>0</v>
      </c>
      <c r="I636" s="54">
        <v>0</v>
      </c>
      <c r="J636" s="54">
        <v>0</v>
      </c>
      <c r="K636" s="54">
        <v>0</v>
      </c>
      <c r="L636" s="55">
        <v>0</v>
      </c>
      <c r="M636" s="54">
        <v>0</v>
      </c>
      <c r="N636" s="55">
        <v>0</v>
      </c>
      <c r="O636" s="10">
        <v>0</v>
      </c>
      <c r="P636" s="54"/>
      <c r="Q636" s="56">
        <f>+P636</f>
      </c>
    </row>
    <row r="637">
      <c r="A637" s="1">
        <v>547101</v>
      </c>
      <c r="B637" s="52">
        <v>10101</v>
      </c>
      <c r="C637" s="53" t="inlineStr">
        <is>
          <t>TEOTONGO</t>
        </is>
      </c>
      <c r="D637" s="57">
        <v>74</v>
      </c>
      <c r="E637" s="57">
        <v>129</v>
      </c>
      <c r="F637" s="10">
        <f>E637*0.666*24/72</f>
      </c>
      <c r="G637" s="54">
        <v>0</v>
      </c>
      <c r="H637" s="54">
        <v>0</v>
      </c>
      <c r="I637" s="54">
        <v>0</v>
      </c>
      <c r="J637" s="54">
        <v>0</v>
      </c>
      <c r="K637" s="54">
        <v>0</v>
      </c>
      <c r="L637" s="55">
        <v>0</v>
      </c>
      <c r="M637" s="54">
        <v>0</v>
      </c>
      <c r="N637" s="55">
        <v>0</v>
      </c>
      <c r="O637" s="10">
        <v>0</v>
      </c>
      <c r="P637" s="54"/>
      <c r="Q637" s="56">
        <f>+P637</f>
      </c>
    </row>
    <row r="638">
      <c r="A638" s="1">
        <v>551103</v>
      </c>
      <c r="B638" s="52">
        <v>10101</v>
      </c>
      <c r="C638" s="53" t="inlineStr">
        <is>
          <t>FRACCONAMIENTO CIUDAD YAGUL</t>
        </is>
      </c>
      <c r="D638" s="57">
        <v>130</v>
      </c>
      <c r="E638" s="57">
        <v>219</v>
      </c>
      <c r="F638" s="10">
        <f>E638*0.666*24/72</f>
      </c>
      <c r="G638" s="54">
        <v>0</v>
      </c>
      <c r="H638" s="54">
        <v>0</v>
      </c>
      <c r="I638" s="54">
        <v>0</v>
      </c>
      <c r="J638" s="54">
        <v>0</v>
      </c>
      <c r="K638" s="54">
        <v>0</v>
      </c>
      <c r="L638" s="55">
        <v>0</v>
      </c>
      <c r="M638" s="54">
        <v>0</v>
      </c>
      <c r="N638" s="55">
        <v>0</v>
      </c>
      <c r="O638" s="10">
        <v>0</v>
      </c>
      <c r="P638" s="54"/>
      <c r="Q638" s="56">
        <f>+P638</f>
      </c>
    </row>
    <row r="639">
      <c r="A639" s="1">
        <v>551105</v>
      </c>
      <c r="B639" s="52">
        <v>10101</v>
      </c>
      <c r="C639" s="53" t="inlineStr">
        <is>
          <t>RANCHO VALLE DEL LAGO</t>
        </is>
      </c>
      <c r="D639" s="57">
        <v>80</v>
      </c>
      <c r="E639" s="57">
        <v>145</v>
      </c>
      <c r="F639" s="10">
        <f>E639*0.666*24/72</f>
      </c>
      <c r="G639" s="54">
        <v>0</v>
      </c>
      <c r="H639" s="54">
        <v>0</v>
      </c>
      <c r="I639" s="54">
        <v>0</v>
      </c>
      <c r="J639" s="54">
        <v>0</v>
      </c>
      <c r="K639" s="54">
        <v>0</v>
      </c>
      <c r="L639" s="55">
        <v>0</v>
      </c>
      <c r="M639" s="54">
        <v>0</v>
      </c>
      <c r="N639" s="55">
        <v>0</v>
      </c>
      <c r="O639" s="10">
        <v>0</v>
      </c>
      <c r="P639" s="54"/>
      <c r="Q639" s="56">
        <f>+P639</f>
      </c>
    </row>
    <row r="640">
      <c r="A640" s="1">
        <v>565111</v>
      </c>
      <c r="B640" s="52">
        <v>10101</v>
      </c>
      <c r="C640" s="53" t="inlineStr">
        <is>
          <t>CAMPO REAL</t>
        </is>
      </c>
      <c r="D640" s="57">
        <v>52</v>
      </c>
      <c r="E640" s="57">
        <v>99</v>
      </c>
      <c r="F640" s="10">
        <f>E640*0.666*24/72</f>
      </c>
      <c r="G640" s="54">
        <v>0</v>
      </c>
      <c r="H640" s="54">
        <v>0</v>
      </c>
      <c r="I640" s="54">
        <v>0</v>
      </c>
      <c r="J640" s="54">
        <v>0</v>
      </c>
      <c r="K640" s="54">
        <v>0</v>
      </c>
      <c r="L640" s="55">
        <v>0</v>
      </c>
      <c r="M640" s="54">
        <v>0</v>
      </c>
      <c r="N640" s="55">
        <v>0</v>
      </c>
      <c r="O640" s="10">
        <v>0</v>
      </c>
      <c r="P640" s="54"/>
      <c r="Q640" s="56">
        <f>+P640</f>
      </c>
    </row>
    <row r="641">
      <c r="A641" s="1">
        <v>570104</v>
      </c>
      <c r="B641" s="52">
        <v>10101</v>
      </c>
      <c r="C641" s="53" t="inlineStr">
        <is>
          <t>ZIMATLAN DE ALVAREZ</t>
        </is>
      </c>
      <c r="D641" s="57">
        <v>171</v>
      </c>
      <c r="E641" s="57">
        <v>290</v>
      </c>
      <c r="F641" s="10">
        <f>E641*0.666*24/72</f>
      </c>
      <c r="G641" s="54">
        <v>0</v>
      </c>
      <c r="H641" s="54">
        <v>0</v>
      </c>
      <c r="I641" s="54">
        <v>0</v>
      </c>
      <c r="J641" s="54">
        <v>0</v>
      </c>
      <c r="K641" s="54">
        <v>0</v>
      </c>
      <c r="L641" s="55">
        <v>0</v>
      </c>
      <c r="M641" s="54">
        <v>0</v>
      </c>
      <c r="N641" s="55">
        <v>0</v>
      </c>
      <c r="O641" s="10">
        <v>0</v>
      </c>
      <c r="P641" s="54"/>
      <c r="Q641" s="56">
        <f>+P641</f>
      </c>
    </row>
    <row r="642">
      <c r="A642" s="1">
        <v>710374</v>
      </c>
      <c r="B642" s="52">
        <v>10101</v>
      </c>
      <c r="C642" s="53" t="inlineStr">
        <is>
          <t>MATIAS ROMERO  BARRIO NUEVO</t>
        </is>
      </c>
      <c r="D642" s="57">
        <v>70</v>
      </c>
      <c r="E642" s="57">
        <v>90</v>
      </c>
      <c r="F642" s="10">
        <f>E642*0.666*24/72</f>
      </c>
      <c r="G642" s="54">
        <v>0</v>
      </c>
      <c r="H642" s="54">
        <v>0</v>
      </c>
      <c r="I642" s="54">
        <v>0</v>
      </c>
      <c r="J642" s="54">
        <v>0</v>
      </c>
      <c r="K642" s="54">
        <v>0</v>
      </c>
      <c r="L642" s="55">
        <v>0</v>
      </c>
      <c r="M642" s="54">
        <v>0</v>
      </c>
      <c r="N642" s="55">
        <v>0</v>
      </c>
      <c r="O642" s="10">
        <v>0</v>
      </c>
      <c r="P642" s="54"/>
      <c r="Q642" s="56">
        <f>+P642</f>
      </c>
    </row>
    <row r="644">
      <c r="A644" s="43" t="inlineStr">
        <is>
          <t>T O T A L</t>
        </is>
      </c>
      <c r="B644" s="44"/>
      <c r="C644" s="45">
        <f>COUNTA(A559:A642)</f>
      </c>
      <c r="D644" s="65">
        <f>SUM(D559:D642)</f>
      </c>
      <c r="E644" s="65">
        <f>SUM(E559:E642)</f>
      </c>
      <c r="F644" s="65">
        <f>SUM(F559:F642)</f>
      </c>
      <c r="G644" s="65">
        <f>SUM(G559:G642)</f>
      </c>
      <c r="H644" s="65">
        <f>SUM(H559:H642)</f>
      </c>
      <c r="I644" s="65">
        <f>SUM(I559:I642)</f>
      </c>
      <c r="J644" s="65">
        <f>SUM(J559:J642)</f>
      </c>
      <c r="K644" s="65">
        <f>SUM(K559:K642)</f>
      </c>
      <c r="L644" s="65">
        <f>SUM(L559:L642)</f>
      </c>
      <c r="M644" s="65">
        <f>SUM(M559:M642)</f>
      </c>
      <c r="N644" s="65">
        <f>SUM(N559:N642)</f>
      </c>
      <c r="O644" s="65">
        <f>SUM(O559:O642)</f>
      </c>
      <c r="P644" s="65">
        <f>SUM(P559:P642)</f>
      </c>
      <c r="Q644" s="65">
        <f>SUM(Q559:Q642)</f>
      </c>
    </row>
    <row r="645">
      <c r="A645" s="66" t="inlineStr">
        <is>
          <t>OBSERVACIONES: </t>
        </is>
      </c>
      <c r="B645" s="67"/>
      <c r="C645" s="68"/>
      <c r="D645" s="69"/>
      <c r="E645" s="69"/>
      <c r="F645" s="70"/>
      <c r="G645" s="69"/>
      <c r="H645" s="69"/>
      <c r="I645" s="69"/>
      <c r="J645" s="69"/>
      <c r="K645" s="69"/>
      <c r="L645" s="70"/>
      <c r="M645" s="71"/>
      <c r="N645" s="72"/>
      <c r="O645" s="72"/>
      <c r="P645" s="73"/>
      <c r="Q645" s="74"/>
    </row>
    <row r="646">
      <c r="P646" s="65" t="inlineStr">
        <is>
          <t>TOTAL A RECIBIR EN ALMACEN:</t>
        </is>
      </c>
      <c r="Q646" s="65">
        <f>Q644</f>
      </c>
    </row>
  </sheetData>
  <autoFilter ref="A12:Q533" xr:uid="{00000000-0009-0000-0000-000000000000}"/>
  <sortState xmlns:xlrd2="http://schemas.microsoft.com/office/spreadsheetml/2017/richdata2" ref="A424:Q428">
    <sortCondition ref="A424:A428"/>
  </sortState>
  <mergeCells count="11">
    <mergeCell ref="M304:P304"/>
    <mergeCell ref="L6:Q6"/>
    <mergeCell ref="D7:E7"/>
    <mergeCell ref="I7:J7"/>
    <mergeCell ref="M7:N7"/>
    <mergeCell ref="M8:N8"/>
    <mergeCell ref="A1:Q1"/>
    <mergeCell ref="A2:Q2"/>
    <mergeCell ref="A3:Q3"/>
    <mergeCell ref="A4:Q4"/>
    <mergeCell ref="A5:Q5"/>
  </mergeCells>
  <printOptions horizontalCentered="1"/>
  <pageMargins left="0.39374999999999999" right="0.62986111111111098" top="0.98402777777777795" bottom="0.98402777777777795" header="0.51180555555555496" footer="0.51180555555555496"/>
  <pageSetup paperSize="75" orientation="landscape" horizontalDpi="300" verticalDpi="300" r:id="rId1"/>
  <rowBreaks count="27" manualBreakCount="27">
    <brk id="26" max="16383" man="1"/>
    <brk id="40" max="16383" man="1"/>
    <brk id="63" max="16383" man="1"/>
    <brk id="86" max="16383" man="1"/>
    <brk id="97" max="16383" man="1"/>
    <brk id="123" max="16383" man="1"/>
    <brk id="134" max="16383" man="1"/>
    <brk id="154" max="16383" man="1"/>
    <brk id="171" max="16383" man="1"/>
    <brk id="192" max="16383" man="1"/>
    <brk id="207" max="16383" man="1"/>
    <brk id="238" max="16383" man="1"/>
    <brk id="265" max="16383" man="1"/>
    <brk id="323" max="16383" man="1"/>
    <brk id="338" max="16383" man="1"/>
    <brk id="346" max="16383" man="1"/>
    <brk id="365" max="16383" man="1"/>
    <brk id="380" max="16383" man="1"/>
    <brk id="393" max="16383" man="1"/>
    <brk id="407" max="16383" man="1"/>
    <brk id="421" max="16383" man="1"/>
    <brk id="434" max="16383" man="1"/>
    <brk id="453" max="16383" man="1"/>
    <brk id="466" max="16383" man="1"/>
    <brk id="487" max="16383" man="1"/>
    <brk id="503" max="16383" man="1"/>
    <brk id="515" max="16383" man="1"/>
  </rowBreaks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pageSetUpPr fitToPage="1"/>
  </sheetPr>
  <dimension ref="A1:J55"/>
  <sheetViews>
    <sheetView showGridLines="0" tabSelected="1" topLeftCell="A30" zoomScale="150" zoomScaleNormal="150" workbookViewId="0">
      <selection activeCell="J50" sqref="J50"/>
    </sheetView>
  </sheetViews>
  <sheetFormatPr baseColWidth="10" defaultColWidth="10.85546875" defaultRowHeight="12.75" x14ac:dyDescent="0.2"/>
  <cols>
    <col min="1" max="1" width="8.28515625" style="53" customWidth="1"/>
    <col min="2" max="2" width="30.28515625" style="53" customWidth="1"/>
    <col min="3" max="9" width="12.85546875" style="10" customWidth="1"/>
    <col min="10" max="10" width="16.42578125" style="10" customWidth="1"/>
    <col min="11" max="11" width="6.28515625" style="53" customWidth="1"/>
    <col min="12" max="12" width="13.28515625" style="53" customWidth="1"/>
    <col min="13" max="13" width="6.140625" style="53" customWidth="1"/>
    <col min="14" max="14" width="7.42578125" style="53" customWidth="1"/>
    <col min="15" max="15" width="8" style="10" customWidth="1"/>
    <col min="16" max="18" width="10.85546875" style="10"/>
    <col min="19" max="1024" width="10.85546875" style="53"/>
  </cols>
  <sheetData>
    <row r="1" spans="1:20" ht="20.85" customHeight="1" x14ac:dyDescent="0.3">
      <c r="A1" s="324" t="s">
        <v>355</v>
      </c>
      <c r="B1" s="324"/>
      <c r="C1" s="324"/>
      <c r="D1" s="324"/>
      <c r="E1" s="324"/>
      <c r="F1" s="324"/>
      <c r="G1" s="324"/>
      <c r="H1" s="324"/>
      <c r="I1" s="324"/>
      <c r="J1" s="324"/>
    </row>
    <row r="2" spans="1:20" ht="20.100000000000001" customHeight="1" x14ac:dyDescent="0.2">
      <c r="A2" s="325" t="s">
        <v>2</v>
      </c>
      <c r="B2" s="325"/>
      <c r="C2" s="325"/>
      <c r="D2" s="325"/>
      <c r="E2" s="325"/>
      <c r="F2" s="325"/>
      <c r="G2" s="325"/>
      <c r="H2" s="325"/>
      <c r="I2" s="325"/>
      <c r="J2" s="325"/>
    </row>
    <row r="3" spans="1:20" ht="17.850000000000001" customHeight="1" x14ac:dyDescent="0.2">
      <c r="A3" s="326" t="s">
        <v>196</v>
      </c>
      <c r="B3" s="326"/>
      <c r="C3" s="326"/>
      <c r="D3" s="326"/>
      <c r="E3" s="326"/>
      <c r="F3" s="326"/>
      <c r="G3" s="326"/>
      <c r="H3" s="326"/>
      <c r="I3" s="326"/>
      <c r="J3" s="326"/>
    </row>
    <row r="4" spans="1:20" ht="17.850000000000001" customHeight="1" x14ac:dyDescent="0.2">
      <c r="A4" s="327" t="str">
        <f>+'POR ALMACEN'!A4</f>
        <v>REQUERIMIENTO DE LECHE EN POLVO CORRESPONDIENTE AL MES DE JUNIO DEL 2026.</v>
      </c>
      <c r="B4" s="327"/>
      <c r="C4" s="327"/>
      <c r="D4" s="327"/>
      <c r="E4" s="327"/>
      <c r="F4" s="327"/>
      <c r="G4" s="327"/>
      <c r="H4" s="327"/>
      <c r="I4" s="327"/>
      <c r="J4" s="327"/>
    </row>
    <row r="5" spans="1:20" ht="20.100000000000001" customHeight="1" x14ac:dyDescent="0.2">
      <c r="A5" s="326" t="s">
        <v>357</v>
      </c>
      <c r="B5" s="326"/>
      <c r="C5" s="326"/>
      <c r="D5" s="326"/>
      <c r="E5" s="326"/>
      <c r="F5" s="326"/>
      <c r="G5" s="326"/>
      <c r="H5" s="326"/>
      <c r="I5" s="326"/>
      <c r="J5" s="326"/>
    </row>
    <row r="6" spans="1:20" ht="18.600000000000001" customHeight="1" x14ac:dyDescent="0.2">
      <c r="A6" s="329"/>
      <c r="B6" s="329"/>
      <c r="C6" s="329"/>
      <c r="D6" s="329"/>
      <c r="E6" s="329"/>
      <c r="F6" s="329"/>
      <c r="G6" s="329"/>
      <c r="H6" s="329"/>
      <c r="I6" s="329"/>
      <c r="J6" s="329"/>
    </row>
    <row r="7" spans="1:20" ht="15.2" customHeight="1" x14ac:dyDescent="0.2">
      <c r="A7" s="330" t="s">
        <v>197</v>
      </c>
      <c r="B7" s="330"/>
      <c r="C7" s="331" t="s">
        <v>198</v>
      </c>
      <c r="D7" s="332" t="s">
        <v>6</v>
      </c>
      <c r="E7" s="332"/>
      <c r="F7" s="331" t="s">
        <v>199</v>
      </c>
      <c r="G7" s="333" t="s">
        <v>200</v>
      </c>
      <c r="H7" s="332" t="s">
        <v>201</v>
      </c>
      <c r="I7" s="332"/>
      <c r="J7" s="334" t="s">
        <v>202</v>
      </c>
    </row>
    <row r="8" spans="1:20" ht="15.2" customHeight="1" x14ac:dyDescent="0.2">
      <c r="A8" s="330"/>
      <c r="B8" s="330"/>
      <c r="C8" s="331"/>
      <c r="D8" s="335" t="s">
        <v>20</v>
      </c>
      <c r="E8" s="335" t="s">
        <v>21</v>
      </c>
      <c r="F8" s="331"/>
      <c r="G8" s="333"/>
      <c r="H8" s="335" t="s">
        <v>15</v>
      </c>
      <c r="I8" s="336" t="s">
        <v>203</v>
      </c>
      <c r="J8" s="334"/>
    </row>
    <row r="9" spans="1:20" ht="21.75" customHeight="1" x14ac:dyDescent="0.2">
      <c r="A9" s="330"/>
      <c r="B9" s="330"/>
      <c r="C9" s="331"/>
      <c r="D9" s="335"/>
      <c r="E9" s="335"/>
      <c r="F9" s="331"/>
      <c r="G9" s="333"/>
      <c r="H9" s="335"/>
      <c r="I9" s="336"/>
      <c r="J9" s="334"/>
    </row>
    <row r="10" spans="1:20" ht="13.5" customHeight="1" x14ac:dyDescent="0.2">
      <c r="G10" s="243"/>
    </row>
    <row r="11">
      <c r="A11" s="1" t="inlineStr">
        <is>
          <t>SUCURSAL HUAJUAPAN</t>
        </is>
      </c>
      <c r="J11" s="1">
        <f>SUM(I13:I20)</f>
      </c>
    </row>
    <row r="13">
      <c r="B13" s="1" t="inlineStr">
        <is>
          <t>  CHALCATONGO</t>
        </is>
      </c>
      <c r="C13" s="1">
        <f>+'POR ALMACEN'!C22</f>
      </c>
      <c r="D13" s="1">
        <f>+'POR ALMACEN'!D22</f>
      </c>
      <c r="E13" s="1">
        <f>+'POR ALMACEN'!E22</f>
      </c>
      <c r="F13" s="1">
        <f>+'POR ALMACEN'!F22</f>
      </c>
      <c r="G13" s="1">
        <v>0</v>
      </c>
      <c r="H13" s="1">
        <f>+'POR ALMACEN'!P22</f>
      </c>
      <c r="I13" s="1">
        <f>H13-G13</f>
      </c>
    </row>
    <row r="14">
      <c r="B14" s="1" t="inlineStr">
        <is>
          <t>  COIXTLAHUACA</t>
        </is>
      </c>
      <c r="C14" s="1">
        <f>+'POR ALMACEN'!C37</f>
      </c>
      <c r="D14" s="1">
        <f>+'POR ALMACEN'!D37</f>
      </c>
      <c r="E14" s="1">
        <f>+'POR ALMACEN'!E37</f>
      </c>
      <c r="F14" s="1">
        <f>+'POR ALMACEN'!F37</f>
      </c>
      <c r="G14" s="1">
        <v>0</v>
      </c>
      <c r="H14" s="1">
        <f>+'POR ALMACEN'!P37</f>
      </c>
      <c r="I14" s="1">
        <f>H14-G14</f>
      </c>
    </row>
    <row r="15">
      <c r="B15" s="1" t="inlineStr">
        <is>
          <t>  CONSTANCIA DEL ROSARIO</t>
        </is>
      </c>
      <c r="C15" s="1">
        <f>+'POR ALMACEN'!C63</f>
      </c>
      <c r="D15" s="1">
        <f>+'POR ALMACEN'!D63</f>
      </c>
      <c r="E15" s="1">
        <f>+'POR ALMACEN'!E63</f>
      </c>
      <c r="F15" s="1">
        <f>+'POR ALMACEN'!F63</f>
      </c>
      <c r="G15" s="1">
        <v>0</v>
      </c>
      <c r="H15" s="1">
        <f>+'POR ALMACEN'!P63</f>
      </c>
      <c r="I15" s="1">
        <f>H15-G15</f>
      </c>
    </row>
    <row r="16">
      <c r="B16" s="1" t="inlineStr">
        <is>
          <t>  HUAJOLOTITLAN</t>
        </is>
      </c>
      <c r="C16" s="1">
        <f>+'POR ALMACEN'!C85</f>
      </c>
      <c r="D16" s="1">
        <f>+'POR ALMACEN'!D85</f>
      </c>
      <c r="E16" s="1">
        <f>+'POR ALMACEN'!E85</f>
      </c>
      <c r="F16" s="1">
        <f>+'POR ALMACEN'!F85</f>
      </c>
      <c r="G16" s="1">
        <v>0</v>
      </c>
      <c r="H16" s="1">
        <f>+'POR ALMACEN'!P85</f>
      </c>
      <c r="I16" s="1">
        <f>H16-G16</f>
      </c>
    </row>
    <row r="17">
      <c r="B17" s="1" t="inlineStr">
        <is>
          <t>  TACACHE DE MINA</t>
        </is>
      </c>
      <c r="C17" s="1">
        <f>+'POR ALMACEN'!C97</f>
      </c>
      <c r="D17" s="1">
        <f>+'POR ALMACEN'!D97</f>
      </c>
      <c r="E17" s="1">
        <f>+'POR ALMACEN'!E97</f>
      </c>
      <c r="F17" s="1">
        <f>+'POR ALMACEN'!F97</f>
      </c>
      <c r="G17" s="1">
        <v>0</v>
      </c>
      <c r="H17" s="1">
        <f>+'POR ALMACEN'!P97</f>
      </c>
      <c r="I17" s="1">
        <f>H17-G17</f>
      </c>
    </row>
    <row r="18">
      <c r="B18" s="1" t="inlineStr">
        <is>
          <t>  TLAXIACO</t>
        </is>
      </c>
      <c r="C18" s="1">
        <f>+'POR ALMACEN'!C124</f>
      </c>
      <c r="D18" s="1">
        <f>+'POR ALMACEN'!D124</f>
      </c>
      <c r="E18" s="1">
        <f>+'POR ALMACEN'!E124</f>
      </c>
      <c r="F18" s="1">
        <f>+'POR ALMACEN'!F124</f>
      </c>
      <c r="G18" s="1">
        <v>0</v>
      </c>
      <c r="H18" s="1">
        <f>+'POR ALMACEN'!P124</f>
      </c>
      <c r="I18" s="1">
        <f>H18-G18</f>
      </c>
    </row>
    <row r="19">
      <c r="B19" s="1" t="inlineStr">
        <is>
          <t>  TECOMAXTLAHUACA</t>
        </is>
      </c>
      <c r="C19" s="1">
        <f>+'POR ALMACEN'!C135</f>
      </c>
      <c r="D19" s="1">
        <f>+'POR ALMACEN'!D135</f>
      </c>
      <c r="E19" s="1">
        <f>+'POR ALMACEN'!E135</f>
      </c>
      <c r="F19" s="1">
        <f>+'POR ALMACEN'!F135</f>
      </c>
      <c r="G19" s="1">
        <v>0</v>
      </c>
      <c r="H19" s="1">
        <f>+'POR ALMACEN'!P135</f>
      </c>
      <c r="I19" s="1">
        <f>H19-G19</f>
      </c>
    </row>
    <row r="20">
      <c r="B20" s="1" t="inlineStr">
        <is>
          <t>  YANHUITLAN</t>
        </is>
      </c>
      <c r="C20" s="1">
        <f>+'POR ALMACEN'!C156</f>
      </c>
      <c r="D20" s="1">
        <f>+'POR ALMACEN'!D156</f>
      </c>
      <c r="E20" s="1">
        <f>+'POR ALMACEN'!E156</f>
      </c>
      <c r="F20" s="1">
        <f>+'POR ALMACEN'!F156</f>
      </c>
      <c r="G20" s="1">
        <v>0</v>
      </c>
      <c r="H20" s="1">
        <f>+'POR ALMACEN'!P156</f>
      </c>
      <c r="I20" s="1">
        <f>H20-G20</f>
      </c>
    </row>
    <row r="22">
      <c r="A22" s="1" t="inlineStr">
        <is>
          <t>SUCURSAL ISTMO-COSTA</t>
        </is>
      </c>
      <c r="J22" s="1">
        <f>SUM(I24:I33)</f>
      </c>
    </row>
    <row r="24">
      <c r="B24" s="1" t="inlineStr">
        <is>
          <t>  MORRO MAZATAN</t>
        </is>
      </c>
      <c r="C24" s="1">
        <f>+'POR ALMACEN'!C174</f>
      </c>
      <c r="D24" s="1">
        <f>+'POR ALMACEN'!D174</f>
      </c>
      <c r="E24" s="1">
        <f>+'POR ALMACEN'!E174</f>
      </c>
      <c r="F24" s="1">
        <f>+'POR ALMACEN'!F174</f>
      </c>
      <c r="G24" s="1">
        <v>0</v>
      </c>
      <c r="H24" s="1">
        <f>+'POR ALMACEN'!P174</f>
      </c>
      <c r="I24" s="1">
        <f>H24-G24</f>
      </c>
    </row>
    <row r="25">
      <c r="B25" s="1" t="inlineStr">
        <is>
          <t>  PALOMARES</t>
        </is>
      </c>
      <c r="C25" s="1">
        <f>+'POR ALMACEN'!C194</f>
      </c>
      <c r="D25" s="1">
        <f>+'POR ALMACEN'!D194</f>
      </c>
      <c r="E25" s="1">
        <f>+'POR ALMACEN'!E194</f>
      </c>
      <c r="F25" s="1">
        <f>+'POR ALMACEN'!F194</f>
      </c>
      <c r="G25" s="1">
        <v>0</v>
      </c>
      <c r="H25" s="1">
        <f>+'POR ALMACEN'!P194</f>
      </c>
      <c r="I25" s="1">
        <f>H25-G25</f>
      </c>
    </row>
    <row r="26">
      <c r="B26" s="1" t="inlineStr">
        <is>
          <t>  SANTIAGO LAOLLAGA</t>
        </is>
      </c>
      <c r="C26" s="1">
        <f>+'POR ALMACEN'!C210</f>
      </c>
      <c r="D26" s="1">
        <f>+'POR ALMACEN'!D210</f>
      </c>
      <c r="E26" s="1">
        <f>+'POR ALMACEN'!E210</f>
      </c>
      <c r="F26" s="1">
        <f>+'POR ALMACEN'!F210</f>
      </c>
      <c r="G26" s="1">
        <v>0</v>
      </c>
      <c r="H26" s="1">
        <f>+'POR ALMACEN'!P210</f>
      </c>
      <c r="I26" s="1">
        <f>H26-G26</f>
      </c>
    </row>
    <row r="27">
      <c r="B27" s="1" t="inlineStr">
        <is>
          <t>  SANTIAGO NILTEPEC</t>
        </is>
      </c>
      <c r="C27" s="1">
        <f>+'POR ALMACEN'!C242</f>
      </c>
      <c r="D27" s="1">
        <f>+'POR ALMACEN'!D242</f>
      </c>
      <c r="E27" s="1">
        <f>+'POR ALMACEN'!E242</f>
      </c>
      <c r="F27" s="1">
        <f>+'POR ALMACEN'!F242</f>
      </c>
      <c r="G27" s="1">
        <v>0</v>
      </c>
      <c r="H27" s="1">
        <f>+'POR ALMACEN'!P242</f>
      </c>
      <c r="I27" s="1">
        <f>H27-G27</f>
      </c>
    </row>
    <row r="28">
      <c r="B28" s="1" t="inlineStr">
        <is>
          <t>  EL TOMATAL</t>
        </is>
      </c>
      <c r="C28" s="1">
        <f>+'POR ALMACEN'!C266</f>
      </c>
      <c r="D28" s="1">
        <f>+'POR ALMACEN'!D266</f>
      </c>
      <c r="E28" s="1">
        <f>+'POR ALMACEN'!E266</f>
      </c>
      <c r="F28" s="1">
        <f>+'POR ALMACEN'!F266</f>
      </c>
      <c r="G28" s="1">
        <v>0</v>
      </c>
      <c r="H28" s="1">
        <f>+'POR ALMACEN'!P266</f>
      </c>
      <c r="I28" s="1">
        <f>H28-G28</f>
      </c>
    </row>
    <row r="29">
      <c r="B29" s="1" t="inlineStr">
        <is>
          <t>  SAN ANDRES HUAXPALTEPEC</t>
        </is>
      </c>
      <c r="C29" s="1">
        <f>+'POR ALMACEN'!C304</f>
      </c>
      <c r="D29" s="1">
        <f>+'POR ALMACEN'!D304</f>
      </c>
      <c r="E29" s="1">
        <f>+'POR ALMACEN'!E304</f>
      </c>
      <c r="F29" s="1">
        <f>+'POR ALMACEN'!F304</f>
      </c>
      <c r="G29" s="1">
        <v>0</v>
      </c>
      <c r="H29" s="1">
        <f>+'POR ALMACEN'!P304</f>
      </c>
      <c r="I29" s="1">
        <f>H29-G29</f>
      </c>
    </row>
    <row r="30">
      <c r="B30" s="1" t="inlineStr">
        <is>
          <t>  SANTA MARIA HUATULCO</t>
        </is>
      </c>
      <c r="C30" s="1">
        <f>+'POR ALMACEN'!C323</f>
      </c>
      <c r="D30" s="1">
        <f>+'POR ALMACEN'!D323</f>
      </c>
      <c r="E30" s="1">
        <f>+'POR ALMACEN'!E323</f>
      </c>
      <c r="F30" s="1">
        <f>+'POR ALMACEN'!F323</f>
      </c>
      <c r="G30" s="1">
        <v>0</v>
      </c>
      <c r="H30" s="1">
        <f>+'POR ALMACEN'!P323</f>
      </c>
      <c r="I30" s="1">
        <f>H30-G30</f>
      </c>
    </row>
    <row r="31">
      <c r="B31" s="1" t="inlineStr">
        <is>
          <t>  LA REFORMA YAUTEPEC</t>
        </is>
      </c>
      <c r="C31" s="1">
        <f>+'POR ALMACEN'!C339</f>
      </c>
      <c r="D31" s="1">
        <f>+'POR ALMACEN'!D339</f>
      </c>
      <c r="E31" s="1">
        <f>+'POR ALMACEN'!E339</f>
      </c>
      <c r="F31" s="1">
        <f>+'POR ALMACEN'!F339</f>
      </c>
      <c r="G31" s="1">
        <v>0</v>
      </c>
      <c r="H31" s="1">
        <f>+'POR ALMACEN'!P339</f>
      </c>
      <c r="I31" s="1">
        <f>H31-G31</f>
      </c>
    </row>
    <row r="32">
      <c r="B32" s="1" t="inlineStr">
        <is>
          <t>  LOS IDEALES</t>
        </is>
      </c>
      <c r="C32" s="1">
        <f>+'POR ALMACEN'!C348</f>
      </c>
      <c r="D32" s="1">
        <f>+'POR ALMACEN'!D348</f>
      </c>
      <c r="E32" s="1">
        <f>+'POR ALMACEN'!E348</f>
      </c>
      <c r="F32" s="1">
        <f>+'POR ALMACEN'!F348</f>
      </c>
      <c r="G32" s="1">
        <v>0</v>
      </c>
      <c r="H32" s="1">
        <f>+'POR ALMACEN'!P348</f>
      </c>
      <c r="I32" s="1">
        <f>H32-G32</f>
      </c>
    </row>
    <row r="33">
      <c r="B33" s="1" t="inlineStr">
        <is>
          <t>  PUEBLO NUEVO, TUX.</t>
        </is>
      </c>
      <c r="C33" s="1">
        <f>+'POR ALMACEN'!C368</f>
      </c>
      <c r="D33" s="1">
        <f>+'POR ALMACEN'!D368</f>
      </c>
      <c r="E33" s="1">
        <f>+'POR ALMACEN'!E368</f>
      </c>
      <c r="F33" s="1">
        <f>+'POR ALMACEN'!F368</f>
      </c>
      <c r="G33" s="1">
        <v>0</v>
      </c>
      <c r="H33" s="1">
        <f>+'POR ALMACEN'!P368</f>
      </c>
      <c r="I33" s="1">
        <f>H33-G33</f>
      </c>
    </row>
    <row r="35">
      <c r="A35" s="1" t="inlineStr">
        <is>
          <t>SUCURSAL V. CENTRAL</t>
        </is>
      </c>
      <c r="J35" s="1">
        <f>SUM(I37:I48)</f>
      </c>
    </row>
    <row r="37">
      <c r="B37" s="1" t="inlineStr">
        <is>
          <t>  VALLES CENTRALES</t>
        </is>
      </c>
      <c r="C37" s="1">
        <f>+'POR ALMACEN'!C382</f>
      </c>
      <c r="D37" s="1">
        <f>+'POR ALMACEN'!D382</f>
      </c>
      <c r="E37" s="1">
        <f>+'POR ALMACEN'!E382</f>
      </c>
      <c r="F37" s="1">
        <f>+'POR ALMACEN'!F382</f>
      </c>
      <c r="G37" s="1">
        <v>0</v>
      </c>
      <c r="H37" s="1">
        <f>+'POR ALMACEN'!P382</f>
      </c>
      <c r="I37" s="1">
        <f>H37-G37</f>
      </c>
    </row>
    <row r="38">
      <c r="B38" s="1" t="inlineStr">
        <is>
          <t>  SAN ANDRES HIDALGO</t>
        </is>
      </c>
      <c r="C38" s="1">
        <f>+'POR ALMACEN'!C395</f>
      </c>
      <c r="D38" s="1">
        <f>+'POR ALMACEN'!D395</f>
      </c>
      <c r="E38" s="1">
        <f>+'POR ALMACEN'!E395</f>
      </c>
      <c r="F38" s="1">
        <f>+'POR ALMACEN'!F395</f>
      </c>
      <c r="G38" s="1">
        <v>0</v>
      </c>
      <c r="H38" s="1">
        <f>+'POR ALMACEN'!P395</f>
      </c>
      <c r="I38" s="1">
        <f>H38-G38</f>
      </c>
    </row>
    <row r="39">
      <c r="B39" s="1" t="inlineStr">
        <is>
          <t>  SAN JOSE DEL CHILAR</t>
        </is>
      </c>
      <c r="C39" s="1">
        <f>+'POR ALMACEN'!C408</f>
      </c>
      <c r="D39" s="1">
        <f>+'POR ALMACEN'!D408</f>
      </c>
      <c r="E39" s="1">
        <f>+'POR ALMACEN'!E408</f>
      </c>
      <c r="F39" s="1">
        <f>+'POR ALMACEN'!F408</f>
      </c>
      <c r="G39" s="1">
        <v>0</v>
      </c>
      <c r="H39" s="1">
        <f>+'POR ALMACEN'!P408</f>
      </c>
      <c r="I39" s="1">
        <f>H39-G39</f>
      </c>
    </row>
    <row r="40">
      <c r="B40" s="1" t="inlineStr">
        <is>
          <t>  TEOTITLAN DE FLORES MAGON</t>
        </is>
      </c>
      <c r="C40" s="1">
        <f>+'POR ALMACEN'!C423</f>
      </c>
      <c r="D40" s="1">
        <f>+'POR ALMACEN'!D423</f>
      </c>
      <c r="E40" s="1">
        <f>+'POR ALMACEN'!E423</f>
      </c>
      <c r="F40" s="1">
        <f>+'POR ALMACEN'!F423</f>
      </c>
      <c r="G40" s="1">
        <v>0</v>
      </c>
      <c r="H40" s="1">
        <f>+'POR ALMACEN'!P423</f>
      </c>
      <c r="I40" s="1">
        <f>H40-G40</f>
      </c>
    </row>
    <row r="41">
      <c r="B41" s="1" t="inlineStr">
        <is>
          <t>  AYUTLA MIXES</t>
        </is>
      </c>
      <c r="C41" s="1">
        <f>+'POR ALMACEN'!C436</f>
      </c>
      <c r="D41" s="1">
        <f>+'POR ALMACEN'!D436</f>
      </c>
      <c r="E41" s="1">
        <f>+'POR ALMACEN'!E436</f>
      </c>
      <c r="F41" s="1">
        <f>+'POR ALMACEN'!F436</f>
      </c>
      <c r="G41" s="1">
        <v>0</v>
      </c>
      <c r="H41" s="1">
        <f>+'POR ALMACEN'!P436</f>
      </c>
      <c r="I41" s="1">
        <f>H41-G41</f>
      </c>
    </row>
    <row r="42">
      <c r="B42" s="1" t="inlineStr">
        <is>
          <t>  IXTLAN DE JUAREZ</t>
        </is>
      </c>
      <c r="C42" s="1">
        <f>+'POR ALMACEN'!C456</f>
      </c>
      <c r="D42" s="1">
        <f>+'POR ALMACEN'!D456</f>
      </c>
      <c r="E42" s="1">
        <f>+'POR ALMACEN'!E456</f>
      </c>
      <c r="F42" s="1">
        <f>+'POR ALMACEN'!F456</f>
      </c>
      <c r="G42" s="1">
        <v>0</v>
      </c>
      <c r="H42" s="1">
        <f>+'POR ALMACEN'!P456</f>
      </c>
      <c r="I42" s="1">
        <f>H42-G42</f>
      </c>
    </row>
    <row r="43">
      <c r="B43" s="1" t="inlineStr">
        <is>
          <t>  MAGDALENA OCOTLAN</t>
        </is>
      </c>
      <c r="C43" s="1">
        <f>+'POR ALMACEN'!C470</f>
      </c>
      <c r="D43" s="1">
        <f>+'POR ALMACEN'!D470</f>
      </c>
      <c r="E43" s="1">
        <f>+'POR ALMACEN'!E470</f>
      </c>
      <c r="F43" s="1">
        <f>+'POR ALMACEN'!F470</f>
      </c>
      <c r="G43" s="1">
        <v>0</v>
      </c>
      <c r="H43" s="1">
        <f>+'POR ALMACEN'!P470</f>
      </c>
      <c r="I43" s="1">
        <f>H43-G43</f>
      </c>
    </row>
    <row r="44">
      <c r="B44" s="1" t="inlineStr">
        <is>
          <t>  SANTO TOMAS TAMAZULAPAN</t>
        </is>
      </c>
      <c r="C44" s="1">
        <f>+'POR ALMACEN'!C490</f>
      </c>
      <c r="D44" s="1">
        <f>+'POR ALMACEN'!D490</f>
      </c>
      <c r="E44" s="1">
        <f>+'POR ALMACEN'!E490</f>
      </c>
      <c r="F44" s="1">
        <f>+'POR ALMACEN'!F490</f>
      </c>
      <c r="G44" s="1">
        <v>0</v>
      </c>
      <c r="H44" s="1">
        <f>+'POR ALMACEN'!P490</f>
      </c>
      <c r="I44" s="1">
        <f>H44-G44</f>
      </c>
    </row>
    <row r="45">
      <c r="B45" s="1" t="inlineStr">
        <is>
          <t>  SAN PEDRO JUCHATENGO</t>
        </is>
      </c>
      <c r="C45" s="1">
        <f>+'POR ALMACEN'!C506</f>
      </c>
      <c r="D45" s="1">
        <f>+'POR ALMACEN'!D506</f>
      </c>
      <c r="E45" s="1">
        <f>+'POR ALMACEN'!E506</f>
      </c>
      <c r="F45" s="1">
        <f>+'POR ALMACEN'!F506</f>
      </c>
      <c r="G45" s="1">
        <v>0</v>
      </c>
      <c r="H45" s="1">
        <f>+'POR ALMACEN'!P506</f>
      </c>
      <c r="I45" s="1">
        <f>H45-G45</f>
      </c>
    </row>
    <row r="46">
      <c r="B46" s="1" t="inlineStr">
        <is>
          <t>  SANTA MARIA LACHIXIO</t>
        </is>
      </c>
      <c r="C46" s="1">
        <f>+'POR ALMACEN'!C517</f>
      </c>
      <c r="D46" s="1">
        <f>+'POR ALMACEN'!D517</f>
      </c>
      <c r="E46" s="1">
        <f>+'POR ALMACEN'!E517</f>
      </c>
      <c r="F46" s="1">
        <f>+'POR ALMACEN'!F517</f>
      </c>
      <c r="G46" s="1">
        <v>0</v>
      </c>
      <c r="H46" s="1">
        <f>+'POR ALMACEN'!P517</f>
      </c>
      <c r="I46" s="1">
        <f>H46-G46</f>
      </c>
    </row>
    <row r="47">
      <c r="B47" s="1" t="inlineStr">
        <is>
          <t>  MATATLAN</t>
        </is>
      </c>
      <c r="C47" s="1">
        <f>+'POR ALMACEN'!C528</f>
      </c>
      <c r="D47" s="1">
        <f>+'POR ALMACEN'!D528</f>
      </c>
      <c r="E47" s="1">
        <f>+'POR ALMACEN'!E528</f>
      </c>
      <c r="F47" s="1">
        <f>+'POR ALMACEN'!F528</f>
      </c>
      <c r="G47" s="1">
        <v>0</v>
      </c>
      <c r="H47" s="1">
        <f>+'POR ALMACEN'!P528</f>
      </c>
      <c r="I47" s="1">
        <f>H47-G47</f>
      </c>
    </row>
    <row r="48">
      <c r="B48" s="1" t="inlineStr">
        <is>
          <t>  CUAJIMOLOYAS</t>
        </is>
      </c>
      <c r="C48" s="1">
        <f>+'POR ALMACEN'!C541</f>
      </c>
      <c r="D48" s="1">
        <f>+'POR ALMACEN'!D541</f>
      </c>
      <c r="E48" s="1">
        <f>+'POR ALMACEN'!E541</f>
      </c>
      <c r="F48" s="1">
        <f>+'POR ALMACEN'!F541</f>
      </c>
      <c r="G48" s="1">
        <v>0</v>
      </c>
      <c r="H48" s="1">
        <f>+'POR ALMACEN'!P541</f>
      </c>
      <c r="I48" s="1">
        <f>H48-G48</f>
      </c>
    </row>
    <row r="50">
      <c r="A50" s="1" t="inlineStr">
        <is>
          <t>SUCURSAL (SIN SUCURSAL)</t>
        </is>
      </c>
      <c r="J50" s="1">
        <f>SUM(I52:I53)</f>
      </c>
    </row>
    <row r="52">
      <c r="B52" s="1" t="inlineStr">
        <is>
          <t>  </t>
        </is>
      </c>
      <c r="C52" s="1">
        <f>+'POR ALMACEN'!C551</f>
      </c>
      <c r="D52" s="1">
        <f>+'POR ALMACEN'!D551</f>
      </c>
      <c r="E52" s="1">
        <f>+'POR ALMACEN'!E551</f>
      </c>
      <c r="F52" s="1">
        <f>+'POR ALMACEN'!F551</f>
      </c>
      <c r="G52" s="1">
        <v>0</v>
      </c>
      <c r="H52" s="1">
        <f>+'POR ALMACEN'!P551</f>
      </c>
      <c r="I52" s="1">
        <f>H52-G52</f>
      </c>
    </row>
    <row r="53">
      <c r="B53" s="1" t="inlineStr">
        <is>
          <t>  GUADALUPE ETLA</t>
        </is>
      </c>
      <c r="C53" s="1">
        <f>+'POR ALMACEN'!C644</f>
      </c>
      <c r="D53" s="1">
        <f>+'POR ALMACEN'!D644</f>
      </c>
      <c r="E53" s="1">
        <f>+'POR ALMACEN'!E644</f>
      </c>
      <c r="F53" s="1">
        <f>+'POR ALMACEN'!F644</f>
      </c>
      <c r="G53" s="1">
        <v>0</v>
      </c>
      <c r="H53" s="1">
        <f>+'POR ALMACEN'!P644</f>
      </c>
      <c r="I53" s="1">
        <f>H53-G53</f>
      </c>
    </row>
  </sheetData>
  <mergeCells count="18">
    <mergeCell ref="H54:J54"/>
    <mergeCell ref="A6:J6"/>
    <mergeCell ref="A7:B9"/>
    <mergeCell ref="C7:C9"/>
    <mergeCell ref="D7:E7"/>
    <mergeCell ref="F7:F9"/>
    <mergeCell ref="G7:G9"/>
    <mergeCell ref="H7:I7"/>
    <mergeCell ref="J7:J9"/>
    <mergeCell ref="D8:D9"/>
    <mergeCell ref="E8:E9"/>
    <mergeCell ref="H8:H9"/>
    <mergeCell ref="I8:I9"/>
    <mergeCell ref="A1:J1"/>
    <mergeCell ref="A2:J2"/>
    <mergeCell ref="A3:J3"/>
    <mergeCell ref="A4:J4"/>
    <mergeCell ref="A5:J5"/>
  </mergeCells>
  <pageMargins left="0.44027777777777799" right="0.22986111111111099" top="0.25972222222222202" bottom="0.3" header="0.51180555555555496" footer="0.51180555555555496"/>
  <pageSetup fitToWidth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catabril26</vt:lpstr>
      <vt:lpstr>POR ALMACEN</vt:lpstr>
      <vt:lpstr>TOTAL</vt:lpstr>
      <vt:lpstr>'POR ALMACEN'!Área_de_impresión</vt:lpstr>
      <vt:lpstr>TOTAL!Área_de_impresión</vt:lpstr>
      <vt:lpstr>RENATOS</vt:lpstr>
      <vt:lpstr>'POR ALMACEN'!Títulos_a_imprimir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Embarques</dc:creator>
  <dc:description/>
  <cp:lastModifiedBy>Jesus Damian Santiago Lopez</cp:lastModifiedBy>
  <cp:revision>83</cp:revision>
  <cp:lastPrinted>2019-09-11T14:40:27Z</cp:lastPrinted>
  <dcterms:created xsi:type="dcterms:W3CDTF">2010-06-11T17:00:44Z</dcterms:created>
  <dcterms:modified xsi:type="dcterms:W3CDTF">2026-05-21T19:10:50Z</dcterms:modified>
  <dc:language>es-MX</dc:language>
</cp:coreProperties>
</file>